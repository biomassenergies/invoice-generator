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 Only MH" sheetId="1" r:id="rId4"/>
    <sheet state="visible" name="INVOICE Other than MH" sheetId="2" r:id="rId5"/>
    <sheet state="visible" name="CREDIT NOTE" sheetId="3" r:id="rId6"/>
    <sheet state="visible" name="INVOICE DETAILS" sheetId="4" r:id="rId7"/>
    <sheet state="hidden" name="RICE HUSK BILL" sheetId="5" r:id="rId8"/>
    <sheet state="visible" name="CUSTOMER DETAILS" sheetId="6" r:id="rId9"/>
    <sheet state="visible" name="PRODUCT TABLE" sheetId="7" r:id="rId10"/>
    <sheet state="hidden" name="Business Overview" sheetId="8" r:id="rId11"/>
    <sheet state="visible" name="Copy of INVOICE DETAILS" sheetId="9" r:id="rId12"/>
    <sheet state="visible" name="Sheet1" sheetId="10" r:id="rId13"/>
    <sheet state="visible" name="Sheet12" sheetId="11" r:id="rId14"/>
    <sheet state="hidden" name="Sheet4" sheetId="12" r:id="rId15"/>
  </sheets>
  <definedNames>
    <definedName name="CUSTOMER_DETAILS">#REF!</definedName>
    <definedName name="InvoiceDetails">'INVOICE DETAILS'!$A$2:$AG$1048714</definedName>
    <definedName name="CustDetails">'CUSTOMER DETAILS'!$B$2:$H$1000</definedName>
    <definedName name="CustDetail1">'CUSTOMER DETAILS'!$B$2:$H$1000</definedName>
    <definedName localSheetId="2" name="PRINT">'CREDIT NOTE'!$A$2:$J$57</definedName>
    <definedName localSheetId="1" name="PRINT">'INVOICE Other than MH'!$A$2:$J$57</definedName>
    <definedName name="PRINT">'INVOICE Only MH'!$A$2:$J$58</definedName>
    <definedName localSheetId="8" name="InvoiceDetails">'Copy of INVOICE DETAILS'!$A$2:$AF$1048576</definedName>
    <definedName hidden="1" localSheetId="5" name="_xlnm._FilterDatabase">'CUSTOMER DETAILS'!$A$1:$H$63</definedName>
  </definedNames>
  <calcPr/>
  <pivotCaches>
    <pivotCache cacheId="0" r:id="rId16"/>
  </pivotCaches>
  <extLst>
    <ext uri="GoogleSheetsCustomDataVersion2">
      <go:sheetsCustomData xmlns:go="http://customooxmlschemas.google.com/" r:id="rId17" roundtripDataChecksum="3tNeR5QqqP28pOQQiCb6C+4kmjDoOaI5v/e1l+RauWE="/>
    </ext>
  </extLst>
</workbook>
</file>

<file path=xl/sharedStrings.xml><?xml version="1.0" encoding="utf-8"?>
<sst xmlns="http://schemas.openxmlformats.org/spreadsheetml/2006/main" count="12521" uniqueCount="1150">
  <si>
    <t>TAX INVOICE</t>
  </si>
  <si>
    <t>MAHALAXMI AGRO ENERGIES</t>
  </si>
  <si>
    <t>Invoice No.</t>
  </si>
  <si>
    <t>Dated</t>
  </si>
  <si>
    <t xml:space="preserve">70 Mahakali Nagar 3, Mhalginagar, </t>
  </si>
  <si>
    <t>Hudkeshwar Ring Road, Nagpur 34</t>
  </si>
  <si>
    <t>Delivery Note</t>
  </si>
  <si>
    <t>Payment Mode/Terms</t>
  </si>
  <si>
    <t>GSTN:</t>
  </si>
  <si>
    <t>27BOPPP0960N1Z7</t>
  </si>
  <si>
    <t>Supplier Ref.</t>
  </si>
  <si>
    <t>Other Reference(s)</t>
  </si>
  <si>
    <t>State:</t>
  </si>
  <si>
    <t>MAHARASHTRA</t>
  </si>
  <si>
    <t>Mail:</t>
  </si>
  <si>
    <t>biomassenergies@gmail.com</t>
  </si>
  <si>
    <t>Buyer's Order No.</t>
  </si>
  <si>
    <t>Consignee</t>
  </si>
  <si>
    <t>Despatch Document No</t>
  </si>
  <si>
    <t>Delivery Note Date</t>
  </si>
  <si>
    <t>MAE060/25-26-0020</t>
  </si>
  <si>
    <t>Despatched Through</t>
  </si>
  <si>
    <t>Destination</t>
  </si>
  <si>
    <t xml:space="preserve">                           </t>
  </si>
  <si>
    <t>Bill of Landing/LR-RR No.</t>
  </si>
  <si>
    <t>Motor Vehicle Number</t>
  </si>
  <si>
    <t>Buyer (If Other Than Consignee)</t>
  </si>
  <si>
    <t>Terms Of Delivery</t>
  </si>
  <si>
    <t>Sr. No.</t>
  </si>
  <si>
    <t>Description Of Goods</t>
  </si>
  <si>
    <t>HSN Code</t>
  </si>
  <si>
    <t>Quatity</t>
  </si>
  <si>
    <t>Rate</t>
  </si>
  <si>
    <t>Per</t>
  </si>
  <si>
    <t>Amount</t>
  </si>
  <si>
    <t>SGST OUTPUT @ 2.5%</t>
  </si>
  <si>
    <t>CGST OUTPUT @ 2.5%</t>
  </si>
  <si>
    <t>ROUNDOFF</t>
  </si>
  <si>
    <t>TRANSPORTATION</t>
  </si>
  <si>
    <t>Total</t>
  </si>
  <si>
    <t>Amount Chargeable(in words)</t>
  </si>
  <si>
    <t>E. &amp; O.E</t>
  </si>
  <si>
    <t xml:space="preserve">INR </t>
  </si>
  <si>
    <t>Taxable Value</t>
  </si>
  <si>
    <t>Central Tax</t>
  </si>
  <si>
    <t>State Tax</t>
  </si>
  <si>
    <t>Total Tax Amount</t>
  </si>
  <si>
    <t>Tax Amount(in words)</t>
  </si>
  <si>
    <t>Remarks:</t>
  </si>
  <si>
    <t>BANK NAME</t>
  </si>
  <si>
    <t>STATE BANK OF INDIA</t>
  </si>
  <si>
    <t>ACCOUNT NO.</t>
  </si>
  <si>
    <t xml:space="preserve">PAN </t>
  </si>
  <si>
    <t>BOPPP0960N</t>
  </si>
  <si>
    <t>BRANCH &amp; IFS CODE</t>
  </si>
  <si>
    <t>UDAY NAGAR SBIN0017637</t>
  </si>
  <si>
    <t>Declaration</t>
  </si>
  <si>
    <t>We declare that this invoice shows that the actual price of the goods described and that all particular are true and correct</t>
  </si>
  <si>
    <r>
      <rPr>
        <rFont val="Arial"/>
        <color rgb="FF000000"/>
        <sz val="8.0"/>
      </rPr>
      <t xml:space="preserve">For </t>
    </r>
    <r>
      <rPr>
        <rFont val="Arial"/>
        <b/>
        <color rgb="FF000000"/>
        <sz val="8.0"/>
      </rPr>
      <t>MAHALAXMI AGRO ENERGIES (2024-2025)</t>
    </r>
  </si>
  <si>
    <t>Authorised Signatory</t>
  </si>
  <si>
    <t>This is a computer Generated Invoice</t>
  </si>
  <si>
    <t>Despatch Document No.</t>
  </si>
  <si>
    <t>MAE058/25-26-0018</t>
  </si>
  <si>
    <t>IGST OUTPUT @ 5%</t>
  </si>
  <si>
    <t xml:space="preserve">TRANSPORT/UNLOADING </t>
  </si>
  <si>
    <t>ACCT NO.</t>
  </si>
  <si>
    <r>
      <rPr>
        <rFont val="Arial"/>
        <color rgb="FF000000"/>
        <sz val="8.0"/>
      </rPr>
      <t xml:space="preserve">For </t>
    </r>
    <r>
      <rPr>
        <rFont val="Arial"/>
        <b/>
        <color rgb="FF000000"/>
        <sz val="8.0"/>
      </rPr>
      <t>MAHALAXMI AGRO ENERGIES (2024-2025)</t>
    </r>
  </si>
  <si>
    <t>PURCHASE ORDER</t>
  </si>
  <si>
    <t>MAE053</t>
  </si>
  <si>
    <r>
      <rPr>
        <rFont val="Arial"/>
        <color rgb="FF000000"/>
        <sz val="8.0"/>
      </rPr>
      <t xml:space="preserve">For </t>
    </r>
    <r>
      <rPr>
        <rFont val="Arial"/>
        <b/>
        <color rgb="FF000000"/>
        <sz val="8.0"/>
      </rPr>
      <t>MAHALAXMI AGRO ENERGIES (2024-2025)</t>
    </r>
  </si>
  <si>
    <t>Invoice Number</t>
  </si>
  <si>
    <t>Consignee Name</t>
  </si>
  <si>
    <t>Buyer</t>
  </si>
  <si>
    <t>Date</t>
  </si>
  <si>
    <t>Despatch through</t>
  </si>
  <si>
    <t>Description of Goods</t>
  </si>
  <si>
    <t>QTY</t>
  </si>
  <si>
    <t>per(wt)</t>
  </si>
  <si>
    <t>SGST</t>
  </si>
  <si>
    <t>CGST</t>
  </si>
  <si>
    <t>IGST</t>
  </si>
  <si>
    <t>Roundoff</t>
  </si>
  <si>
    <t>Transport</t>
  </si>
  <si>
    <t>SGST AMT</t>
  </si>
  <si>
    <t>CGST AMT</t>
  </si>
  <si>
    <t>Tax Total</t>
  </si>
  <si>
    <t>Month</t>
  </si>
  <si>
    <t>Year</t>
  </si>
  <si>
    <t>MAE001/2021-24</t>
  </si>
  <si>
    <t xml:space="preserve"> - </t>
  </si>
  <si>
    <t>JYC/PO/PM/20-21/231</t>
  </si>
  <si>
    <t>TRUCK</t>
  </si>
  <si>
    <t>MIDC Butibori</t>
  </si>
  <si>
    <t>MH40N8211</t>
  </si>
  <si>
    <t>BIOMASS BRIQUETTE 90MM</t>
  </si>
  <si>
    <t>KG</t>
  </si>
  <si>
    <t>MAE001/2021-02</t>
  </si>
  <si>
    <t>JYC/PO/PM/20-21/236</t>
  </si>
  <si>
    <t>MH40N8725</t>
  </si>
  <si>
    <t>MAE001/2021-03</t>
  </si>
  <si>
    <t>MH40N8500</t>
  </si>
  <si>
    <t>MAE001/2021-04</t>
  </si>
  <si>
    <t>MH14BT0796</t>
  </si>
  <si>
    <t>MAE001/2021-05</t>
  </si>
  <si>
    <t>MH40N8542</t>
  </si>
  <si>
    <t>MAE001/2021-06</t>
  </si>
  <si>
    <t>MH07C7315</t>
  </si>
  <si>
    <t>MAE002/2021-01</t>
  </si>
  <si>
    <t>-</t>
  </si>
  <si>
    <t>Hingana</t>
  </si>
  <si>
    <t>MH40N0129</t>
  </si>
  <si>
    <t>MAE002/2021-02</t>
  </si>
  <si>
    <t>MH40N6407</t>
  </si>
  <si>
    <t>MAE003/2021-01</t>
  </si>
  <si>
    <t>PVT VHCL</t>
  </si>
  <si>
    <t>WARDHA</t>
  </si>
  <si>
    <t>MH49AS</t>
  </si>
  <si>
    <t>BIOMASS PELLET 06MM</t>
  </si>
  <si>
    <t>MAE002/2021-03</t>
  </si>
  <si>
    <t>MAE002/2021-04</t>
  </si>
  <si>
    <t>MH40L2873</t>
  </si>
  <si>
    <t xml:space="preserve">MAE003 </t>
  </si>
  <si>
    <t>SELDOH NAGPUR</t>
  </si>
  <si>
    <t>MAE003</t>
  </si>
  <si>
    <t>MAE010</t>
  </si>
  <si>
    <t>NAGPUR</t>
  </si>
  <si>
    <t>MAE</t>
  </si>
  <si>
    <t>PAVITRA FABRIC TAPE INDUSTRIES</t>
  </si>
  <si>
    <t>HINGNA NAGPUR</t>
  </si>
  <si>
    <t>MAE007</t>
  </si>
  <si>
    <t>JALGAO MH</t>
  </si>
  <si>
    <t>PRABHAT ENTERPRISES</t>
  </si>
  <si>
    <t>BHAYANDER MH</t>
  </si>
  <si>
    <t>MAE005/22-23/01</t>
  </si>
  <si>
    <t>AEC PLAST</t>
  </si>
  <si>
    <t>BUTIBORI MIDC</t>
  </si>
  <si>
    <t>MAE003/22-23/02</t>
  </si>
  <si>
    <t>MAE010/22-23/03</t>
  </si>
  <si>
    <t>MAE006/22-23/04</t>
  </si>
  <si>
    <t>MAE003/22-23/05</t>
  </si>
  <si>
    <t>MAE030/22-23/06</t>
  </si>
  <si>
    <t>CARE INDIA</t>
  </si>
  <si>
    <t>GUJRAT</t>
  </si>
  <si>
    <t>MAE /22-23/07</t>
  </si>
  <si>
    <t>SURYA SEGHDI</t>
  </si>
  <si>
    <t>NASHIK</t>
  </si>
  <si>
    <t>MAE006/22-23/08</t>
  </si>
  <si>
    <t>MAE006/22-23/09</t>
  </si>
  <si>
    <t>MAE006/22-23/10</t>
  </si>
  <si>
    <t>MAE006/22-23/11</t>
  </si>
  <si>
    <t>MAE011/22-23/12</t>
  </si>
  <si>
    <t>SAL SEED MEAL DOC</t>
  </si>
  <si>
    <t>MAE006/22-23/13</t>
  </si>
  <si>
    <t>MAE003/22-23/14</t>
  </si>
  <si>
    <t>MAE031/22-23/15</t>
  </si>
  <si>
    <t>RSG AGRO &amp; WASTE MANAGEMENT</t>
  </si>
  <si>
    <t>MAE031/22-23/16</t>
  </si>
  <si>
    <t>MAE010/22-23/17</t>
  </si>
  <si>
    <t>MAE010/22-23/18</t>
  </si>
  <si>
    <t>MAE031/22-23/19</t>
  </si>
  <si>
    <t>MAE010/22-23/20</t>
  </si>
  <si>
    <t>MAE006/22-23/21</t>
  </si>
  <si>
    <t>MAE032/22-23/22</t>
  </si>
  <si>
    <t>MPM PVT LTD</t>
  </si>
  <si>
    <t>MAE033/22-23/23</t>
  </si>
  <si>
    <t>SHAKTI INDUSTRIES</t>
  </si>
  <si>
    <t>MAE003/22-23/24</t>
  </si>
  <si>
    <t>MAE033/22-23/25</t>
  </si>
  <si>
    <t>MAE006/22-23/26</t>
  </si>
  <si>
    <t>MAE/22-23/27</t>
  </si>
  <si>
    <t>TUSHAR TALE</t>
  </si>
  <si>
    <t>AMARAVATI</t>
  </si>
  <si>
    <t>MAE033/22-23/28</t>
  </si>
  <si>
    <t>MAE006/22-23/29</t>
  </si>
  <si>
    <t>MAE012/22-23/30</t>
  </si>
  <si>
    <t>KATANGI MP</t>
  </si>
  <si>
    <t>MAE006/22-23/31</t>
  </si>
  <si>
    <t>MAE031/22-23/32</t>
  </si>
  <si>
    <t>MAE006/22-23/33</t>
  </si>
  <si>
    <t>MAE003/22-23/34</t>
  </si>
  <si>
    <t>MAE006/22-23/35</t>
  </si>
  <si>
    <t>MAE011/22-23/36</t>
  </si>
  <si>
    <t>MAE/22-23/37</t>
  </si>
  <si>
    <t>NIKHIL TRADERS</t>
  </si>
  <si>
    <t>SURAT</t>
  </si>
  <si>
    <t>MAE006/22-23/38</t>
  </si>
  <si>
    <t>MAE033/22-23/39</t>
  </si>
  <si>
    <t>MAE006/22-23/40</t>
  </si>
  <si>
    <t>MAE006/22-23/41</t>
  </si>
  <si>
    <t>MAE033/22-23/42</t>
  </si>
  <si>
    <t>MAE/22-23/43</t>
  </si>
  <si>
    <t>SAFETY PACKAGING</t>
  </si>
  <si>
    <t>JAMTHA NAGPUR</t>
  </si>
  <si>
    <t>MAE003/22-23/44</t>
  </si>
  <si>
    <t>MAE006/22-23/45</t>
  </si>
  <si>
    <t>MAE006/22-23/46</t>
  </si>
  <si>
    <t>NAGPUR FUELS</t>
  </si>
  <si>
    <t>MAE006/22-23/47</t>
  </si>
  <si>
    <t>MAE006/22-23/48</t>
  </si>
  <si>
    <t>MAE/22-23/49</t>
  </si>
  <si>
    <t>VINATI ORGANICS LTD</t>
  </si>
  <si>
    <t>RATNAGIRI MH</t>
  </si>
  <si>
    <t>MAE006/22-23/50</t>
  </si>
  <si>
    <t>MAE003/22-23/51</t>
  </si>
  <si>
    <t>MAE006/22-23/52</t>
  </si>
  <si>
    <t>MAE010/22-23/53</t>
  </si>
  <si>
    <t>MAE/22-23/54</t>
  </si>
  <si>
    <t>OJAS FEEDS</t>
  </si>
  <si>
    <t>KERALA</t>
  </si>
  <si>
    <t>MAE/22-23/55</t>
  </si>
  <si>
    <t>SANTOSH DHUMAL</t>
  </si>
  <si>
    <t>AURANGABAD</t>
  </si>
  <si>
    <t>MAE/22-23/56</t>
  </si>
  <si>
    <t>ADITYA AGRO INDUSTRIES</t>
  </si>
  <si>
    <t>MAE003/22-23/57</t>
  </si>
  <si>
    <t>MAE010/22-23/58</t>
  </si>
  <si>
    <t>MAE/22-23/59</t>
  </si>
  <si>
    <t>PRIYANSHI INDUSTRIES</t>
  </si>
  <si>
    <t>WADHAMANA NAGPUR</t>
  </si>
  <si>
    <t>MAE010/22-23/60</t>
  </si>
  <si>
    <t>MAE/22-23/61</t>
  </si>
  <si>
    <t>RAJENDRA PATEL</t>
  </si>
  <si>
    <t>KATNI MP</t>
  </si>
  <si>
    <t>MAE006/22-23/62</t>
  </si>
  <si>
    <t>MAE006/22-23/63</t>
  </si>
  <si>
    <t>MAE004/22-23/64</t>
  </si>
  <si>
    <t>MAE005/22-23/65</t>
  </si>
  <si>
    <t>SAWDUST</t>
  </si>
  <si>
    <t>MAE006/22-23/66</t>
  </si>
  <si>
    <t>MAE007/22-23/67</t>
  </si>
  <si>
    <t>MAE005/22-23/68</t>
  </si>
  <si>
    <t>MAE006/22-23/69</t>
  </si>
  <si>
    <t>MAE006/22-23/70</t>
  </si>
  <si>
    <t>BIOMASS PELLET 08MM</t>
  </si>
  <si>
    <t>MAE006/22-23/71</t>
  </si>
  <si>
    <t>MAE006/22-23/72</t>
  </si>
  <si>
    <t>MAE005/22-23/73</t>
  </si>
  <si>
    <t>MAE005/22-23/74</t>
  </si>
  <si>
    <t>MAE005/22-23/75</t>
  </si>
  <si>
    <t>MAE006/22-23/76</t>
  </si>
  <si>
    <t>MAE005/22-23/77</t>
  </si>
  <si>
    <t>MAE009/22-23/78</t>
  </si>
  <si>
    <t>GWALIOR MP</t>
  </si>
  <si>
    <t>MAE010/22-23/79</t>
  </si>
  <si>
    <t>MAE003/22-23/80</t>
  </si>
  <si>
    <t>SELF</t>
  </si>
  <si>
    <t>MAE/22-23/81</t>
  </si>
  <si>
    <t>MAHARASTRA BAMBOO DEVELOPMENT BOARD</t>
  </si>
  <si>
    <t>MAE005/22-23/82</t>
  </si>
  <si>
    <t>MAE006/22-23/83</t>
  </si>
  <si>
    <t>MAE006/22-23/84</t>
  </si>
  <si>
    <t>MAE005/22-23/85</t>
  </si>
  <si>
    <t>MAE005/22-23/87</t>
  </si>
  <si>
    <t>MAE011/22-23/88</t>
  </si>
  <si>
    <t>NTPC AP</t>
  </si>
  <si>
    <t>MAE012/22-23/89</t>
  </si>
  <si>
    <t>MAE005/22-23/90</t>
  </si>
  <si>
    <t>MAE006/22-23/91</t>
  </si>
  <si>
    <t>MAE005/22-23/92</t>
  </si>
  <si>
    <t>MAE003/22-23/93</t>
  </si>
  <si>
    <t>MAE005/22-23/94</t>
  </si>
  <si>
    <t>MAE006/22-23/95</t>
  </si>
  <si>
    <t>MAE013/22-23/96</t>
  </si>
  <si>
    <t>GREAT NAG ROAD NAGPUR</t>
  </si>
  <si>
    <t>MAE003/22-23/97</t>
  </si>
  <si>
    <t>MAE003/22-23/98</t>
  </si>
  <si>
    <t>MAE013/22-23/99</t>
  </si>
  <si>
    <t>MAE005/22-23/100</t>
  </si>
  <si>
    <t>MAE014/22-23/101</t>
  </si>
  <si>
    <t>BAHADURA NAGPUR</t>
  </si>
  <si>
    <t>MAE014/22-23/102</t>
  </si>
  <si>
    <t>MAE010/22-23/103</t>
  </si>
  <si>
    <t>MAE003/22-23/104</t>
  </si>
  <si>
    <t>MAE010/22-23/105</t>
  </si>
  <si>
    <t>MAE003/22-23/106</t>
  </si>
  <si>
    <t>MAE013/22-23/107</t>
  </si>
  <si>
    <t>MAE013/22-23/108</t>
  </si>
  <si>
    <t>MAE010/22-23/109</t>
  </si>
  <si>
    <t>MAE005/22-23/110</t>
  </si>
  <si>
    <t>MAE013/22-23/111</t>
  </si>
  <si>
    <t>MAE013/22-23/112</t>
  </si>
  <si>
    <t>MAE003/22-23/113</t>
  </si>
  <si>
    <t>MAE015/22-23/114</t>
  </si>
  <si>
    <t>MAE013/22-23/115</t>
  </si>
  <si>
    <t>MAE003/22-23/116</t>
  </si>
  <si>
    <t>MAE010/22-23/117</t>
  </si>
  <si>
    <t>MAE003/22-23/118</t>
  </si>
  <si>
    <t>MAE015/22-23/119</t>
  </si>
  <si>
    <t>MAE010/22-23/120</t>
  </si>
  <si>
    <t>SET</t>
  </si>
  <si>
    <t>MAE013/22-23/121</t>
  </si>
  <si>
    <t>20-25 DAYS FROM DELIVERY OF GOODS</t>
  </si>
  <si>
    <t>PG22Y-00378</t>
  </si>
  <si>
    <t>MAE006/22-23/122</t>
  </si>
  <si>
    <t>MT</t>
  </si>
  <si>
    <t>MAE007/22-23/123</t>
  </si>
  <si>
    <t>MIDC JALGAON</t>
  </si>
  <si>
    <t>MH04GF0824</t>
  </si>
  <si>
    <t>MAE006/22-23/124</t>
  </si>
  <si>
    <t>KAPSI NAGPUR</t>
  </si>
  <si>
    <t>MAE013/22-23/125</t>
  </si>
  <si>
    <t>20-25 DAYS FROM DELIVERY</t>
  </si>
  <si>
    <t>MAE010/22-23/126</t>
  </si>
  <si>
    <t>MAE003/22-23/127</t>
  </si>
  <si>
    <t>15 DAYS FROM DELIVERY</t>
  </si>
  <si>
    <t>MH40Y0012</t>
  </si>
  <si>
    <t>MAE014/22-23/128</t>
  </si>
  <si>
    <t>21 DAYS FROM DELIVERY</t>
  </si>
  <si>
    <t>U122Y--00163</t>
  </si>
  <si>
    <t>MP48H116</t>
  </si>
  <si>
    <t>MAE016/22-23/129</t>
  </si>
  <si>
    <t>MH40CM2888</t>
  </si>
  <si>
    <t>MAE010/22-23/130</t>
  </si>
  <si>
    <t>HINGANGHAT</t>
  </si>
  <si>
    <t>MH32AJ3281</t>
  </si>
  <si>
    <t>MAE016/22-23/131</t>
  </si>
  <si>
    <t>MAE016/22-23/132</t>
  </si>
  <si>
    <t>MAE016/22-23/133</t>
  </si>
  <si>
    <t>MAE006/22-23/134</t>
  </si>
  <si>
    <t>MAE006/22-23/135</t>
  </si>
  <si>
    <t>MAE017/22-23/136</t>
  </si>
  <si>
    <t>BHUBNESHWAR ODISHA</t>
  </si>
  <si>
    <t>MH49AT4041</t>
  </si>
  <si>
    <t>MAE017/22-23/137</t>
  </si>
  <si>
    <t>MAE006/22-23/138</t>
  </si>
  <si>
    <t>MAE016/22-23/139</t>
  </si>
  <si>
    <t>MAE013/22-23/140</t>
  </si>
  <si>
    <t>MH36F2929</t>
  </si>
  <si>
    <t>MAE004/22-23/141</t>
  </si>
  <si>
    <t>WITHIN 6 DAYS FROM DELIVERY</t>
  </si>
  <si>
    <t>PO/2022-23/0150</t>
  </si>
  <si>
    <t>MH31DS3287</t>
  </si>
  <si>
    <t>MAE016/22-23/142</t>
  </si>
  <si>
    <t>MAE016/22-23/143</t>
  </si>
  <si>
    <t>MAE019/23-24/001</t>
  </si>
  <si>
    <t>PO/PRJ/22-23/0016</t>
  </si>
  <si>
    <t>MH40CD5356</t>
  </si>
  <si>
    <t>MAE017/23-24/002</t>
  </si>
  <si>
    <t>MH40AK2541</t>
  </si>
  <si>
    <t>MAE006/23-24/003</t>
  </si>
  <si>
    <t>MH40AK7886</t>
  </si>
  <si>
    <t>MAE014/23-24/004</t>
  </si>
  <si>
    <t>MH40CD8446</t>
  </si>
  <si>
    <t>MAE010/23-24/005</t>
  </si>
  <si>
    <t>MAE016/23-24/006</t>
  </si>
  <si>
    <t>MAE020/23-24/007</t>
  </si>
  <si>
    <t>MAE011/23-24/008</t>
  </si>
  <si>
    <t>MAE016/23-24/009</t>
  </si>
  <si>
    <t>MAE010/2023-033</t>
  </si>
  <si>
    <t>MH40Y3737</t>
  </si>
  <si>
    <t>MAE004/2023-034</t>
  </si>
  <si>
    <t>PO/2023-24/009</t>
  </si>
  <si>
    <t>MAE004/2023-035</t>
  </si>
  <si>
    <t>MH40DQ9130</t>
  </si>
  <si>
    <t>MAE016/2023-036</t>
  </si>
  <si>
    <t>MAE017/2023-037</t>
  </si>
  <si>
    <t>CG-04-LP-2541</t>
  </si>
  <si>
    <t>MAE021/2023-038</t>
  </si>
  <si>
    <t>WITHIN 15 DAYS FROM DELIVERY</t>
  </si>
  <si>
    <t>DM-151</t>
  </si>
  <si>
    <t>MH40CM0414</t>
  </si>
  <si>
    <t>MAE006/2023-039</t>
  </si>
  <si>
    <t>MAE021/2023-040</t>
  </si>
  <si>
    <t>DM-152</t>
  </si>
  <si>
    <t>MH40CM3538</t>
  </si>
  <si>
    <t>MAE021/2023-041</t>
  </si>
  <si>
    <t>DM-101</t>
  </si>
  <si>
    <t>MAE016/2023-043</t>
  </si>
  <si>
    <t>MAE017/2023-042</t>
  </si>
  <si>
    <t>BHUBNESHWAR</t>
  </si>
  <si>
    <t>CG04LP2841</t>
  </si>
  <si>
    <t>MAE021/2023-044</t>
  </si>
  <si>
    <t>MAE021/2023-045</t>
  </si>
  <si>
    <t>MAE022/2023-046</t>
  </si>
  <si>
    <t>ADVANCE</t>
  </si>
  <si>
    <t>PUNE MH</t>
  </si>
  <si>
    <t>MAE021/2023-047</t>
  </si>
  <si>
    <t>MH40CM3169</t>
  </si>
  <si>
    <t>MAE021/2023-048</t>
  </si>
  <si>
    <t>MH40BG3269</t>
  </si>
  <si>
    <t>MAE023/2023-049</t>
  </si>
  <si>
    <t>TRANSPORT</t>
  </si>
  <si>
    <t>MAE021/2023-050</t>
  </si>
  <si>
    <t>MAE024/2023-051</t>
  </si>
  <si>
    <t>KARANJA</t>
  </si>
  <si>
    <t>MAE014/2023-052</t>
  </si>
  <si>
    <t>MH40CD3863</t>
  </si>
  <si>
    <t>MAE021/2023-053</t>
  </si>
  <si>
    <t>MH40BL6956</t>
  </si>
  <si>
    <t>MAE016/2023-054</t>
  </si>
  <si>
    <t>MAE021/2023-055</t>
  </si>
  <si>
    <t>MAE021/2023-056</t>
  </si>
  <si>
    <t>MAE017/2023-057</t>
  </si>
  <si>
    <t>MH49AT7341</t>
  </si>
  <si>
    <t>MAE021/2023-058</t>
  </si>
  <si>
    <t>MAE021/2023-059</t>
  </si>
  <si>
    <t>MAE006/2023-060</t>
  </si>
  <si>
    <t>MAE021/2023-061</t>
  </si>
  <si>
    <t>MAE021/2023-062</t>
  </si>
  <si>
    <t>MAE026/2023-063</t>
  </si>
  <si>
    <t>MEERUT UTTAR PRADESH</t>
  </si>
  <si>
    <t>RJ11CG1646</t>
  </si>
  <si>
    <t>MAE025/2023-064</t>
  </si>
  <si>
    <t>RAIPUR CHATTISGARH</t>
  </si>
  <si>
    <t>MH40CM4591</t>
  </si>
  <si>
    <t>KAJU DOC</t>
  </si>
  <si>
    <t>MAE021/2023-065</t>
  </si>
  <si>
    <t>MH27BX1074</t>
  </si>
  <si>
    <t>MAE021/2023-066</t>
  </si>
  <si>
    <t>MH40CM2723</t>
  </si>
  <si>
    <t>MAE021/2023-067</t>
  </si>
  <si>
    <t>MAE021/2023-068</t>
  </si>
  <si>
    <t>MH40BG3237</t>
  </si>
  <si>
    <t>MAE021/2023-069</t>
  </si>
  <si>
    <t>MP48H5517</t>
  </si>
  <si>
    <t>MAE027/2023-070</t>
  </si>
  <si>
    <t>CG08AD6694</t>
  </si>
  <si>
    <t>MAE017/2023-071</t>
  </si>
  <si>
    <t>OD05AM5947</t>
  </si>
  <si>
    <t>MAE021/2023-072</t>
  </si>
  <si>
    <t>MH40CM4286</t>
  </si>
  <si>
    <t>MAE014/2023-073</t>
  </si>
  <si>
    <t>MH40CD3718</t>
  </si>
  <si>
    <t>MAE014/2023-074</t>
  </si>
  <si>
    <t>NE23Y-00018</t>
  </si>
  <si>
    <t>MH40BG5382</t>
  </si>
  <si>
    <t>MAE021/2023-075</t>
  </si>
  <si>
    <t>MH40BG9062</t>
  </si>
  <si>
    <t>MAE011/2023-076</t>
  </si>
  <si>
    <t>MAE027/2023-075</t>
  </si>
  <si>
    <t>CG08Z8584</t>
  </si>
  <si>
    <t xml:space="preserve">MAE021/2023-078 </t>
  </si>
  <si>
    <t>MAE017/2023-079</t>
  </si>
  <si>
    <t>CG04LP2541</t>
  </si>
  <si>
    <t>MAE021/2023-080</t>
  </si>
  <si>
    <t>MAE031/2023-081</t>
  </si>
  <si>
    <t>MAE031/2023-082</t>
  </si>
  <si>
    <t>7</t>
  </si>
  <si>
    <t>MAE027/2023-083</t>
  </si>
  <si>
    <t>MH40CD2929</t>
  </si>
  <si>
    <t>MAE014/2023-084</t>
  </si>
  <si>
    <t>MAE017/2023-085</t>
  </si>
  <si>
    <t>MH49AT3641</t>
  </si>
  <si>
    <t>8</t>
  </si>
  <si>
    <t>MAE017/2023-086</t>
  </si>
  <si>
    <t>MAE028/2023-087</t>
  </si>
  <si>
    <t>MH40CD4569</t>
  </si>
  <si>
    <t>MAE027/2023-088</t>
  </si>
  <si>
    <t>CG04MD1302</t>
  </si>
  <si>
    <t>MAE017/2023-089</t>
  </si>
  <si>
    <t>MH49AT2841</t>
  </si>
  <si>
    <t>MAE010/2023-090</t>
  </si>
  <si>
    <t>MAE003/2023-091</t>
  </si>
  <si>
    <t>MAE014/2023-092</t>
  </si>
  <si>
    <t>MH40CD9276</t>
  </si>
  <si>
    <t>MAE017/2023-093</t>
  </si>
  <si>
    <t>MH40AK4024</t>
  </si>
  <si>
    <t>MAE035/2023-094</t>
  </si>
  <si>
    <t>MAE035/2023-095</t>
  </si>
  <si>
    <t>MAE035/2023-096</t>
  </si>
  <si>
    <t>MAE035/2023-097</t>
  </si>
  <si>
    <t>MAE003/2023-098</t>
  </si>
  <si>
    <t>4-SEPT-2023</t>
  </si>
  <si>
    <t>9</t>
  </si>
  <si>
    <t>MAE026/2023-099</t>
  </si>
  <si>
    <t>8-SEPT-2023</t>
  </si>
  <si>
    <t>PB05AB2522</t>
  </si>
  <si>
    <t>MAE027/2023-100</t>
  </si>
  <si>
    <t>CG08AJ7011</t>
  </si>
  <si>
    <t>MAE017/2023-101</t>
  </si>
  <si>
    <t>20-SEPT-2023</t>
  </si>
  <si>
    <t>MAE014/2023-102</t>
  </si>
  <si>
    <t>21-SEPT-2023</t>
  </si>
  <si>
    <t>MH40CD4044</t>
  </si>
  <si>
    <t>MAE036/2023-103</t>
  </si>
  <si>
    <t>29-SEPT-2023</t>
  </si>
  <si>
    <t>MH40BL6770</t>
  </si>
  <si>
    <t>MAE027/2023-104</t>
  </si>
  <si>
    <t xml:space="preserve">RAIPUR CHHATISGARH </t>
  </si>
  <si>
    <t>CG04NB1302</t>
  </si>
  <si>
    <t>10</t>
  </si>
  <si>
    <t>MAE036/2023-105</t>
  </si>
  <si>
    <t>MAE003/2023-106</t>
  </si>
  <si>
    <t xml:space="preserve">SELDOH NAGPUR </t>
  </si>
  <si>
    <t>MAE014/2023-107</t>
  </si>
  <si>
    <t xml:space="preserve">BAHADURA NAGPUR </t>
  </si>
  <si>
    <t>MH40CD5621</t>
  </si>
  <si>
    <t>MAE003/2023-108</t>
  </si>
  <si>
    <t>MAE017/2023-109</t>
  </si>
  <si>
    <t>MH40BG7522</t>
  </si>
  <si>
    <t>MAE027/2023-110</t>
  </si>
  <si>
    <t>MH40CM3992</t>
  </si>
  <si>
    <t>MAE037/2023-111</t>
  </si>
  <si>
    <t>WITHIN 7 DAYS</t>
  </si>
  <si>
    <t>BBFPL 0172/2023-24</t>
  </si>
  <si>
    <t>MH31FC9888</t>
  </si>
  <si>
    <t>WOOD CHARCOAL</t>
  </si>
  <si>
    <t>MAE037/2023-112</t>
  </si>
  <si>
    <t>MH34AV2755</t>
  </si>
  <si>
    <t>MAE037/2023-113</t>
  </si>
  <si>
    <t>BBFPL 0173/2023-24</t>
  </si>
  <si>
    <t>MH40CM2118/MH40CD7087</t>
  </si>
  <si>
    <t xml:space="preserve">BIOMASS RICE HUSK </t>
  </si>
  <si>
    <t>MAE037/2023-114</t>
  </si>
  <si>
    <t>MH40CM2118</t>
  </si>
  <si>
    <t>MAE037/2023-115</t>
  </si>
  <si>
    <t xml:space="preserve">MH40CM2118/MH40CD7087/MH40CD6707 </t>
  </si>
  <si>
    <t>MAE037/2023-116</t>
  </si>
  <si>
    <t>MH40CM2118/MH40CD6707/MH40CD6389</t>
  </si>
  <si>
    <t>MAE037/2023-117</t>
  </si>
  <si>
    <t>MH40CD6707</t>
  </si>
  <si>
    <t>MAE037/2023-118</t>
  </si>
  <si>
    <t xml:space="preserve"> WITHIN 7 DAYS</t>
  </si>
  <si>
    <t>MAE037/2023-119</t>
  </si>
  <si>
    <t>MH40CD8575</t>
  </si>
  <si>
    <t>MAE037/2023-120</t>
  </si>
  <si>
    <t>MAE037/2023-121</t>
  </si>
  <si>
    <t>MH40CD7087</t>
  </si>
  <si>
    <t>MAE037/2023-122</t>
  </si>
  <si>
    <t>MH40CM8541</t>
  </si>
  <si>
    <t>MAE037/2023-123</t>
  </si>
  <si>
    <t>MH40CD6850</t>
  </si>
  <si>
    <t>MAE037/2023-124</t>
  </si>
  <si>
    <t>MAE037/2023-125</t>
  </si>
  <si>
    <t>MH40AK2913</t>
  </si>
  <si>
    <t>MAE037/2023-126</t>
  </si>
  <si>
    <t>MAE037/2023-127</t>
  </si>
  <si>
    <t>MAE037/2023-128</t>
  </si>
  <si>
    <t>MAE036/2023-129</t>
  </si>
  <si>
    <t>MH31CQ8940</t>
  </si>
  <si>
    <t>11</t>
  </si>
  <si>
    <t>MAE027/2023-130</t>
  </si>
  <si>
    <t>Truck</t>
  </si>
  <si>
    <t>MP50H1109</t>
  </si>
  <si>
    <t>MAE036/2023-131</t>
  </si>
  <si>
    <t>MH40CD5645</t>
  </si>
  <si>
    <t>MAE017/2023-132</t>
  </si>
  <si>
    <t>MAE038/2023-133</t>
  </si>
  <si>
    <t xml:space="preserve">JABALPUR </t>
  </si>
  <si>
    <t>UP94T6788</t>
  </si>
  <si>
    <t>MAE027/2023-134</t>
  </si>
  <si>
    <t>CG04LK1494</t>
  </si>
  <si>
    <t>MAE038/2023-135</t>
  </si>
  <si>
    <t>MH32AJ8341</t>
  </si>
  <si>
    <t>MAE039/2023-136</t>
  </si>
  <si>
    <t>GNG AGRITECH WASTE MANAGEMENT PVT LTD</t>
  </si>
  <si>
    <t>12</t>
  </si>
  <si>
    <t>MAE017/2023-137</t>
  </si>
  <si>
    <t>MH49AT3041</t>
  </si>
  <si>
    <t>MAE040/2023-138</t>
  </si>
  <si>
    <t>MH34M9377</t>
  </si>
  <si>
    <t>MAE017/2023-139</t>
  </si>
  <si>
    <t>MAE027/2023-140</t>
  </si>
  <si>
    <t>MH40YY3036</t>
  </si>
  <si>
    <t>MAE037/2023-141</t>
  </si>
  <si>
    <t>MH04DS0138</t>
  </si>
  <si>
    <t>MAE037/2023-142</t>
  </si>
  <si>
    <t>MAE017/2023-143</t>
  </si>
  <si>
    <t>TCI</t>
  </si>
  <si>
    <t>BAGS</t>
  </si>
  <si>
    <t>Unit</t>
  </si>
  <si>
    <t>MAE037/2023-144</t>
  </si>
  <si>
    <t>MAE037/2023-145</t>
  </si>
  <si>
    <t>MH40CT0181</t>
  </si>
  <si>
    <t>MAE037/2023-146</t>
  </si>
  <si>
    <t>MAE037/2023-147</t>
  </si>
  <si>
    <t>MH40DS0318</t>
  </si>
  <si>
    <t>MAE037/2023-148</t>
  </si>
  <si>
    <t>MH49BZ0138</t>
  </si>
  <si>
    <t>MAE037/2023-149</t>
  </si>
  <si>
    <t>MAE037/2023-150</t>
  </si>
  <si>
    <t>HR55S7341</t>
  </si>
  <si>
    <t>MAE037/2023-151</t>
  </si>
  <si>
    <t>MAE037/2023-152</t>
  </si>
  <si>
    <t>MAE037/2023-153</t>
  </si>
  <si>
    <t>MAE037/2023-154</t>
  </si>
  <si>
    <t>MH36AA2614</t>
  </si>
  <si>
    <t>MAE037/2023-155</t>
  </si>
  <si>
    <t>MAE037/2023-156</t>
  </si>
  <si>
    <t>MAE041/2023-157</t>
  </si>
  <si>
    <t xml:space="preserve">TRUCK </t>
  </si>
  <si>
    <t>MHA31DS3162</t>
  </si>
  <si>
    <t>01</t>
  </si>
  <si>
    <t>2024</t>
  </si>
  <si>
    <t>MAE017/2023-158</t>
  </si>
  <si>
    <t>CG04MN5441</t>
  </si>
  <si>
    <t>MAE011/2023-159</t>
  </si>
  <si>
    <t>MAE021/2023-160</t>
  </si>
  <si>
    <t>15 DAYS WITHIN DELIVERY</t>
  </si>
  <si>
    <t>MH40Y4034</t>
  </si>
  <si>
    <t>MAE027/2023-161</t>
  </si>
  <si>
    <t>MAE021/2023-162</t>
  </si>
  <si>
    <t xml:space="preserve"> 15 DAYS WITHIN DELIVERY</t>
  </si>
  <si>
    <t>MH40BL5405</t>
  </si>
  <si>
    <t>MAE021/2023-163</t>
  </si>
  <si>
    <t>MH40CT5556</t>
  </si>
  <si>
    <t>MAE021/2023-164</t>
  </si>
  <si>
    <t>02</t>
  </si>
  <si>
    <t>MAE021/2023-165</t>
  </si>
  <si>
    <t>DM 256</t>
  </si>
  <si>
    <t>MH40CD6979</t>
  </si>
  <si>
    <t>MAE021/2023-166</t>
  </si>
  <si>
    <t>DM 168</t>
  </si>
  <si>
    <t>MH40CD5995</t>
  </si>
  <si>
    <t>MAE021/2023-167</t>
  </si>
  <si>
    <t>DM 169</t>
  </si>
  <si>
    <t>MH40CD1907</t>
  </si>
  <si>
    <t>MAE021/2023-168</t>
  </si>
  <si>
    <t>DM 258</t>
  </si>
  <si>
    <t>MAE042/2023-169</t>
  </si>
  <si>
    <t>BHANDWADI NAGPUR</t>
  </si>
  <si>
    <t>MAE021/2023-170</t>
  </si>
  <si>
    <t>DM 259</t>
  </si>
  <si>
    <t>MH40Y5405</t>
  </si>
  <si>
    <t>MAE021/2023-171</t>
  </si>
  <si>
    <t xml:space="preserve"> DM 260</t>
  </si>
  <si>
    <t>MH40AK5806</t>
  </si>
  <si>
    <t>MAE021/2023-172</t>
  </si>
  <si>
    <t xml:space="preserve"> DM 261</t>
  </si>
  <si>
    <t>MP48H1255</t>
  </si>
  <si>
    <t>MAE021/2023-173</t>
  </si>
  <si>
    <t>DM 172</t>
  </si>
  <si>
    <t>MAE043/2023-174</t>
  </si>
  <si>
    <t>SLSPL/0240/2023-24</t>
  </si>
  <si>
    <t>CHINDWARA MP</t>
  </si>
  <si>
    <t>MH37F2929</t>
  </si>
  <si>
    <t>MAE021/2023-175</t>
  </si>
  <si>
    <t>MAE044/2023-176</t>
  </si>
  <si>
    <t>ANGUL ODISHA</t>
  </si>
  <si>
    <t>CG04MP9929</t>
  </si>
  <si>
    <t>MAE021/2023-177</t>
  </si>
  <si>
    <t>DM 264</t>
  </si>
  <si>
    <t>MAE045/2023-178</t>
  </si>
  <si>
    <t>WE23Y-00268</t>
  </si>
  <si>
    <t xml:space="preserve">WADSA GADCHIROLI </t>
  </si>
  <si>
    <t>MAE045/2023-179</t>
  </si>
  <si>
    <t>MH04DS0139</t>
  </si>
  <si>
    <t>MAE045/2023-180</t>
  </si>
  <si>
    <t>MAE045/2023-181</t>
  </si>
  <si>
    <t>MAE021/24-25-001</t>
  </si>
  <si>
    <t>MP09HH5930</t>
  </si>
  <si>
    <t>MAE045/24-25-002</t>
  </si>
  <si>
    <t>MAE045/24-25-003</t>
  </si>
  <si>
    <t>MAE045/24-25-004</t>
  </si>
  <si>
    <t>MAE021/24-25-005</t>
  </si>
  <si>
    <t>MH34AB9311</t>
  </si>
  <si>
    <t>MAE021/24-25-006</t>
  </si>
  <si>
    <t>MAE045/24-25-007</t>
  </si>
  <si>
    <t>MAE021/24-25-008</t>
  </si>
  <si>
    <t>MP48H1352</t>
  </si>
  <si>
    <t>MAE021/24-25-009</t>
  </si>
  <si>
    <t>MP13GA5186</t>
  </si>
  <si>
    <t>MAE021/24-25-010</t>
  </si>
  <si>
    <t>MAE021/24-25-011</t>
  </si>
  <si>
    <t>MP28-5066</t>
  </si>
  <si>
    <t>MAE021/24-25-012</t>
  </si>
  <si>
    <t>MH40GD4588</t>
  </si>
  <si>
    <t>MAE021/24-25-013</t>
  </si>
  <si>
    <t xml:space="preserve"> -  15 DAYS WITHIN DELIVERY</t>
  </si>
  <si>
    <t xml:space="preserve"> TRUCK</t>
  </si>
  <si>
    <t>MH40BL6418</t>
  </si>
  <si>
    <t>MAE043/24-25-0014</t>
  </si>
  <si>
    <t>SLSPL/MEC-042/24-25</t>
  </si>
  <si>
    <t>BORGAON MP</t>
  </si>
  <si>
    <t>MH40BL6422</t>
  </si>
  <si>
    <t>MAE021/24-25-015</t>
  </si>
  <si>
    <t>MP48H2959</t>
  </si>
  <si>
    <t>MAE021/24-25-016</t>
  </si>
  <si>
    <t>MH40BL6417</t>
  </si>
  <si>
    <t>MAE046/24-25-017</t>
  </si>
  <si>
    <t xml:space="preserve"> ADVANCE </t>
  </si>
  <si>
    <t>MH40LT1186</t>
  </si>
  <si>
    <t>MAE029/24-25-018</t>
  </si>
  <si>
    <t>MP48H9502</t>
  </si>
  <si>
    <t>MAE046/24-25-019</t>
  </si>
  <si>
    <t>MAE047/24-25-020</t>
  </si>
  <si>
    <t xml:space="preserve"> ADV </t>
  </si>
  <si>
    <t xml:space="preserve">ACPL LIMITED </t>
  </si>
  <si>
    <t>AMRAVATI MIDC</t>
  </si>
  <si>
    <t>MAE029/24-25-021</t>
  </si>
  <si>
    <t>MAE046/24-25-022</t>
  </si>
  <si>
    <t>MAE021/24-25-023</t>
  </si>
  <si>
    <t>MH40BL6521</t>
  </si>
  <si>
    <t>MAE026/24-25-024</t>
  </si>
  <si>
    <t>ADV</t>
  </si>
  <si>
    <t>RJ11GC8503</t>
  </si>
  <si>
    <t>MAE029/24-25-025</t>
  </si>
  <si>
    <t>MAE043/24-25-026</t>
  </si>
  <si>
    <t xml:space="preserve"> Within 10 Days</t>
  </si>
  <si>
    <t>BORGAON CHINDWARA MP</t>
  </si>
  <si>
    <t>MP45H3083</t>
  </si>
  <si>
    <t>MAE048/24-25-027</t>
  </si>
  <si>
    <t>30-SEPT-2024</t>
  </si>
  <si>
    <t xml:space="preserve">AMRAVATI </t>
  </si>
  <si>
    <t>PACKING PALLETS</t>
  </si>
  <si>
    <t>PCS</t>
  </si>
  <si>
    <t>MAE010/24-25-028</t>
  </si>
  <si>
    <t>MH30BD9365</t>
  </si>
  <si>
    <t>MAE043/24-25-029</t>
  </si>
  <si>
    <t>MH40BL5997</t>
  </si>
  <si>
    <t>MAE043/24-25-030</t>
  </si>
  <si>
    <t>MH40CD0703</t>
  </si>
  <si>
    <t>MAE043/24-25-031</t>
  </si>
  <si>
    <t>MH40BG3970</t>
  </si>
  <si>
    <t>MAE043/24-25-032</t>
  </si>
  <si>
    <t>MAE036/24-25-033</t>
  </si>
  <si>
    <t>MH40BL6429</t>
  </si>
  <si>
    <t>MAE049/24-25-034</t>
  </si>
  <si>
    <t>MAE036/24-25-035</t>
  </si>
  <si>
    <t>MH40CT2270</t>
  </si>
  <si>
    <t>MAE010/24-25-036</t>
  </si>
  <si>
    <t>MP19HA2612</t>
  </si>
  <si>
    <t>MAE050/24-25-037</t>
  </si>
  <si>
    <t>BARGHAT SEONI M.P</t>
  </si>
  <si>
    <t>MP22G8887</t>
  </si>
  <si>
    <t>MAE036/24-25-038</t>
  </si>
  <si>
    <t>MIDC NAGPUR</t>
  </si>
  <si>
    <t>MAE036/24-25-039</t>
  </si>
  <si>
    <t>MAE010/24-25-041</t>
  </si>
  <si>
    <t>MP22G2805</t>
  </si>
  <si>
    <t>MAE006/24-25-042</t>
  </si>
  <si>
    <t>MH40AK1510</t>
  </si>
  <si>
    <t>MAE006/24-25-043</t>
  </si>
  <si>
    <t>MH40EY3675</t>
  </si>
  <si>
    <t>MAE006/24-25-044</t>
  </si>
  <si>
    <t>MAE052/24-25-045</t>
  </si>
  <si>
    <t>GAYA BIHAR</t>
  </si>
  <si>
    <t>UP45T2285</t>
  </si>
  <si>
    <t>MAE006/24-25-046</t>
  </si>
  <si>
    <t>MH40Y8681</t>
  </si>
  <si>
    <t>MAE006/24-25-047</t>
  </si>
  <si>
    <t>MH40CD8448</t>
  </si>
  <si>
    <t>MAE010/25-26-001</t>
  </si>
  <si>
    <t>PO NO 25-26/001</t>
  </si>
  <si>
    <t>MAE054/25-26-002</t>
  </si>
  <si>
    <t>PANVEL MAHARASHTRA</t>
  </si>
  <si>
    <t>MH27BX8356</t>
  </si>
  <si>
    <t>MAE054/25-26-003</t>
  </si>
  <si>
    <t>MH16AY9345</t>
  </si>
  <si>
    <t>MAE036/25-26-0004</t>
  </si>
  <si>
    <t>MIDC BUTIBORI NAGPUR</t>
  </si>
  <si>
    <t>MH40BL4122</t>
  </si>
  <si>
    <t>MAE048/25-26-0005</t>
  </si>
  <si>
    <t>AMRAVATI</t>
  </si>
  <si>
    <t>MH46X6441</t>
  </si>
  <si>
    <t>MAE036/25-26-0006</t>
  </si>
  <si>
    <t>MH40BL1261</t>
  </si>
  <si>
    <t>MAE036/25-26-0007</t>
  </si>
  <si>
    <t>MH31CB7859</t>
  </si>
  <si>
    <t>MAE036/25-26-0008</t>
  </si>
  <si>
    <t>MH40CD0165</t>
  </si>
  <si>
    <t>MAE036/25-26-0009</t>
  </si>
  <si>
    <t>MH43Y5607</t>
  </si>
  <si>
    <t>MAE036/25-26-0010</t>
  </si>
  <si>
    <t>MAE036/25-26-0011</t>
  </si>
  <si>
    <t>MAE055/25-26-0012</t>
  </si>
  <si>
    <t>WADA PALGHAR</t>
  </si>
  <si>
    <t>MH43Y4103</t>
  </si>
  <si>
    <t>MAE036/25-26-0013</t>
  </si>
  <si>
    <t>MAE036/25-26-0014</t>
  </si>
  <si>
    <t>MAE056/25-26-0015</t>
  </si>
  <si>
    <t>HINGNA MIDC</t>
  </si>
  <si>
    <t>MAE057/25-26-0016</t>
  </si>
  <si>
    <t>ACPL</t>
  </si>
  <si>
    <t>HYDRABAD</t>
  </si>
  <si>
    <t>MAE023/25-26-0017</t>
  </si>
  <si>
    <t>NEW PANVEL</t>
  </si>
  <si>
    <t>DM- 283</t>
  </si>
  <si>
    <t>SELF PICKUP</t>
  </si>
  <si>
    <t>SOENI M.P</t>
  </si>
  <si>
    <t>MH-49BZ-1179</t>
  </si>
  <si>
    <t>MAE048/25-26-0019</t>
  </si>
  <si>
    <t>BIOMASS PELLET STOVE 15KG</t>
  </si>
  <si>
    <t>MAE059/25-26-0021</t>
  </si>
  <si>
    <t>MAE058/25-26-0022</t>
  </si>
  <si>
    <t>MAE059/25-26-0023</t>
  </si>
  <si>
    <t>BHANDARA</t>
  </si>
  <si>
    <t>MAE058/25-26-0024</t>
  </si>
  <si>
    <t>MAE060/25-26-0025</t>
  </si>
  <si>
    <t>BILL OF SUPPLY</t>
  </si>
  <si>
    <r>
      <rPr>
        <rFont val="Arial"/>
        <color rgb="FF000000"/>
        <sz val="8.0"/>
      </rPr>
      <t xml:space="preserve">For </t>
    </r>
    <r>
      <rPr>
        <rFont val="Arial"/>
        <b/>
        <color rgb="FF000000"/>
        <sz val="8.0"/>
      </rPr>
      <t>MAHALAXMI AGRO ENERGIES (2022-2023)</t>
    </r>
  </si>
  <si>
    <t>CODE</t>
  </si>
  <si>
    <t>Cust Name</t>
  </si>
  <si>
    <t>Address</t>
  </si>
  <si>
    <t>GSTN</t>
  </si>
  <si>
    <t>State Name</t>
  </si>
  <si>
    <t>Pin Code</t>
  </si>
  <si>
    <t>Email</t>
  </si>
  <si>
    <t>MAE001</t>
  </si>
  <si>
    <t>JEEVIKA YUGCHEM PVT LTD.</t>
  </si>
  <si>
    <t>K - 53, MIDC, BUTIBORI FIVE STAR INDUSTRIAL AREA, DIST-NAGPUR</t>
  </si>
  <si>
    <t>27AACCJ5745Q1ZW</t>
  </si>
  <si>
    <t>jeevika.yugchem@gmail.com</t>
  </si>
  <si>
    <t>SUPERIOR DRINKS PVT LTD.</t>
  </si>
  <si>
    <t>B-220, MIDC, INDUSTRIAL AREA, BUTIBORI, MAHARASHTRA, 441122</t>
  </si>
  <si>
    <t>akhilesh@superiordrinks.com</t>
  </si>
  <si>
    <t>MAE002</t>
  </si>
  <si>
    <t>PDDR MEDICAL PRODUCTS &amp; SERVICES PVT LTD</t>
  </si>
  <si>
    <t>122/2 MOUJA SANGAM OPP. DADASAHEB KALMEGH DENTAL COLLEGE, WANADONGARI, HINGNA ROAD, NAGPUR</t>
  </si>
  <si>
    <t>27AAICP9043P1ZM</t>
  </si>
  <si>
    <t>info@dhobitech.com</t>
  </si>
  <si>
    <t>SHREE GAYATRI PACKAGING</t>
  </si>
  <si>
    <t>S302, SELDOH-SELU, SELDOH, WARDHA, MH 442001</t>
  </si>
  <si>
    <t>27CWDPS6036D1ZH</t>
  </si>
  <si>
    <t>MAE004</t>
  </si>
  <si>
    <t>LECILITE INGREDIENTS PVT LTD</t>
  </si>
  <si>
    <t>PLOT NO - D63, OPP RELIANCE POWER PLANT, MIDC, BUTIBORI, NAGPUR</t>
  </si>
  <si>
    <t>27AANCA0464E1ZT</t>
  </si>
  <si>
    <t>accounts@lecilite.com</t>
  </si>
  <si>
    <t>MAE005</t>
  </si>
  <si>
    <t>ACI CLEAN ENERGY PVT LTD</t>
  </si>
  <si>
    <t>PLOT NO H-22, KANHOLIBARA ROAD, BUTIBORI, MIDC, NAGPUR</t>
  </si>
  <si>
    <t>27AAICA1854D1ZW</t>
  </si>
  <si>
    <t>MAE006</t>
  </si>
  <si>
    <t>663, GHAT ROAD, NEAR POOJA DAIRY, NAGPUR</t>
  </si>
  <si>
    <t>27AAMFN0334Q1ZT</t>
  </si>
  <si>
    <t>KABRA FOODS</t>
  </si>
  <si>
    <t>J - 97, MIDC, JALGAON</t>
  </si>
  <si>
    <t>URB</t>
  </si>
  <si>
    <t>MAE008</t>
  </si>
  <si>
    <t>RAVINDRADATTA, CO-OP HOUSING SOCIETY, B/3063 BP CROSS ROAD, BHAYANDAR, MUMBAI</t>
  </si>
  <si>
    <t>27ABCPD4196R1Z4</t>
  </si>
  <si>
    <t>MAE009</t>
  </si>
  <si>
    <t>AMAN TRADERS</t>
  </si>
  <si>
    <t>NEAR ROCKY TALKIES, KMPU, LASHKAR ROAD, GWALIOR</t>
  </si>
  <si>
    <t>23JHQPK7753C1Z0</t>
  </si>
  <si>
    <t>MADHYA PRADESH</t>
  </si>
  <si>
    <t>KRISHNA ENTERPRISES</t>
  </si>
  <si>
    <t>27AANFK6943M1ZK</t>
  </si>
  <si>
    <t>MAE011</t>
  </si>
  <si>
    <t>VIDARBHA SALES</t>
  </si>
  <si>
    <t>A - 705 LOKMAT BHAWAN, WARDHA ROAD, NAGPUR</t>
  </si>
  <si>
    <t>27AAGFV1027J1Z5</t>
  </si>
  <si>
    <t>MAE012</t>
  </si>
  <si>
    <t>SHRI SHIVAY AGRO ENERGIES</t>
  </si>
  <si>
    <t>WARD NO. 5, KATANGI, DIST BALAGHAT</t>
  </si>
  <si>
    <t>23BQRPT4944C1CK</t>
  </si>
  <si>
    <t>MAE013</t>
  </si>
  <si>
    <t>SHREE BAIDYANATH AYUR BHAWAN PVT LTD</t>
  </si>
  <si>
    <t>27AAECS54081ZK</t>
  </si>
  <si>
    <t>care@baidyanath.info</t>
  </si>
  <si>
    <t>MAE014</t>
  </si>
  <si>
    <t>SIDDHAYU AYURVEDIC RESEARCH FOUNDATION PVT LTD</t>
  </si>
  <si>
    <t>KH NO. 103, MOUZA BAHADURA, UMRED ROAD, NAGPUR</t>
  </si>
  <si>
    <t>27AAACS83351ZC</t>
  </si>
  <si>
    <t>MAE015</t>
  </si>
  <si>
    <t>ASIAN GLOBAL EXIM</t>
  </si>
  <si>
    <t>PLOT NO. 61, WARD NO.3, TEMBHRI, AALAGONDI, NAGPUR</t>
  </si>
  <si>
    <t>27DDFPP8418E1ZC</t>
  </si>
  <si>
    <t>MAE016</t>
  </si>
  <si>
    <t>BHARTI ENTERPRISES</t>
  </si>
  <si>
    <t>FLAT NO 401 TYPE 1 WING A KASTURI NAG GOTAL PANJRI BESA NAGPUR</t>
  </si>
  <si>
    <t>27GVHPD1357R1ZZ</t>
  </si>
  <si>
    <t>MAE017</t>
  </si>
  <si>
    <t>SAI KALYANI AGENCY</t>
  </si>
  <si>
    <t>PLOT NO-GV/39, JAGANNATHA NAGAR, ROAD NO-11, PO-GGP COLONY, Bhubaneswar, Khordha, Odisha, 751025</t>
  </si>
  <si>
    <t>21AXYPP6560F1Z2</t>
  </si>
  <si>
    <t>ODISHA</t>
  </si>
  <si>
    <t>JITENDRAPANIGRAHI84@GMAIL.COM</t>
  </si>
  <si>
    <t>MAE018</t>
  </si>
  <si>
    <t>AMBARATI</t>
  </si>
  <si>
    <t>M 22 MIDC HINGNA NAGPUR 440016</t>
  </si>
  <si>
    <t>27AAAFA3435F1ZX</t>
  </si>
  <si>
    <t>MAE019</t>
  </si>
  <si>
    <t>NITIKA PHARMACEUTICALS SPECIALITIES PVT. LTD</t>
  </si>
  <si>
    <t>26 PANKAJ PRABHA DHARAMPETH NAGPUR 440010</t>
  </si>
  <si>
    <t>27AADCN7442F1ZG</t>
  </si>
  <si>
    <t>MAE020</t>
  </si>
  <si>
    <t>A K WAFER PRODUCTS</t>
  </si>
  <si>
    <t>NEAR GANJESHAHEEDA MASJID JINSI ROAD BAIJI PURA AURANGABAD M.H</t>
  </si>
  <si>
    <t>27AUSPS3059H1ZZ</t>
  </si>
  <si>
    <t>MAE021</t>
  </si>
  <si>
    <t>HARIWANSH PACKAGING PVT LTD</t>
  </si>
  <si>
    <t xml:space="preserve">PLOT NO K 62, OPP GAMMON INDIA BUTIBORI NAGPUR </t>
  </si>
  <si>
    <t>27AACCH4833P1Z5</t>
  </si>
  <si>
    <t>PURCHASE@HARIWANSH.COM</t>
  </si>
  <si>
    <t>MAE022</t>
  </si>
  <si>
    <t>BIO ENERGY</t>
  </si>
  <si>
    <t>SR NO. 48/2 CHAVAN INDUSTRIES GODOWN NO 8 NEAR BENKAR VASTI DHAYARI PUNE 411041</t>
  </si>
  <si>
    <t>27AAYFB8353R1Z8</t>
  </si>
  <si>
    <t>BIOENERGYPUNE@GMAIL.COM</t>
  </si>
  <si>
    <t>MAE023</t>
  </si>
  <si>
    <t>GREENWAKE ENERGY SOLUTIONS</t>
  </si>
  <si>
    <t>SHARDA SAGAR CHSL 003 GR.FLOOR ROAD NO 7 PLOT NO 167-168 SECTOR 10 NEW PANVEL MAHARASTRA</t>
  </si>
  <si>
    <t>MAE024</t>
  </si>
  <si>
    <t>NATURE BLISS AGRO FARMS</t>
  </si>
  <si>
    <t>KARANJA MAHARASTRA</t>
  </si>
  <si>
    <t>MAE025</t>
  </si>
  <si>
    <t>SHIVA TRADERS</t>
  </si>
  <si>
    <t>SHREEYA COMPLEX RING ROAD NO 2 TATIBANDH RAIPUR</t>
  </si>
  <si>
    <t>22AGVPS3688K1ZH</t>
  </si>
  <si>
    <t>CHATTISGARH</t>
  </si>
  <si>
    <t>MAE026</t>
  </si>
  <si>
    <t>MITTAL COAL COMPANY</t>
  </si>
  <si>
    <t>JAGANNATH PURI BEHIND BAHADUR MOTORS DELHI ROAD MEERUT</t>
  </si>
  <si>
    <t>09AABFM8974G1ZU</t>
  </si>
  <si>
    <t>UTTAR PRADESH</t>
  </si>
  <si>
    <t>MAE027</t>
  </si>
  <si>
    <t>AERO AGRO CHEMICAL INDUSTRIES</t>
  </si>
  <si>
    <t>427/3 INDUSTRIAL AREA BHANPURI RAIPUR CHATTISGARH 493221</t>
  </si>
  <si>
    <t>22AACCA4247N1ZQ</t>
  </si>
  <si>
    <t>MAE028</t>
  </si>
  <si>
    <t>CRYSTAL CROP PROTECTION LIMITED</t>
  </si>
  <si>
    <t>G-54 MIDC INDUSTRIAL AREA BUTIBORI NAGPUR</t>
  </si>
  <si>
    <t>27AABCJ3574E2ZM</t>
  </si>
  <si>
    <t>MAE029</t>
  </si>
  <si>
    <t>AEC PLAST PRIVATE LIMITED</t>
  </si>
  <si>
    <t>PLOT NO B-32 TO 35,TEMBHARI,MIDC BUTIBORI NAGPUR</t>
  </si>
  <si>
    <t>27AAUCA1519R1ZX</t>
  </si>
  <si>
    <t>MAE030</t>
  </si>
  <si>
    <t>5,SAHIL PARK SOCIETY,NR. S.T. BUS STAND,JAMBUSAR,DISTRICT-BHARUCH,GUJARAT</t>
  </si>
  <si>
    <t>24AADCC3639H1ZU</t>
  </si>
  <si>
    <t>MAE031</t>
  </si>
  <si>
    <t>RSG AGRO WASTE MANAGEMENT</t>
  </si>
  <si>
    <t>PLOT NO A-14/1,BUTIBORI MIDC</t>
  </si>
  <si>
    <t>27ABEFR4697M1ZD</t>
  </si>
  <si>
    <t>MAE032</t>
  </si>
  <si>
    <t>MPM PVT LIMITED</t>
  </si>
  <si>
    <t>M-22, HINGNA MIDC,</t>
  </si>
  <si>
    <t>MAE033</t>
  </si>
  <si>
    <t>SHAKTI INDUSTRIES , CHATRAPATI NAGAR,AURANGABAD</t>
  </si>
  <si>
    <t>27AKEPJ1893J1ZV</t>
  </si>
  <si>
    <t>MAE034</t>
  </si>
  <si>
    <t>SHREE GAJANAN ENTERPRISES</t>
  </si>
  <si>
    <t>PLOT NO 8 SHRI KRISHNA NAGAR GODHANI ROAD ZINGABAI TAKLI NAGPUR 440030</t>
  </si>
  <si>
    <t>27AKYPI7194M1Z0</t>
  </si>
  <si>
    <t>MAE035</t>
  </si>
  <si>
    <t>SRJ ENERGY</t>
  </si>
  <si>
    <t>172SUDAM ROAD BAPURAO GALLI ITWARI NAGPUR 440002</t>
  </si>
  <si>
    <t>27ANJPJ0780C1Z7</t>
  </si>
  <si>
    <t>MAE036</t>
  </si>
  <si>
    <t xml:space="preserve">NJ RENEWABLE ENERGY PVT LIMITED </t>
  </si>
  <si>
    <t>410 4th FLOOR TECHNO I T  PARK EKSAR LINK ROAD BORIWALI WEST MUMBAI 400092</t>
  </si>
  <si>
    <t>27AAGCN9404L1Z2</t>
  </si>
  <si>
    <t>njrepl@yahoo.com</t>
  </si>
  <si>
    <t>MAE037</t>
  </si>
  <si>
    <t>BAIDYANATH BIOFUELS PVT LIMITED</t>
  </si>
  <si>
    <t>PLOT NO B-48 ADDL BUTIBORI INDUSTRIAL AREA VILLAGE BRAMHNI NAGPUR -441122</t>
  </si>
  <si>
    <t>27AAJCB2196C1ZR</t>
  </si>
  <si>
    <t>MAE038</t>
  </si>
  <si>
    <t>VENUS ENTERPRISES ENERGY PVT LTD</t>
  </si>
  <si>
    <t xml:space="preserve">B.NO 28,50 GREEN HEIGHTS OPPOSITE KAMALNAYAN BAJAJ HOSPITAL BEED BYPASS AURANGABAD </t>
  </si>
  <si>
    <t>27AAICV6412C1ZH</t>
  </si>
  <si>
    <t xml:space="preserve">MAHARASHTRA </t>
  </si>
  <si>
    <t>venusgogreen@gmail.com</t>
  </si>
  <si>
    <t>MAE039</t>
  </si>
  <si>
    <t xml:space="preserve">K.KHATA 35/57 VILLAGE BABUPUR NEAR DAULATABAD,GURUGRAM,HARYANA </t>
  </si>
  <si>
    <t>06AAHCG0807D1Z4</t>
  </si>
  <si>
    <t>HARYANA</t>
  </si>
  <si>
    <t>accounts@gnggroup.com</t>
  </si>
  <si>
    <t>MAE040</t>
  </si>
  <si>
    <t>GVR NUTRIES PVT LTD</t>
  </si>
  <si>
    <t xml:space="preserve">AT CHICHGHAT (RATHI) POST SHEGAON (KUNDI) TAH HINGANGHAT WARDHA </t>
  </si>
  <si>
    <t>27AAECG7015J1ZK</t>
  </si>
  <si>
    <t>WARUNRATHI@GMAIL.COM</t>
  </si>
  <si>
    <t>MAE041</t>
  </si>
  <si>
    <t xml:space="preserve">VANDANA FOODS </t>
  </si>
  <si>
    <t xml:space="preserve">PL No-C-9/2,MIDC HINGNA ROAD, NAGPUR </t>
  </si>
  <si>
    <t>27AAFFV2157C1ZC</t>
  </si>
  <si>
    <t>MAE042</t>
  </si>
  <si>
    <t>THE URBAN INFRA INC</t>
  </si>
  <si>
    <t>OPP L AND T GANE NO 7,12,1202, SHRISTI GALAXY POWAI,SAKINAKA,MUMBAI MUMBAI SUBURBAN,MAHARASTRA</t>
  </si>
  <si>
    <t>MAE043</t>
  </si>
  <si>
    <t>SIDDHAYU LIFE SCIENCES PVT LTD</t>
  </si>
  <si>
    <t>J71,J72,J73,J74,J75,J76 IGC BORGAON SECTOR KHAIRITAIGAON CHINDWARA MADHYAPRADESH</t>
  </si>
  <si>
    <t>23ABECS8506K1Z6</t>
  </si>
  <si>
    <t>MAE044</t>
  </si>
  <si>
    <t>JAI DURGA ENTERPRISES</t>
  </si>
  <si>
    <t>AT PO TUBEY PS JARPADA DIST ANGUL ODISHA</t>
  </si>
  <si>
    <t>21DJZPS8796C1ZB</t>
  </si>
  <si>
    <t>MAE045</t>
  </si>
  <si>
    <t xml:space="preserve">SIDDHAYU AYURVEDIC RESEARCH FOUNDATION PVT LTD </t>
  </si>
  <si>
    <t>FACTORY 172 LAKHANDUR ROAD DESAIGANJ WADSA</t>
  </si>
  <si>
    <t>27AAACS8335F1ZC</t>
  </si>
  <si>
    <t>MAE046</t>
  </si>
  <si>
    <t xml:space="preserve">MAHI ENTERPRISES </t>
  </si>
  <si>
    <t>PLOT 68 WARD NO 3 BEHIND DATTA MEGHE COLLEGE SAROJINI LAYOUT RAJIV NAGAR WANADONGRI HINGNA</t>
  </si>
  <si>
    <t>27FLBPB9524F1Z8</t>
  </si>
  <si>
    <t>MAE047</t>
  </si>
  <si>
    <t xml:space="preserve">SHRI HARI FOOD INDUSTRIES </t>
  </si>
  <si>
    <t xml:space="preserve">PLOT NO M-15 ADDITIONAL MIDC NANDGAONPETH AMRAVATI </t>
  </si>
  <si>
    <t>27KAAPS0192H1ZG</t>
  </si>
  <si>
    <t>MAE048</t>
  </si>
  <si>
    <t>VITUS OIL SOLUTIONS PVT LTD</t>
  </si>
  <si>
    <t>DREAMZLAND BUSINESS PARK B-4 SHOP NO 31 AMRAVATI</t>
  </si>
  <si>
    <t>27AAKCV2083M1ZR</t>
  </si>
  <si>
    <t>MAE049</t>
  </si>
  <si>
    <t>TTD METAL UDYOG</t>
  </si>
  <si>
    <t>49 Gajanan nagar midc electronic zone square Hingna road Nagpur 16</t>
  </si>
  <si>
    <t>27ATBPD3858P1Z9</t>
  </si>
  <si>
    <t>MAE050</t>
  </si>
  <si>
    <t>M/S BISEN BIO ENERGIES</t>
  </si>
  <si>
    <t>WARD NO 1 MUNDAPAR BARGHAT DSIT. SEONI (M.P) 480667</t>
  </si>
  <si>
    <t>23BTWPB6798Q3ZG</t>
  </si>
  <si>
    <t>MAE051</t>
  </si>
  <si>
    <t>VAISHNAW TRADING COMPANY</t>
  </si>
  <si>
    <t>DABKI ROAD OLD CITY AKOLA MAHARASTRA 444002</t>
  </si>
  <si>
    <t>27BZZPV9605H1ZA</t>
  </si>
  <si>
    <t>MAE052</t>
  </si>
  <si>
    <t>MAA BAGLA TRADERS</t>
  </si>
  <si>
    <t>KHATA NO 7 MAUJA GOGA MANPUR GAYA GAYA BIHAR</t>
  </si>
  <si>
    <t>10FAUPR7910H1ZD</t>
  </si>
  <si>
    <t>BIHAR</t>
  </si>
  <si>
    <t>Sankalp Industries</t>
  </si>
  <si>
    <t>Nimbhora Lahe, Badnera Amravati</t>
  </si>
  <si>
    <t>27ACLFS7336L1ZF</t>
  </si>
  <si>
    <t>MAE054</t>
  </si>
  <si>
    <t>SAI STEAM SERVICES</t>
  </si>
  <si>
    <t>OPP DEVEDAYA NAGAR, B 102, IRIS UNNATHI GARDENS,OFF POKHRAN RD 1, PRABHAKAR KUTHE MARG, Thane,Maharashtra, 400606</t>
  </si>
  <si>
    <t>27ACWPD5063G1ZD</t>
  </si>
  <si>
    <t>MAE055</t>
  </si>
  <si>
    <t>GAUTAM ENTERPRISES</t>
  </si>
  <si>
    <t>CS NO 2494, BESIDE ASHWOOD MEMORIAL HOSPITAL DAUND MAHARASHTRA</t>
  </si>
  <si>
    <t>27FTOPM7205K2Z2</t>
  </si>
  <si>
    <t>MAE056</t>
  </si>
  <si>
    <t>BHUTTATVA BIOTECH</t>
  </si>
  <si>
    <t>Shop No 2, Commercial Phase 1, First City, MIHAN, Khapri, Nagpur 441108</t>
  </si>
  <si>
    <t>27ERGPK4411J1ZQ</t>
  </si>
  <si>
    <t xml:space="preserve">adept.infra@gmail.com </t>
  </si>
  <si>
    <t>MAE057</t>
  </si>
  <si>
    <t>PARMESHWAR KALE</t>
  </si>
  <si>
    <t xml:space="preserve">7-3-123/A/2 PLOT NO 44 SY NO 72 &amp; 25 GAGAN PAHAD RAJENDRA  NAGAR TELANGANA </t>
  </si>
  <si>
    <t>MAE058</t>
  </si>
  <si>
    <t>EXOTIC HOSPITALITY NAGPUR PVT LTD</t>
  </si>
  <si>
    <t>TATHASTU PENCH PENCH TIGER RESERVE AWARGHANI TURIA SEONI</t>
  </si>
  <si>
    <t>23AAACE8761B1Z0</t>
  </si>
  <si>
    <t>ravi@sandeepdwellers.com</t>
  </si>
  <si>
    <t>MAE059</t>
  </si>
  <si>
    <t>SGB AMRUT PRASAD CLEANING HOUSE</t>
  </si>
  <si>
    <t>SHAHPUR BHANDARA</t>
  </si>
  <si>
    <t>MAE060</t>
  </si>
  <si>
    <t>GAURI,S TAVA TADKA</t>
  </si>
  <si>
    <t>HARIDARSHAN APARTMENT TRIMURTI NAGAR BESIDE KRISHNA DENTAL CLINIC</t>
  </si>
  <si>
    <t>MAE061</t>
  </si>
  <si>
    <t>PRODUCT NAME</t>
  </si>
  <si>
    <t>HSN CODE</t>
  </si>
  <si>
    <t>BIOMASS PELLET STOVE 10KG</t>
  </si>
  <si>
    <t>Turnover Data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</si>
  <si>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</si>
  <si>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</si>
  <si>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</si>
  <si>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</si>
  <si>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</si>
  <si>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</si>
  <si>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</si>
  <si>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</si>
  <si>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</si>
  <si>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</si>
  <si>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</si>
  <si>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</si>
  <si>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In MT</t>
  </si>
  <si>
    <t>SUM of QTY</t>
  </si>
  <si>
    <t>SUM of Amount</t>
  </si>
  <si>
    <t>Average Profit Share</t>
  </si>
  <si>
    <t>Grand Total</t>
  </si>
  <si>
    <t>Biomass Briquette 90mm</t>
  </si>
  <si>
    <t>Biomass Pallete 6 MM</t>
  </si>
  <si>
    <t>Pay To DSP</t>
  </si>
  <si>
    <t>Remarks</t>
  </si>
  <si>
    <t>Balance</t>
  </si>
  <si>
    <t>Labour</t>
  </si>
  <si>
    <t>Cleared</t>
  </si>
  <si>
    <t>Sandeep</t>
  </si>
  <si>
    <t>Disputed</t>
  </si>
  <si>
    <t>Yaman</t>
  </si>
  <si>
    <t>Mahalaxmi Agro Energies</t>
  </si>
  <si>
    <t>Trail Date : 20 March 2026</t>
  </si>
  <si>
    <t xml:space="preserve">Location : </t>
  </si>
  <si>
    <t>Trial on Commercial LPG Gas</t>
  </si>
  <si>
    <t>Trial on Biomass Pellet</t>
  </si>
  <si>
    <t>Type of LPG Cylinder Used</t>
  </si>
  <si>
    <t>Commercial Cylinder</t>
  </si>
  <si>
    <t>Type of Stove Used</t>
  </si>
  <si>
    <t>MAE 10K</t>
  </si>
  <si>
    <t>Weight of LPG Cylinder</t>
  </si>
  <si>
    <t>30.38KG</t>
  </si>
  <si>
    <t xml:space="preserve">Weight of Pellet Used </t>
  </si>
  <si>
    <t>4.5KG</t>
  </si>
  <si>
    <t>Gas On</t>
  </si>
  <si>
    <t>3.19PM</t>
  </si>
  <si>
    <t>Stove Start Time</t>
  </si>
  <si>
    <t>3.06 PM</t>
  </si>
  <si>
    <t>Water Boiling Start On</t>
  </si>
  <si>
    <t>Charge Time (Time to Start Fully)</t>
  </si>
  <si>
    <t>4 Min</t>
  </si>
  <si>
    <t>Water Boiled by</t>
  </si>
  <si>
    <t>3.33PM</t>
  </si>
  <si>
    <t>3.10 PM</t>
  </si>
  <si>
    <t>Total Time required to boil water</t>
  </si>
  <si>
    <t>14 Min</t>
  </si>
  <si>
    <t>2.5 KG Noodles Start Boiling On</t>
  </si>
  <si>
    <t>3.19 PM</t>
  </si>
  <si>
    <t>7 KG Rice Start Boiling on</t>
  </si>
  <si>
    <t>3.34PM</t>
  </si>
  <si>
    <t>Noodles Boil on</t>
  </si>
  <si>
    <t>3.39 PM</t>
  </si>
  <si>
    <t>Rice Boiled On</t>
  </si>
  <si>
    <t>3.49PM</t>
  </si>
  <si>
    <t>Time Required to boil Noodles</t>
  </si>
  <si>
    <t>20 Min</t>
  </si>
  <si>
    <t>Total Time required to boil Rice</t>
  </si>
  <si>
    <t>15 Min</t>
  </si>
  <si>
    <t>Water for Rice to Boil Start on</t>
  </si>
  <si>
    <t>3.46 PM</t>
  </si>
  <si>
    <t>Gas Off time</t>
  </si>
  <si>
    <t>3.50 PM</t>
  </si>
  <si>
    <t>7 KG Rice Start Boiling On</t>
  </si>
  <si>
    <t>3.57 PM</t>
  </si>
  <si>
    <t>Gas Again start time</t>
  </si>
  <si>
    <t>3.56 PM</t>
  </si>
  <si>
    <t xml:space="preserve">Rice Boiled On </t>
  </si>
  <si>
    <t>4.20 PM</t>
  </si>
  <si>
    <t>Water Start Boiling on</t>
  </si>
  <si>
    <t>Total Time required to Boil Rice</t>
  </si>
  <si>
    <t>21 Min</t>
  </si>
  <si>
    <t>Water Boiled on</t>
  </si>
  <si>
    <t>4.12 PM</t>
  </si>
  <si>
    <t>Stove Burning continuously until</t>
  </si>
  <si>
    <t>4.30 PM</t>
  </si>
  <si>
    <t>16 Min</t>
  </si>
  <si>
    <t>Total Time Stove Burn</t>
  </si>
  <si>
    <t>90 Min</t>
  </si>
  <si>
    <t>4.25 PM</t>
  </si>
  <si>
    <t>13 Min</t>
  </si>
  <si>
    <t>Gas Off Time</t>
  </si>
  <si>
    <t>Gas Working Time</t>
  </si>
  <si>
    <t>61 Min</t>
  </si>
  <si>
    <t>Weight of LPG Cylinder after Use</t>
  </si>
  <si>
    <t>28.60KG</t>
  </si>
  <si>
    <t>Total Gas Used</t>
  </si>
  <si>
    <t>1.78 KG</t>
  </si>
  <si>
    <t>Rate of Commercial LPG Cylinder</t>
  </si>
  <si>
    <t>RS 1800</t>
  </si>
  <si>
    <t>Weight of LPG Gas</t>
  </si>
  <si>
    <t>19 KG</t>
  </si>
  <si>
    <t>Rate per KG</t>
  </si>
  <si>
    <t>RS 95</t>
  </si>
  <si>
    <t>Rate Of Biomass Pellet</t>
  </si>
  <si>
    <t>RS 16</t>
  </si>
  <si>
    <t>Used LPG Gas in 61 Min</t>
  </si>
  <si>
    <t>RS 169</t>
  </si>
  <si>
    <t>Amount of Pellets burnt for 90 Mins</t>
  </si>
  <si>
    <t>RS 72</t>
  </si>
  <si>
    <t>Cost of Savings in RS for Batch 1</t>
  </si>
  <si>
    <t>RS 97</t>
  </si>
  <si>
    <t>Cost of Savings in RS for Batch 2</t>
  </si>
  <si>
    <t>RS 194</t>
  </si>
  <si>
    <t xml:space="preserve">Monthly Projected Cost of Saving in RS </t>
  </si>
  <si>
    <t>RS 5820</t>
  </si>
  <si>
    <t>https://meet.google.com/esr-kgwe-dpp?hl=en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</si>
</sst>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#,##0.000"/>
    <numFmt numFmtId="165" formatCode="d&quot;-&quot;mmm&quot;-&quot;yyyy"/>
    <numFmt numFmtId="166" formatCode="0.000"/>
    <numFmt numFmtId="167" formatCode="d\-mmm\-yy"/>
    <numFmt numFmtId="168" formatCode="d mmmm yyyy"/>
    <numFmt numFmtId="169" formatCode="d mmmm"/>
    <numFmt numFmtId="170" formatCode="d-mmmm-yyyy"/>
    <numFmt numFmtId="171" formatCode="dd-mmm-yyyy"/>
    <numFmt numFmtId="172" formatCode="d-mmm-yyyy"/>
    <numFmt numFmtId="173" formatCode="dd-mmmm-yyyy"/>
    <numFmt numFmtId="174" formatCode="[$₹][&gt;9999999]##\,##\,##\,##0;[$₹][&gt;99999]##\,##\,##0;[$₹]##,##0"/>
    <numFmt numFmtId="175" formatCode="#,##0.00_);(#,##0.00)"/>
    <numFmt numFmtId="176" formatCode="#,##0_);(#,##0)"/>
    <numFmt numFmtId="177" formatCode="d mmmm yy"/>
  </numFmts>
  <fonts count="33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10.0"/>
      <color rgb="FF000000"/>
      <name val="Arial"/>
    </font>
    <font/>
    <font>
      <sz val="9.0"/>
      <color rgb="FF000000"/>
      <name val="Arial"/>
    </font>
    <font>
      <sz val="11.0"/>
      <color rgb="FF000000"/>
      <name val="Arial"/>
    </font>
    <font>
      <b/>
      <sz val="9.0"/>
      <color rgb="FF000000"/>
      <name val="&quot;Google Sans Mono&quot;"/>
    </font>
    <font>
      <sz val="10.0"/>
      <color rgb="FF000000"/>
      <name val="Arial"/>
    </font>
    <font>
      <b/>
      <sz val="9.0"/>
      <color rgb="FF000000"/>
      <name val="Arial"/>
    </font>
    <font>
      <b/>
      <sz val="7.0"/>
      <color rgb="FF000000"/>
      <name val="Arial"/>
    </font>
    <font>
      <sz val="7.0"/>
      <color rgb="FF000000"/>
      <name val="Arial"/>
    </font>
    <font>
      <color theme="1"/>
      <name val="Arial"/>
      <scheme val="minor"/>
    </font>
    <font>
      <color rgb="FF000000"/>
      <name val="Arial"/>
    </font>
    <font>
      <sz val="8.0"/>
      <color rgb="FF000000"/>
      <name val="Arial"/>
    </font>
    <font>
      <b/>
      <sz val="8.0"/>
      <color rgb="FF000000"/>
      <name val="Arial"/>
    </font>
    <font>
      <b/>
      <color theme="1"/>
      <name val="Arial"/>
      <scheme val="minor"/>
    </font>
    <font>
      <b/>
      <sz val="10.0"/>
      <color theme="4"/>
      <name val="Arial"/>
    </font>
    <font>
      <b/>
      <sz val="10.0"/>
      <color rgb="FF00FF00"/>
      <name val="Arial"/>
    </font>
    <font>
      <b/>
      <sz val="10.0"/>
      <color rgb="FF4285F4"/>
      <name val="Arial"/>
    </font>
    <font>
      <sz val="10.0"/>
      <color theme="4"/>
      <name val="Arial"/>
    </font>
    <font>
      <sz val="10.0"/>
      <color rgb="FF4285F4"/>
      <name val="Arial"/>
    </font>
    <font>
      <color theme="4"/>
      <name val="Arial"/>
      <scheme val="minor"/>
    </font>
    <font>
      <sz val="10.0"/>
      <color rgb="FF00FF00"/>
      <name val="Arial"/>
    </font>
    <font>
      <sz val="10.0"/>
      <color theme="1"/>
      <name val="Arial"/>
    </font>
    <font>
      <color rgb="FF4285F4"/>
      <name val="Arial"/>
      <scheme val="minor"/>
    </font>
    <font>
      <color theme="1"/>
      <name val="Arial"/>
    </font>
    <font>
      <color rgb="FF4285F4"/>
      <name val="Arial"/>
    </font>
    <font>
      <sz val="9.0"/>
      <color rgb="FF7E3794"/>
      <name val="&quot;Google Sans Mono&quot;"/>
    </font>
    <font>
      <color rgb="FF00FF00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color rgb="FF222222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2" fillId="0" fontId="3" numFmtId="0" xfId="0" applyBorder="1" applyFont="1"/>
    <xf borderId="3" fillId="0" fontId="3" numFmtId="0" xfId="0" applyBorder="1" applyFont="1"/>
    <xf borderId="1" fillId="0" fontId="4" numFmtId="0" xfId="0" applyBorder="1" applyFont="1"/>
    <xf borderId="2" fillId="0" fontId="4" numFmtId="0" xfId="0" applyBorder="1" applyFont="1"/>
    <xf borderId="3" fillId="0" fontId="4" numFmtId="0" xfId="0" applyBorder="1" applyFont="1"/>
    <xf borderId="0" fillId="0" fontId="4" numFmtId="0" xfId="0" applyFont="1"/>
    <xf borderId="0" fillId="2" fontId="5" numFmtId="0" xfId="0" applyAlignment="1" applyFill="1" applyFont="1">
      <alignment readingOrder="0"/>
    </xf>
    <xf borderId="4" fillId="0" fontId="4" numFmtId="0" xfId="0" applyBorder="1" applyFont="1"/>
    <xf borderId="5" fillId="0" fontId="4" numFmtId="0" xfId="0" applyBorder="1" applyFont="1"/>
    <xf borderId="0" fillId="2" fontId="6" numFmtId="0" xfId="0" applyFont="1"/>
    <xf borderId="6" fillId="0" fontId="7" numFmtId="0" xfId="0" applyBorder="1" applyFont="1"/>
    <xf borderId="7" fillId="0" fontId="7" numFmtId="15" xfId="0" applyBorder="1" applyFont="1" applyNumberFormat="1"/>
    <xf borderId="8" fillId="0" fontId="2" numFmtId="15" xfId="0" applyAlignment="1" applyBorder="1" applyFont="1" applyNumberFormat="1">
      <alignment horizontal="left" vertical="center"/>
    </xf>
    <xf borderId="7" fillId="0" fontId="3" numFmtId="0" xfId="0" applyBorder="1" applyFont="1"/>
    <xf borderId="0" fillId="0" fontId="2" numFmtId="15" xfId="0" applyAlignment="1" applyFont="1" applyNumberFormat="1">
      <alignment horizontal="left" vertical="center"/>
    </xf>
    <xf borderId="0" fillId="0" fontId="4" numFmtId="0" xfId="0" applyAlignment="1" applyFont="1">
      <alignment horizontal="left" readingOrder="0"/>
    </xf>
    <xf borderId="4" fillId="0" fontId="4" numFmtId="0" xfId="0" applyAlignment="1" applyBorder="1" applyFont="1">
      <alignment horizontal="left" readingOrder="0"/>
    </xf>
    <xf borderId="8" fillId="0" fontId="8" numFmtId="15" xfId="0" applyAlignment="1" applyBorder="1" applyFont="1" applyNumberFormat="1">
      <alignment horizontal="left" vertical="center"/>
    </xf>
    <xf borderId="6" fillId="0" fontId="3" numFmtId="0" xfId="0" applyBorder="1" applyFont="1"/>
    <xf borderId="6" fillId="0" fontId="8" numFmtId="15" xfId="0" applyAlignment="1" applyBorder="1" applyFont="1" applyNumberFormat="1">
      <alignment horizontal="left" vertical="center"/>
    </xf>
    <xf borderId="4" fillId="2" fontId="6" numFmtId="15" xfId="0" applyAlignment="1" applyBorder="1" applyFont="1" applyNumberFormat="1">
      <alignment horizontal="left"/>
    </xf>
    <xf borderId="7" fillId="0" fontId="9" numFmtId="15" xfId="0" applyAlignment="1" applyBorder="1" applyFont="1" applyNumberFormat="1">
      <alignment horizontal="left" shrinkToFit="0" vertical="center" wrapText="1"/>
    </xf>
    <xf borderId="0" fillId="0" fontId="9" numFmtId="15" xfId="0" applyAlignment="1" applyFont="1" applyNumberFormat="1">
      <alignment horizontal="left" shrinkToFit="0" vertical="center" wrapText="1"/>
    </xf>
    <xf borderId="0" fillId="0" fontId="8" numFmtId="0" xfId="0" applyFont="1"/>
    <xf borderId="4" fillId="0" fontId="2" numFmtId="15" xfId="0" applyAlignment="1" applyBorder="1" applyFont="1" applyNumberFormat="1">
      <alignment horizontal="left" vertical="center"/>
    </xf>
    <xf borderId="0" fillId="0" fontId="7" numFmtId="0" xfId="0" applyFont="1"/>
    <xf borderId="5" fillId="0" fontId="4" numFmtId="0" xfId="0" applyAlignment="1" applyBorder="1" applyFont="1">
      <alignment horizontal="left" readingOrder="0"/>
    </xf>
    <xf borderId="7" fillId="0" fontId="8" numFmtId="15" xfId="0" applyAlignment="1" applyBorder="1" applyFont="1" applyNumberFormat="1">
      <alignment horizontal="left" vertical="center"/>
    </xf>
    <xf borderId="0" fillId="0" fontId="8" numFmtId="15" xfId="0" applyAlignment="1" applyFont="1" applyNumberFormat="1">
      <alignment horizontal="left" vertical="center"/>
    </xf>
    <xf borderId="8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1" fillId="0" fontId="7" numFmtId="0" xfId="0" applyBorder="1" applyFont="1"/>
    <xf borderId="2" fillId="0" fontId="7" numFmtId="0" xfId="0" applyBorder="1" applyFont="1"/>
    <xf borderId="3" fillId="0" fontId="7" numFmtId="0" xfId="0" applyBorder="1" applyFont="1"/>
    <xf borderId="8" fillId="0" fontId="8" numFmtId="0" xfId="0" applyBorder="1" applyFont="1"/>
    <xf borderId="4" fillId="0" fontId="8" numFmtId="15" xfId="0" applyAlignment="1" applyBorder="1" applyFont="1" applyNumberFormat="1">
      <alignment horizontal="left" vertical="center"/>
    </xf>
    <xf borderId="5" fillId="0" fontId="3" numFmtId="0" xfId="0" applyBorder="1" applyFont="1"/>
    <xf borderId="0" fillId="0" fontId="9" numFmtId="0" xfId="0" applyAlignment="1" applyFont="1">
      <alignment horizontal="left" vertical="center"/>
    </xf>
    <xf borderId="4" fillId="0" fontId="9" numFmtId="0" xfId="0" applyAlignment="1" applyBorder="1" applyFont="1">
      <alignment horizontal="left" vertical="center"/>
    </xf>
    <xf borderId="1" fillId="0" fontId="4" numFmtId="0" xfId="0" applyAlignment="1" applyBorder="1" applyFont="1">
      <alignment readingOrder="0"/>
    </xf>
    <xf borderId="0" fillId="0" fontId="10" numFmtId="0" xfId="0" applyAlignment="1" applyFont="1">
      <alignment horizontal="left" shrinkToFit="0" vertical="center" wrapText="1"/>
    </xf>
    <xf borderId="4" fillId="0" fontId="10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readingOrder="0"/>
    </xf>
    <xf borderId="0" fillId="2" fontId="12" numFmtId="0" xfId="0" applyAlignment="1" applyFont="1">
      <alignment horizontal="left" readingOrder="0"/>
    </xf>
    <xf borderId="4" fillId="0" fontId="8" numFmtId="0" xfId="0" applyBorder="1" applyFont="1"/>
    <xf borderId="4" fillId="0" fontId="3" numFmtId="0" xfId="0" applyBorder="1" applyFont="1"/>
    <xf borderId="4" fillId="0" fontId="8" numFmtId="0" xfId="0" applyAlignment="1" applyBorder="1" applyFont="1">
      <alignment horizontal="left" vertical="top"/>
    </xf>
    <xf borderId="4" fillId="0" fontId="8" numFmtId="0" xfId="0" applyAlignment="1" applyBorder="1" applyFont="1">
      <alignment horizontal="left"/>
    </xf>
    <xf borderId="0" fillId="0" fontId="8" numFmtId="0" xfId="0" applyAlignment="1" applyFont="1">
      <alignment horizontal="left"/>
    </xf>
    <xf borderId="9" fillId="0" fontId="11" numFmtId="0" xfId="0" applyBorder="1" applyFont="1"/>
    <xf borderId="5" fillId="0" fontId="4" numFmtId="0" xfId="0" applyAlignment="1" applyBorder="1" applyFont="1">
      <alignment horizontal="left" vertical="center"/>
    </xf>
    <xf borderId="6" fillId="0" fontId="4" numFmtId="0" xfId="0" applyAlignment="1" applyBorder="1" applyFont="1">
      <alignment readingOrder="0"/>
    </xf>
    <xf borderId="4" fillId="0" fontId="8" numFmtId="15" xfId="0" applyBorder="1" applyFont="1" applyNumberFormat="1"/>
    <xf borderId="0" fillId="2" fontId="6" numFmtId="0" xfId="0" applyAlignment="1" applyFont="1">
      <alignment horizontal="left"/>
    </xf>
    <xf borderId="5" fillId="0" fontId="8" numFmtId="0" xfId="0" applyAlignment="1" applyBorder="1" applyFont="1">
      <alignment horizontal="left" vertical="top"/>
    </xf>
    <xf borderId="0" fillId="0" fontId="8" numFmtId="0" xfId="0" applyAlignment="1" applyFont="1">
      <alignment horizontal="left" vertical="top"/>
    </xf>
    <xf borderId="4" fillId="0" fontId="7" numFmtId="0" xfId="0" applyBorder="1" applyFont="1"/>
    <xf borderId="5" fillId="0" fontId="7" numFmtId="0" xfId="0" applyBorder="1" applyFont="1"/>
    <xf borderId="0" fillId="0" fontId="4" numFmtId="0" xfId="0" applyAlignment="1" applyFont="1">
      <alignment horizontal="left"/>
    </xf>
    <xf borderId="5" fillId="0" fontId="7" numFmtId="0" xfId="0" applyAlignment="1" applyBorder="1" applyFont="1">
      <alignment horizontal="left"/>
    </xf>
    <xf borderId="8" fillId="0" fontId="7" numFmtId="0" xfId="0" applyBorder="1" applyFont="1"/>
    <xf borderId="7" fillId="0" fontId="7" numFmtId="0" xfId="0" applyBorder="1" applyFont="1"/>
    <xf borderId="0" fillId="0" fontId="7" numFmtId="0" xfId="0" applyAlignment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vertical="center"/>
    </xf>
    <xf borderId="12" fillId="0" fontId="3" numFmtId="0" xfId="0" applyBorder="1" applyFont="1"/>
    <xf borderId="13" fillId="0" fontId="3" numFmtId="0" xfId="0" applyBorder="1" applyFont="1"/>
    <xf borderId="10" fillId="0" fontId="7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14" fillId="0" fontId="2" numFmtId="0" xfId="0" applyAlignment="1" applyBorder="1" applyFont="1">
      <alignment horizontal="center"/>
    </xf>
    <xf borderId="1" fillId="0" fontId="2" numFmtId="0" xfId="0" applyBorder="1" applyFont="1"/>
    <xf borderId="2" fillId="0" fontId="2" numFmtId="0" xfId="0" applyBorder="1" applyFont="1"/>
    <xf borderId="3" fillId="0" fontId="2" numFmtId="0" xfId="0" applyBorder="1" applyFont="1"/>
    <xf borderId="15" fillId="0" fontId="7" numFmtId="0" xfId="0" applyAlignment="1" applyBorder="1" applyFont="1">
      <alignment horizontal="center"/>
    </xf>
    <xf borderId="1" fillId="0" fontId="2" numFmtId="2" xfId="0" applyBorder="1" applyFont="1" applyNumberFormat="1"/>
    <xf borderId="1" fillId="0" fontId="7" numFmtId="4" xfId="0" applyBorder="1" applyFont="1" applyNumberFormat="1"/>
    <xf borderId="15" fillId="0" fontId="7" numFmtId="0" xfId="0" applyAlignment="1" applyBorder="1" applyFont="1">
      <alignment horizontal="center" vertical="center"/>
    </xf>
    <xf borderId="3" fillId="0" fontId="2" numFmtId="4" xfId="0" applyBorder="1" applyFont="1" applyNumberFormat="1"/>
    <xf borderId="0" fillId="0" fontId="2" numFmtId="4" xfId="0" applyFont="1" applyNumberFormat="1"/>
    <xf borderId="14" fillId="0" fontId="7" numFmtId="0" xfId="0" applyBorder="1" applyFont="1"/>
    <xf borderId="4" fillId="0" fontId="2" numFmtId="0" xfId="0" applyBorder="1" applyFont="1"/>
    <xf borderId="0" fillId="0" fontId="2" numFmtId="0" xfId="0" applyFont="1"/>
    <xf borderId="5" fillId="0" fontId="2" numFmtId="0" xfId="0" applyBorder="1" applyFont="1"/>
    <xf borderId="14" fillId="0" fontId="7" numFmtId="0" xfId="0" applyAlignment="1" applyBorder="1" applyFont="1">
      <alignment horizontal="center" vertical="center"/>
    </xf>
    <xf borderId="5" fillId="0" fontId="2" numFmtId="4" xfId="0" applyBorder="1" applyFont="1" applyNumberFormat="1"/>
    <xf borderId="0" fillId="0" fontId="2" numFmtId="0" xfId="0" applyAlignment="1" applyFont="1">
      <alignment horizontal="right"/>
    </xf>
    <xf borderId="4" fillId="0" fontId="7" numFmtId="10" xfId="0" applyBorder="1" applyFont="1" applyNumberFormat="1"/>
    <xf borderId="5" fillId="0" fontId="2" numFmtId="164" xfId="0" applyBorder="1" applyFont="1" applyNumberFormat="1"/>
    <xf borderId="0" fillId="0" fontId="2" numFmtId="164" xfId="0" applyFont="1" applyNumberFormat="1"/>
    <xf borderId="0" fillId="0" fontId="2" numFmtId="0" xfId="0" applyAlignment="1" applyFont="1">
      <alignment horizontal="right" readingOrder="0"/>
    </xf>
    <xf borderId="10" fillId="0" fontId="7" numFmtId="0" xfId="0" applyBorder="1" applyFont="1"/>
    <xf borderId="11" fillId="0" fontId="7" numFmtId="0" xfId="0" applyBorder="1" applyFont="1"/>
    <xf borderId="12" fillId="0" fontId="7" numFmtId="0" xfId="0" applyBorder="1" applyFont="1"/>
    <xf borderId="13" fillId="0" fontId="2" numFmtId="0" xfId="0" applyBorder="1" applyFont="1"/>
    <xf borderId="10" fillId="0" fontId="2" numFmtId="0" xfId="0" applyBorder="1" applyFont="1"/>
    <xf borderId="11" fillId="0" fontId="2" numFmtId="2" xfId="0" applyBorder="1" applyFont="1" applyNumberFormat="1"/>
    <xf borderId="11" fillId="0" fontId="2" numFmtId="0" xfId="0" applyBorder="1" applyFont="1"/>
    <xf borderId="13" fillId="0" fontId="2" numFmtId="3" xfId="0" applyBorder="1" applyFont="1" applyNumberFormat="1"/>
    <xf borderId="0" fillId="0" fontId="2" numFmtId="3" xfId="0" applyFont="1" applyNumberFormat="1"/>
    <xf borderId="0" fillId="0" fontId="13" numFmtId="0" xfId="0" applyFont="1"/>
    <xf borderId="1" fillId="0" fontId="13" numFmtId="0" xfId="0" applyBorder="1" applyFont="1"/>
    <xf borderId="2" fillId="0" fontId="13" numFmtId="0" xfId="0" applyBorder="1" applyFont="1"/>
    <xf borderId="3" fillId="0" fontId="13" numFmtId="0" xfId="0" applyAlignment="1" applyBorder="1" applyFont="1">
      <alignment horizontal="right" vertical="center"/>
    </xf>
    <xf borderId="0" fillId="0" fontId="13" numFmtId="0" xfId="0" applyAlignment="1" applyFont="1">
      <alignment horizontal="right" vertical="center"/>
    </xf>
    <xf borderId="8" fillId="0" fontId="13" numFmtId="0" xfId="0" applyBorder="1" applyFont="1"/>
    <xf borderId="6" fillId="0" fontId="13" numFmtId="0" xfId="0" applyAlignment="1" applyBorder="1" applyFont="1">
      <alignment horizontal="left" vertical="center"/>
    </xf>
    <xf borderId="6" fillId="0" fontId="13" numFmtId="0" xfId="0" applyBorder="1" applyFont="1"/>
    <xf borderId="7" fillId="0" fontId="13" numFmtId="0" xfId="0" applyBorder="1" applyFont="1"/>
    <xf borderId="0" fillId="0" fontId="13" numFmtId="0" xfId="0" applyAlignment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15" fillId="0" fontId="13" numFmtId="0" xfId="0" applyAlignment="1" applyBorder="1" applyFont="1">
      <alignment horizontal="center" shrinkToFit="0" vertical="center" wrapText="1"/>
    </xf>
    <xf borderId="8" fillId="0" fontId="13" numFmtId="0" xfId="0" applyAlignment="1" applyBorder="1" applyFont="1">
      <alignment horizontal="center"/>
    </xf>
    <xf borderId="15" fillId="0" fontId="13" numFmtId="0" xfId="0" applyAlignment="1" applyBorder="1" applyFont="1">
      <alignment horizontal="center" shrinkToFit="0" wrapText="1"/>
    </xf>
    <xf borderId="0" fillId="0" fontId="13" numFmtId="0" xfId="0" applyAlignment="1" applyFont="1">
      <alignment horizontal="center" shrinkToFit="0" wrapText="1"/>
    </xf>
    <xf borderId="8" fillId="0" fontId="3" numFmtId="0" xfId="0" applyBorder="1" applyFont="1"/>
    <xf borderId="16" fillId="0" fontId="3" numFmtId="0" xfId="0" applyBorder="1" applyFont="1"/>
    <xf borderId="10" fillId="0" fontId="13" numFmtId="0" xfId="0" applyBorder="1" applyFont="1"/>
    <xf borderId="0" fillId="0" fontId="13" numFmtId="0" xfId="0" applyAlignment="1" applyFont="1">
      <alignment horizontal="left" vertical="center"/>
    </xf>
    <xf borderId="11" fillId="0" fontId="13" numFmtId="0" xfId="0" applyAlignment="1" applyBorder="1" applyFont="1">
      <alignment horizontal="left" vertical="center"/>
    </xf>
    <xf borderId="10" fillId="0" fontId="13" numFmtId="4" xfId="0" applyBorder="1" applyFont="1" applyNumberFormat="1"/>
    <xf borderId="10" fillId="0" fontId="13" numFmtId="10" xfId="0" applyBorder="1" applyFont="1" applyNumberFormat="1"/>
    <xf borderId="0" fillId="0" fontId="13" numFmtId="4" xfId="0" applyFont="1" applyNumberFormat="1"/>
    <xf borderId="0" fillId="0" fontId="13" numFmtId="0" xfId="0" applyAlignment="1" applyFont="1">
      <alignment horizontal="right"/>
    </xf>
    <xf borderId="11" fillId="0" fontId="13" numFmtId="0" xfId="0" applyAlignment="1" applyBorder="1" applyFont="1">
      <alignment horizontal="right"/>
    </xf>
    <xf borderId="10" fillId="0" fontId="14" numFmtId="4" xfId="0" applyBorder="1" applyFont="1" applyNumberFormat="1"/>
    <xf borderId="0" fillId="0" fontId="14" numFmtId="4" xfId="0" applyFont="1" applyNumberFormat="1"/>
    <xf borderId="4" fillId="0" fontId="13" numFmtId="0" xfId="0" applyBorder="1" applyFont="1"/>
    <xf borderId="5" fillId="0" fontId="13" numFmtId="0" xfId="0" applyBorder="1" applyFont="1"/>
    <xf borderId="0" fillId="0" fontId="1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3" numFmtId="0" xfId="0" applyAlignment="1" applyFont="1">
      <alignment horizontal="left" shrinkToFit="0" vertical="top" wrapText="1"/>
    </xf>
    <xf borderId="4" fillId="0" fontId="13" numFmtId="0" xfId="0" applyAlignment="1" applyBorder="1" applyFont="1">
      <alignment horizontal="left" shrinkToFit="0" vertical="top" wrapText="1"/>
    </xf>
    <xf borderId="2" fillId="0" fontId="13" numFmtId="0" xfId="0" applyAlignment="1" applyBorder="1" applyFont="1">
      <alignment horizontal="center" vertical="center"/>
    </xf>
    <xf borderId="2" fillId="0" fontId="13" numFmtId="0" xfId="0" applyAlignment="1" applyBorder="1" applyFont="1">
      <alignment horizontal="center" readingOrder="0" vertical="center"/>
    </xf>
    <xf borderId="3" fillId="0" fontId="13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center" vertical="center"/>
    </xf>
    <xf borderId="5" fillId="0" fontId="13" numFmtId="0" xfId="0" applyAlignment="1" applyBorder="1" applyFont="1">
      <alignment horizontal="center" vertical="center"/>
    </xf>
    <xf borderId="8" fillId="0" fontId="13" numFmtId="0" xfId="0" applyAlignment="1" applyBorder="1" applyFont="1">
      <alignment horizontal="center" vertical="center"/>
    </xf>
    <xf borderId="6" fillId="0" fontId="13" numFmtId="0" xfId="0" applyAlignment="1" applyBorder="1" applyFont="1">
      <alignment horizontal="center" vertical="center"/>
    </xf>
    <xf borderId="7" fillId="0" fontId="13" numFmtId="0" xfId="0" applyAlignment="1" applyBorder="1" applyFont="1">
      <alignment horizontal="center" vertical="center"/>
    </xf>
    <xf borderId="0" fillId="0" fontId="15" numFmtId="0" xfId="0" applyAlignment="1" applyFont="1">
      <alignment horizontal="right"/>
    </xf>
    <xf borderId="8" fillId="0" fontId="9" numFmtId="15" xfId="0" applyAlignment="1" applyBorder="1" applyFont="1" applyNumberFormat="1">
      <alignment horizontal="left" shrinkToFit="0" vertical="center" wrapText="1"/>
    </xf>
    <xf borderId="4" fillId="0" fontId="10" numFmtId="0" xfId="0" applyAlignment="1" applyBorder="1" applyFont="1">
      <alignment horizontal="left" readingOrder="0" shrinkToFit="0" vertical="center" wrapText="1"/>
    </xf>
    <xf borderId="6" fillId="0" fontId="8" numFmtId="0" xfId="0" applyBorder="1" applyFont="1"/>
    <xf borderId="10" fillId="0" fontId="13" numFmtId="10" xfId="0" applyAlignment="1" applyBorder="1" applyFont="1" applyNumberFormat="1">
      <alignment readingOrder="0"/>
    </xf>
    <xf borderId="10" fillId="0" fontId="13" numFmtId="4" xfId="0" applyAlignment="1" applyBorder="1" applyFont="1" applyNumberFormat="1">
      <alignment readingOrder="0"/>
    </xf>
    <xf borderId="0" fillId="0" fontId="2" numFmtId="0" xfId="0" applyAlignment="1" applyFont="1">
      <alignment horizontal="center" readingOrder="0" vertical="center"/>
    </xf>
    <xf borderId="4" fillId="0" fontId="2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0" fillId="0" fontId="16" numFmtId="0" xfId="0" applyAlignment="1" applyFont="1">
      <alignment shrinkToFit="0" wrapText="1"/>
    </xf>
    <xf borderId="0" fillId="0" fontId="17" numFmtId="0" xfId="0" applyAlignment="1" applyFont="1">
      <alignment shrinkToFit="0" wrapText="1"/>
    </xf>
    <xf borderId="0" fillId="0" fontId="18" numFmtId="0" xfId="0" applyAlignment="1" applyFont="1">
      <alignment readingOrder="0" shrinkToFit="0" wrapText="1"/>
    </xf>
    <xf borderId="0" fillId="0" fontId="19" numFmtId="49" xfId="0" applyFont="1" applyNumberFormat="1"/>
    <xf borderId="0" fillId="0" fontId="20" numFmtId="49" xfId="0" applyAlignment="1" applyFont="1" applyNumberFormat="1">
      <alignment readingOrder="0"/>
    </xf>
    <xf borderId="0" fillId="0" fontId="21" numFmtId="0" xfId="0" applyFont="1"/>
    <xf borderId="0" fillId="0" fontId="19" numFmtId="0" xfId="0" applyFont="1"/>
    <xf borderId="0" fillId="0" fontId="7" numFmtId="165" xfId="0" applyFont="1" applyNumberFormat="1"/>
    <xf borderId="0" fillId="0" fontId="7" numFmtId="15" xfId="0" applyFont="1" applyNumberFormat="1"/>
    <xf borderId="0" fillId="0" fontId="7" numFmtId="0" xfId="0" applyAlignment="1" applyFont="1">
      <alignment readingOrder="0"/>
    </xf>
    <xf borderId="0" fillId="0" fontId="7" numFmtId="166" xfId="0" applyAlignment="1" applyFont="1" applyNumberFormat="1">
      <alignment readingOrder="0"/>
    </xf>
    <xf borderId="0" fillId="0" fontId="7" numFmtId="4" xfId="0" applyAlignment="1" applyFont="1" applyNumberFormat="1">
      <alignment readingOrder="0"/>
    </xf>
    <xf borderId="0" fillId="0" fontId="19" numFmtId="4" xfId="0" applyFont="1" applyNumberFormat="1"/>
    <xf borderId="0" fillId="0" fontId="7" numFmtId="10" xfId="0" applyFont="1" applyNumberFormat="1"/>
    <xf borderId="0" fillId="0" fontId="22" numFmtId="3" xfId="0" applyFont="1" applyNumberFormat="1"/>
    <xf borderId="0" fillId="0" fontId="23" numFmtId="0" xfId="0" applyFont="1"/>
    <xf borderId="0" fillId="0" fontId="23" numFmtId="0" xfId="0" applyAlignment="1" applyFont="1">
      <alignment readingOrder="0"/>
    </xf>
    <xf borderId="0" fillId="0" fontId="23" numFmtId="167" xfId="0" applyAlignment="1" applyFont="1" applyNumberFormat="1">
      <alignment readingOrder="0"/>
    </xf>
    <xf borderId="0" fillId="0" fontId="11" numFmtId="168" xfId="0" applyAlignment="1" applyFont="1" applyNumberFormat="1">
      <alignment readingOrder="0"/>
    </xf>
    <xf borderId="0" fillId="0" fontId="11" numFmtId="169" xfId="0" applyAlignment="1" applyFont="1" applyNumberFormat="1">
      <alignment readingOrder="0"/>
    </xf>
    <xf borderId="0" fillId="0" fontId="20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 vertical="bottom"/>
    </xf>
    <xf borderId="0" fillId="0" fontId="26" numFmtId="0" xfId="0" applyAlignment="1" applyFont="1">
      <alignment readingOrder="0" vertical="bottom"/>
    </xf>
    <xf borderId="0" fillId="0" fontId="26" numFmtId="0" xfId="0" applyAlignment="1" applyFont="1">
      <alignment vertical="bottom"/>
    </xf>
    <xf borderId="0" fillId="0" fontId="25" numFmtId="0" xfId="0" applyAlignment="1" applyFont="1">
      <alignment vertical="bottom"/>
    </xf>
    <xf borderId="0" fillId="0" fontId="25" numFmtId="0" xfId="0" applyAlignment="1" applyFont="1">
      <alignment vertical="bottom"/>
    </xf>
    <xf borderId="0" fillId="0" fontId="25" numFmtId="169" xfId="0" applyAlignment="1" applyFont="1" applyNumberFormat="1">
      <alignment vertical="bottom"/>
    </xf>
    <xf borderId="0" fillId="0" fontId="26" numFmtId="0" xfId="0" applyAlignment="1" applyFont="1">
      <alignment horizontal="right" vertical="bottom"/>
    </xf>
    <xf borderId="0" fillId="0" fontId="26" numFmtId="4" xfId="0" applyAlignment="1" applyFont="1" applyNumberFormat="1">
      <alignment horizontal="right" vertical="bottom"/>
    </xf>
    <xf borderId="0" fillId="0" fontId="26" numFmtId="0" xfId="0" applyAlignment="1" applyFont="1">
      <alignment vertical="bottom"/>
    </xf>
    <xf borderId="0" fillId="0" fontId="7" numFmtId="10" xfId="0" applyAlignment="1" applyFont="1" applyNumberFormat="1">
      <alignment readingOrder="0"/>
    </xf>
    <xf borderId="0" fillId="0" fontId="24" numFmtId="0" xfId="0" applyAlignment="1" applyFont="1">
      <alignment horizontal="right" readingOrder="0"/>
    </xf>
    <xf borderId="0" fillId="0" fontId="11" numFmtId="165" xfId="0" applyFont="1" applyNumberFormat="1"/>
    <xf borderId="0" fillId="0" fontId="11" numFmtId="10" xfId="0" applyAlignment="1" applyFont="1" applyNumberFormat="1">
      <alignment readingOrder="0"/>
    </xf>
    <xf borderId="0" fillId="0" fontId="11" numFmtId="170" xfId="0" applyAlignment="1" applyFont="1" applyNumberFormat="1">
      <alignment readingOrder="0"/>
    </xf>
    <xf borderId="0" fillId="0" fontId="7" numFmtId="165" xfId="0" applyAlignment="1" applyFont="1" applyNumberFormat="1">
      <alignment readingOrder="0"/>
    </xf>
    <xf borderId="0" fillId="0" fontId="11" numFmtId="0" xfId="0" applyFont="1"/>
    <xf borderId="0" fillId="0" fontId="7" numFmtId="171" xfId="0" applyAlignment="1" applyFont="1" applyNumberFormat="1">
      <alignment readingOrder="0"/>
    </xf>
    <xf borderId="0" fillId="0" fontId="11" numFmtId="171" xfId="0" applyFont="1" applyNumberFormat="1"/>
    <xf borderId="0" fillId="0" fontId="19" numFmtId="0" xfId="0" applyAlignment="1" applyFont="1">
      <alignment readingOrder="0"/>
    </xf>
    <xf borderId="0" fillId="2" fontId="12" numFmtId="165" xfId="0" applyAlignment="1" applyFont="1" applyNumberFormat="1">
      <alignment horizontal="right" readingOrder="0"/>
    </xf>
    <xf borderId="0" fillId="0" fontId="11" numFmtId="172" xfId="0" applyAlignment="1" applyFont="1" applyNumberFormat="1">
      <alignment readingOrder="0"/>
    </xf>
    <xf borderId="0" fillId="0" fontId="19" numFmtId="3" xfId="0" applyAlignment="1" applyFont="1" applyNumberFormat="1">
      <alignment readingOrder="0"/>
    </xf>
    <xf borderId="0" fillId="0" fontId="19" numFmtId="3" xfId="0" applyFont="1" applyNumberFormat="1"/>
    <xf borderId="0" fillId="0" fontId="7" numFmtId="172" xfId="0" applyAlignment="1" applyFont="1" applyNumberFormat="1">
      <alignment readingOrder="0"/>
    </xf>
    <xf borderId="0" fillId="0" fontId="11" numFmtId="172" xfId="0" applyFont="1" applyNumberFormat="1"/>
    <xf borderId="0" fillId="0" fontId="7" numFmtId="9" xfId="0" applyAlignment="1" applyFont="1" applyNumberFormat="1">
      <alignment readingOrder="0"/>
    </xf>
    <xf borderId="0" fillId="0" fontId="7" numFmtId="173" xfId="0" applyAlignment="1" applyFont="1" applyNumberFormat="1">
      <alignment readingOrder="0"/>
    </xf>
    <xf borderId="0" fillId="0" fontId="11" numFmtId="173" xfId="0" applyFont="1" applyNumberFormat="1"/>
    <xf borderId="0" fillId="0" fontId="7" numFmtId="170" xfId="0" applyAlignment="1" applyFont="1" applyNumberFormat="1">
      <alignment readingOrder="0"/>
    </xf>
    <xf borderId="0" fillId="0" fontId="11" numFmtId="170" xfId="0" applyFont="1" applyNumberFormat="1"/>
    <xf borderId="0" fillId="2" fontId="27" numFmtId="0" xfId="0" applyFont="1"/>
    <xf borderId="0" fillId="0" fontId="28" numFmtId="0" xfId="0" applyFont="1"/>
    <xf borderId="0" fillId="0" fontId="15" numFmtId="0" xfId="0" applyAlignment="1" applyFont="1">
      <alignment readingOrder="0"/>
    </xf>
    <xf borderId="0" fillId="3" fontId="11" numFmtId="0" xfId="0" applyFill="1" applyFont="1"/>
    <xf borderId="0" fillId="3" fontId="23" numFmtId="0" xfId="0" applyFont="1"/>
    <xf borderId="0" fillId="3" fontId="7" numFmtId="0" xfId="0" applyFont="1"/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2" fontId="31" numFmtId="0" xfId="0" applyAlignment="1" applyFont="1">
      <alignment readingOrder="0"/>
    </xf>
    <xf borderId="0" fillId="0" fontId="11" numFmtId="174" xfId="0" applyFont="1" applyNumberFormat="1"/>
    <xf borderId="0" fillId="0" fontId="11" numFmtId="10" xfId="0" applyFont="1" applyNumberFormat="1"/>
    <xf borderId="0" fillId="0" fontId="11" numFmtId="175" xfId="0" applyFont="1" applyNumberFormat="1"/>
    <xf borderId="0" fillId="0" fontId="11" numFmtId="1" xfId="0" applyFont="1" applyNumberFormat="1"/>
    <xf borderId="0" fillId="0" fontId="11" numFmtId="3" xfId="0" applyFont="1" applyNumberFormat="1"/>
    <xf borderId="0" fillId="0" fontId="11" numFmtId="176" xfId="0" applyFont="1" applyNumberFormat="1"/>
    <xf borderId="0" fillId="0" fontId="7" numFmtId="166" xfId="0" applyFont="1" applyNumberFormat="1"/>
    <xf borderId="0" fillId="0" fontId="7" numFmtId="4" xfId="0" applyFont="1" applyNumberFormat="1"/>
    <xf borderId="0" fillId="0" fontId="7" numFmtId="3" xfId="0" applyFont="1" applyNumberFormat="1"/>
    <xf borderId="0" fillId="0" fontId="23" numFmtId="4" xfId="0" applyFont="1" applyNumberFormat="1"/>
    <xf borderId="0" fillId="0" fontId="23" numFmtId="167" xfId="0" applyFont="1" applyNumberFormat="1"/>
    <xf borderId="0" fillId="0" fontId="11" numFmtId="177" xfId="0" applyAlignment="1" applyFont="1" applyNumberFormat="1">
      <alignment readingOrder="0"/>
    </xf>
    <xf borderId="0" fillId="0" fontId="7" numFmtId="14" xfId="0" applyFont="1" applyNumberFormat="1"/>
    <xf borderId="0" fillId="0" fontId="3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552450</xdr:colOff>
      <xdr:row>51</xdr:row>
      <xdr:rowOff>161925</xdr:rowOff>
    </xdr:from>
    <xdr:ext cx="971550" cy="9715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476250</xdr:colOff>
      <xdr:row>50</xdr:row>
      <xdr:rowOff>123825</xdr:rowOff>
    </xdr:from>
    <xdr:ext cx="971550" cy="9715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476250</xdr:colOff>
      <xdr:row>50</xdr:row>
      <xdr:rowOff>123825</xdr:rowOff>
    </xdr:from>
    <xdr:ext cx="971550" cy="9715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390525</xdr:colOff>
      <xdr:row>50</xdr:row>
      <xdr:rowOff>123825</xdr:rowOff>
    </xdr:from>
    <xdr:ext cx="971550" cy="9715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I1138" sheet="INVOICE DETAILS"/>
  </cacheSource>
  <cacheFields>
    <cacheField name="Invoice Number" numFmtId="0">
      <sharedItems containsBlank="1">
        <s v="MAE001/2021-24"/>
        <s v="MAE001/2021-02"/>
        <s v="MAE001/2021-03"/>
        <s v="MAE001/2021-04"/>
        <s v="MAE001/2021-05"/>
        <s v="MAE001/2021-06"/>
        <s v="MAE002/2021-01"/>
        <s v="MAE002/2021-02"/>
        <s v="MAE003/2021-01"/>
        <s v="MAE002/2021-03"/>
        <s v="MAE002/2021-04"/>
        <s v="MAE003 "/>
        <s v="MAE003"/>
        <s v="MAE010"/>
        <s v="MAE"/>
        <s v="MAE007"/>
        <s v="MAE005/22-23/01"/>
        <s v="MAE003/22-23/02"/>
        <s v="MAE010/22-23/03"/>
        <s v="MAE006/22-23/04"/>
        <s v="MAE003/22-23/05"/>
        <s v="MAE030/22-23/06"/>
        <s v="MAE /22-23/07"/>
        <s v="MAE006/22-23/08"/>
        <s v="MAE006/22-23/09"/>
        <s v="MAE006/22-23/10"/>
        <s v="MAE006/22-23/11"/>
        <s v="MAE011/22-23/12"/>
        <s v="MAE006/22-23/13"/>
        <s v="MAE003/22-23/14"/>
        <s v="MAE031/22-23/15"/>
        <s v="MAE031/22-23/16"/>
        <s v="MAE010/22-23/17"/>
        <s v="MAE010/22-23/18"/>
        <s v="MAE031/22-23/19"/>
        <s v="MAE010/22-23/20"/>
        <s v="MAE006/22-23/21"/>
        <s v="MAE032/22-23/22"/>
        <s v="MAE033/22-23/23"/>
        <s v="MAE003/22-23/24"/>
        <s v="MAE033/22-23/25"/>
        <s v="MAE006/22-23/26"/>
        <s v="MAE/22-23/27"/>
        <s v="MAE033/22-23/28"/>
        <s v="MAE006/22-23/29"/>
        <s v="MAE012/22-23/30"/>
        <s v="MAE006/22-23/31"/>
        <s v="MAE031/22-23/32"/>
        <s v="MAE006/22-23/33"/>
        <s v="MAE003/22-23/34"/>
        <s v="MAE006/22-23/35"/>
        <s v="MAE011/22-23/36"/>
        <s v="MAE/22-23/37"/>
        <s v="MAE006/22-23/38"/>
        <s v="MAE033/22-23/39"/>
        <s v="MAE006/22-23/40"/>
        <s v="MAE006/22-23/41"/>
        <s v="MAE033/22-23/42"/>
        <s v="MAE/22-23/43"/>
        <s v="MAE003/22-23/44"/>
        <s v="MAE006/22-23/45"/>
        <s v="MAE006/22-23/46"/>
        <s v="MAE006/22-23/47"/>
        <s v="MAE006/22-23/48"/>
        <s v="MAE/22-23/49"/>
        <s v="MAE006/22-23/50"/>
        <s v="MAE003/22-23/51"/>
        <s v="MAE006/22-23/52"/>
        <s v="MAE010/22-23/53"/>
        <s v="MAE/22-23/54"/>
        <s v="MAE/22-23/55"/>
        <s v="MAE/22-23/56"/>
        <s v="MAE003/22-23/57"/>
        <s v="MAE010/22-23/58"/>
        <s v="MAE/22-23/59"/>
        <s v="MAE010/22-23/60"/>
        <s v="MAE/22-23/61"/>
        <s v="MAE006/22-23/62"/>
        <s v="MAE006/22-23/63"/>
        <s v="MAE004/22-23/64"/>
        <s v="MAE005/22-23/65"/>
        <s v="MAE006/22-23/66"/>
        <s v="MAE007/22-23/67"/>
        <s v="MAE005/22-23/68"/>
        <s v="MAE006/22-23/69"/>
        <s v="MAE006/22-23/70"/>
        <s v="MAE006/22-23/71"/>
        <s v="MAE006/22-23/72"/>
        <s v="MAE005/22-23/73"/>
        <s v="MAE005/22-23/74"/>
        <s v="MAE005/22-23/75"/>
        <s v="MAE006/22-23/76"/>
        <s v="MAE005/22-23/77"/>
        <s v="MAE009/22-23/78"/>
        <s v="MAE010/22-23/79"/>
        <s v="MAE003/22-23/80"/>
        <s v="MAE/22-23/81"/>
        <s v="MAE005/22-23/82"/>
        <s v="MAE006/22-23/83"/>
        <s v="MAE006/22-23/84"/>
        <s v="MAE005/22-23/85"/>
        <s v="MAE005/22-23/87"/>
        <s v="MAE011/22-23/88"/>
        <s v="MAE012/22-23/89"/>
        <s v="MAE005/22-23/90"/>
        <s v="MAE006/22-23/91"/>
        <s v="MAE005/22-23/92"/>
        <s v="MAE003/22-23/93"/>
        <s v="MAE005/22-23/94"/>
        <s v="MAE006/22-23/95"/>
        <s v="MAE013/22-23/96"/>
        <s v="MAE003/22-23/97"/>
        <s v="MAE003/22-23/98"/>
        <s v="MAE013/22-23/99"/>
        <s v="MAE005/22-23/100"/>
        <s v="MAE014/22-23/101"/>
        <s v="MAE014/22-23/102"/>
        <s v="MAE010/22-23/103"/>
        <s v="MAE003/22-23/104"/>
        <s v="MAE010/22-23/105"/>
        <s v="MAE003/22-23/106"/>
        <s v="MAE013/22-23/107"/>
        <s v="MAE013/22-23/108"/>
        <s v="MAE010/22-23/109"/>
        <s v="MAE005/22-23/110"/>
        <s v="MAE013/22-23/111"/>
        <s v="MAE013/22-23/112"/>
        <s v="MAE003/22-23/113"/>
        <s v="MAE015/22-23/114"/>
        <s v="MAE013/22-23/115"/>
        <s v="MAE003/22-23/116"/>
        <s v="MAE010/22-23/117"/>
        <s v="MAE003/22-23/118"/>
        <s v="MAE015/22-23/119"/>
        <s v="MAE010/22-23/120"/>
        <s v="MAE013/22-23/121"/>
        <s v="MAE006/22-23/122"/>
        <s v="MAE007/22-23/123"/>
        <s v="MAE006/22-23/124"/>
        <s v="MAE013/22-23/125"/>
        <s v="MAE010/22-23/126"/>
        <s v="MAE003/22-23/127"/>
        <s v="MAE014/22-23/128"/>
        <s v="MAE016/22-23/129"/>
        <s v="MAE010/22-23/130"/>
        <s v="MAE016/22-23/131"/>
        <s v="MAE016/22-23/132"/>
        <s v="MAE016/22-23/133"/>
        <s v="MAE006/22-23/134"/>
        <s v="MAE006/22-23/135"/>
        <s v="MAE017/22-23/136"/>
        <s v="MAE017/22-23/137"/>
        <s v="MAE006/22-23/138"/>
        <s v="MAE016/22-23/139"/>
        <s v="MAE013/22-23/140"/>
        <s v="MAE004/22-23/141"/>
        <s v="MAE016/22-23/142"/>
        <s v="MAE016/22-23/143"/>
        <s v="MAE019/23-24/001"/>
        <s v="MAE017/23-24/002"/>
        <s v="MAE006/23-24/003"/>
        <s v="MAE014/23-24/004"/>
        <s v="MAE010/23-24/005"/>
        <s v="MAE016/23-24/006"/>
        <s v="MAE020/23-24/007"/>
        <s v="MAE011/23-24/008"/>
        <s v="MAE016/23-24/009"/>
        <s v="MAE010/2023-033"/>
        <s v="MAE004/2023-034"/>
        <s v="MAE004/2023-035"/>
        <s v="MAE016/2023-036"/>
        <s v="MAE017/2023-037"/>
        <s v="MAE021/2023-038"/>
        <s v="MAE006/2023-039"/>
        <s v="MAE021/2023-040"/>
        <s v="MAE021/2023-041"/>
        <s v="MAE016/2023-043"/>
        <s v="MAE017/2023-042"/>
        <s v="MAE021/2023-044"/>
        <s v="MAE021/2023-045"/>
        <s v="MAE022/2023-046"/>
        <s v="MAE021/2023-047"/>
        <s v="MAE021/2023-048"/>
        <s v="MAE023/2023-049"/>
        <s v="MAE021/2023-050"/>
        <s v="MAE024/2023-051"/>
        <s v="MAE014/2023-052"/>
        <s v="MAE021/2023-053"/>
        <s v="MAE016/2023-054"/>
        <s v="MAE021/2023-055"/>
        <s v="MAE021/2023-056"/>
        <s v="MAE017/2023-057"/>
        <s v="MAE021/2023-058"/>
        <s v="MAE021/2023-059"/>
        <s v="MAE006/2023-060"/>
        <s v="MAE021/2023-061"/>
        <s v="MAE021/2023-062"/>
        <s v="MAE026/2023-063"/>
        <s v="MAE025/2023-064"/>
        <s v="MAE021/2023-065"/>
        <s v="MAE021/2023-066"/>
        <s v="MAE021/2023-067"/>
        <s v="MAE021/2023-068"/>
        <s v="MAE021/2023-069"/>
        <s v="MAE027/2023-070"/>
        <s v="MAE017/2023-071"/>
        <s v="MAE021/2023-072"/>
        <s v="MAE014/2023-073"/>
        <s v="MAE014/2023-074"/>
        <s v="MAE021/2023-075"/>
        <s v="MAE011/2023-076"/>
        <s v="MAE027/2023-075"/>
        <s v="MAE021/2023-078 "/>
        <s v="MAE017/2023-079"/>
        <s v="MAE021/2023-080"/>
        <s v="MAE031/2023-081"/>
        <s v="MAE031/2023-082"/>
        <s v="MAE027/2023-083"/>
        <s v="MAE014/2023-084"/>
        <s v="MAE017/2023-085"/>
        <s v="MAE017/2023-086"/>
        <s v="MAE028/2023-087"/>
        <s v="MAE027/2023-088"/>
        <s v="MAE017/2023-089"/>
        <s v="MAE010/2023-090"/>
        <s v="MAE003/2023-091"/>
        <s v="MAE014/2023-092"/>
        <s v="MAE017/2023-093"/>
        <s v="MAE035/2023-094"/>
        <s v="MAE035/2023-095"/>
        <s v="MAE035/2023-096"/>
        <s v="MAE035/2023-097"/>
        <s v="MAE003/2023-098"/>
        <s v="MAE026/2023-099"/>
        <s v="MAE027/2023-100"/>
        <s v="MAE017/2023-101"/>
        <s v="MAE014/2023-102"/>
        <s v="MAE036/2023-103"/>
        <s v="MAE027/2023-104"/>
        <s v="MAE036/2023-105"/>
        <s v="MAE003/2023-106"/>
        <s v="MAE014/2023-107"/>
        <s v="MAE003/2023-108"/>
        <s v="MAE017/2023-109"/>
        <s v="MAE027/2023-110"/>
        <s v="MAE037/2023-111"/>
        <s v="MAE037/2023-112"/>
        <s v="MAE037/2023-113"/>
        <s v="MAE037/2023-114"/>
        <s v="MAE037/2023-115"/>
        <s v="MAE037/2023-116"/>
        <s v="MAE037/2023-117"/>
        <s v="MAE037/2023-118"/>
        <s v="MAE037/2023-119"/>
        <s v="MAE037/2023-120"/>
        <s v="MAE037/2023-121"/>
        <s v="MAE037/2023-122"/>
        <s v="MAE037/2023-123"/>
        <s v="MAE037/2023-124"/>
        <s v="MAE037/2023-125"/>
        <s v="MAE037/2023-126"/>
        <s v="MAE037/2023-127"/>
        <s v="MAE037/2023-128"/>
        <s v="MAE036/2023-129"/>
        <s v="MAE027/2023-130"/>
        <s v="MAE036/2023-131"/>
        <s v="MAE017/2023-132"/>
        <s v="MAE038/2023-133"/>
        <s v="MAE027/2023-134"/>
        <s v="MAE038/2023-135"/>
        <s v="MAE039/2023-136"/>
        <s v="MAE017/2023-137"/>
        <s v="MAE040/2023-138"/>
        <s v="MAE017/2023-139"/>
        <s v="MAE027/2023-140"/>
        <s v="MAE037/2023-141"/>
        <s v="MAE037/2023-142"/>
        <s v="MAE017/2023-143"/>
        <s v="MAE037/2023-144"/>
        <s v="MAE037/2023-145"/>
        <s v="MAE037/2023-146"/>
        <s v="MAE037/2023-147"/>
        <s v="MAE037/2023-148"/>
        <s v="MAE037/2023-149"/>
        <s v="MAE037/2023-150"/>
        <s v="MAE037/2023-151"/>
        <s v="MAE037/2023-152"/>
        <s v="MAE037/2023-153"/>
        <s v="MAE037/2023-154"/>
        <s v="MAE037/2023-155"/>
        <s v="MAE037/2023-156"/>
        <s v="MAE041/2023-157"/>
        <s v="MAE017/2023-158"/>
        <s v="MAE011/2023-159"/>
        <s v="MAE021/2023-160"/>
        <s v="MAE027/2023-161"/>
        <s v="MAE021/2023-162"/>
        <s v="MAE021/2023-163"/>
        <s v="MAE021/2023-164"/>
        <s v="MAE021/2023-165"/>
        <s v="MAE021/2023-166"/>
        <s v="MAE021/2023-167"/>
        <s v="MAE021/2023-168"/>
        <s v="MAE042/2023-169"/>
        <s v="MAE021/2023-170"/>
        <s v="MAE021/2023-171"/>
        <s v="MAE021/2023-172"/>
        <s v="MAE021/2023-173"/>
        <s v="MAE043/2023-174"/>
        <s v="MAE021/2023-175"/>
        <s v="MAE044/2023-176"/>
        <s v="MAE021/2023-177"/>
        <s v="MAE045/2023-178"/>
        <s v="MAE045/2023-179"/>
        <s v="MAE045/2023-180"/>
        <s v="MAE045/2023-181"/>
        <s v="MAE021/24-25-001"/>
        <s v="MAE045/24-25-002"/>
        <s v="MAE045/24-25-003"/>
        <s v="MAE045/24-25-004"/>
        <s v="MAE021/24-25-005"/>
        <s v="MAE021/24-25-006"/>
        <s v="MAE045/24-25-007"/>
        <s v="MAE021/24-25-008"/>
        <s v="MAE021/24-25-009"/>
        <s v="MAE021/24-25-010"/>
        <s v="MAE021/24-25-011"/>
        <s v="MAE021/24-25-012"/>
        <s v="MAE021/24-25-013"/>
        <s v="MAE043/24-25-0014"/>
        <s v="MAE021/24-25-015"/>
        <s v="MAE021/24-25-016"/>
        <s v="MAE046/24-25-017"/>
        <s v="MAE029/24-25-018"/>
        <s v="MAE046/24-25-019"/>
        <s v="MAE047/24-25-020"/>
        <s v="MAE029/24-25-021"/>
        <s v="MAE046/24-25-022"/>
        <s v="MAE021/24-25-023"/>
        <s v="MAE026/24-25-024"/>
        <s v="MAE029/24-25-025"/>
        <s v="MAE043/24-25-026"/>
        <s v="MAE048/24-25-027"/>
        <s v="MAE010/24-25-028"/>
        <s v="MAE043/24-25-029"/>
        <s v="MAE043/24-25-030"/>
        <s v="MAE043/24-25-031"/>
        <s v="MAE043/24-25-032"/>
        <s v="MAE036/24-25-033"/>
        <s v="MAE049/24-25-034"/>
        <s v="MAE036/24-25-035"/>
        <s v="MAE010/24-25-036"/>
        <s v="MAE050/24-25-037"/>
        <s v="MAE036/24-25-038"/>
        <s v="MAE036/24-25-039"/>
        <s v="MAE010/24-25-041"/>
        <s v="MAE006/24-25-042"/>
        <s v="MAE006/24-25-043"/>
        <s v="MAE006/24-25-044"/>
        <s v="MAE052/24-25-045"/>
        <s v="MAE006/24-25-046"/>
        <s v="MAE006/24-25-047"/>
        <s v="MAE010/25-26-001"/>
        <s v="MAE053"/>
        <s v="MAE054/25-26-002"/>
        <s v="MAE054/25-26-003"/>
        <s v="MAE036/25-26-0004"/>
        <s v="MAE048/25-26-0005"/>
        <s v="MAE036/25-26-0006"/>
        <s v="MAE036/25-26-0007"/>
        <s v="MAE036/25-26-0008"/>
        <s v="MAE036/25-26-0009"/>
        <s v="MAE036/25-26-0010"/>
        <s v="MAE036/25-26-0011"/>
        <s v="MAE055/25-26-0012"/>
        <s v="MAE036/25-26-0013"/>
        <s v="MAE036/25-26-0014"/>
        <s v="MAE056/25-26-0015"/>
        <s v="MAE057/25-26-0016"/>
        <s v="MAE023/25-26-0017"/>
        <s v="MAE058/25-26-0018"/>
        <s v="MAE048/25-26-0019"/>
        <s v="MAE060/25-26-0020"/>
        <s v="MAE059/25-26-0021"/>
        <s v="MAE058/25-26-0022"/>
        <s v="MAE059/25-26-0023"/>
        <s v="MAE058/25-26-0024"/>
        <s v="MAE060/25-26-0025"/>
        <m/>
      </sharedItems>
    </cacheField>
    <cacheField name="Consignee Name" numFmtId="0">
      <sharedItems containsBlank="1">
        <s v="JEEVIKA YUGCHEM PVT LTD."/>
        <s v="PDDR MEDICAL PRODUCTS &amp; SERVICES PVT LTD"/>
        <s v="SHREE GAYATRI PACKAGING"/>
        <s v="KRISHNA ENTERPRISES"/>
        <s v="PAVITRA FABRIC TAPE INDUSTRIES"/>
        <s v="KABRA FOODS"/>
        <s v="PRABHAT ENTERPRISES"/>
        <s v="AEC PLAST"/>
        <s v="NAGPUR FUELS"/>
        <s v="CARE INDIA"/>
        <s v="SURYA SEGHDI"/>
        <s v="VIDARBHA SALES"/>
        <s v="RSG AGRO &amp; WASTE MANAGEMENT"/>
        <s v="MPM PVT LTD"/>
        <s v="SHAKTI INDUSTRIES"/>
        <s v="TUSHAR TALE"/>
        <s v="SHRI SHIVAY AGRO ENERGIES"/>
        <s v="NIKHIL TRADERS"/>
        <s v="SAFETY PACKAGING"/>
        <s v="VINATI ORGANICS LTD"/>
        <s v="OJAS FEEDS"/>
        <s v="SANTOSH DHUMAL"/>
        <s v="ADITYA AGRO INDUSTRIES"/>
        <s v="PRIYANSHI INDUSTRIES"/>
        <s v="RAJENDRA PATEL"/>
        <s v="LECILITE INGREDIENTS PVT LTD"/>
        <s v="ACI CLEAN ENERGY PVT LTD"/>
        <s v="AMAN TRADERS"/>
        <s v="MAHARASTRA BAMBOO DEVELOPMENT BOARD"/>
        <s v="SHREE BAIDYANATH AYUR BHAWAN PVT LTD"/>
        <s v="SIDDHAYU AYURVEDIC RESEARCH FOUNDATION PVT LTD"/>
        <s v="ASIAN GLOBAL EXIM"/>
        <s v="BHARTI ENTERPRISES"/>
        <s v="SAI KALYANI AGENCY"/>
        <s v="NITIKA PHARMACEUTICALS SPECIALITIES PVT. LTD"/>
        <s v="A K WAFER PRODUCTS"/>
        <s v="HARIWANSH PACKAGING PVT LTD"/>
        <s v="BIO ENERGY"/>
        <s v="GREENWAKE ENERGY SOLUTIONS"/>
        <s v="NATURE BLISS AGRO FARMS"/>
        <s v="MITTAL COAL COMPANY"/>
        <s v="SHIVA TRADERS"/>
        <s v="AERO AGRO CHEMICAL INDUSTRIES"/>
        <s v="RSG AGRO WASTE MANAGEMENT"/>
        <s v="CRYSTAL CROP PROTECTION LIMITED"/>
        <s v="SRJ ENERGY"/>
        <s v="NJ RENEWABLE ENERGY PVT LIMITED "/>
        <s v="BAIDYANATH BIOFUELS PVT LIMITED"/>
        <s v="VENUS ENTERPRISES ENERGY PVT LTD"/>
        <s v="GNG AGRITECH WASTE MANAGEMENT PVT LTD"/>
        <s v="GVR NUTRIES PVT LTD"/>
        <s v="VANDANA FOODS "/>
        <s v="THE URBAN INFRA INC"/>
        <s v="SIDDHAYU LIFE SCIENCES PVT LTD"/>
        <s v="JAI DURGA ENTERPRISES"/>
        <s v="SIDDHAYU AYURVEDIC RESEARCH FOUNDATION PVT LTD "/>
        <s v="MAHI ENTERPRISES "/>
        <s v="AEC PLAST PRIVATE LIMITED"/>
        <s v="SHRI HARI FOOD INDUSTRIES "/>
        <s v="VITUS OIL SOLUTIONS PVT LTD"/>
        <s v="TTD METAL UDYOG"/>
        <s v="M/S BISEN BIO ENERGIES"/>
        <s v="MAA BAGLA TRADERS"/>
        <s v="Sankalp Industries"/>
        <s v="SAI STEAM SERVICES"/>
        <s v="GAUTAM ENTERPRISES"/>
        <s v="BHUTTATVA BIOTECH"/>
        <s v="PARMESHWAR KALE"/>
        <s v="EXOTIC HOSPITALITY NAGPUR PVT LTD"/>
        <s v="GAURI,S TAVA TADKA"/>
        <s v="SGB AMRUT PRASAD CLEANING HOUSE"/>
        <s v="-"/>
        <m/>
      </sharedItems>
    </cacheField>
    <cacheField name="Buyer" numFmtId="0">
      <sharedItems containsBlank="1">
        <s v=" - "/>
        <s v="-"/>
        <m/>
      </sharedItems>
    </cacheField>
    <cacheField name="Dated">
      <sharedItems containsDate="1" containsBlank="1" containsMixedTypes="1">
        <d v="2021-01-24T00:00:00Z"/>
        <d v="2021-02-04T00:00:00Z"/>
        <d v="2021-02-16T00:00:00Z"/>
        <d v="2021-02-26T00:00:00Z"/>
        <d v="2021-03-22T00:00:00Z"/>
        <d v="2021-04-19T00:00:00Z"/>
        <d v="2021-05-01T00:00:00Z"/>
        <d v="2021-06-01T00:00:00Z"/>
        <d v="2021-06-26T00:00:00Z"/>
        <d v="2021-06-20T00:00:00Z"/>
        <d v="2021-07-10T00:00:00Z"/>
        <d v="2021-07-26T00:00:00Z"/>
        <d v="2021-08-08T00:00:00Z"/>
        <d v="2021-08-30T00:00:00Z"/>
        <d v="2021-10-13T00:00:00Z"/>
        <d v="2021-11-18T00:00:00Z"/>
        <d v="2021-12-06T00:00:00Z"/>
        <d v="2021-12-15T00:00:00Z"/>
        <d v="2021-12-14T00:00:00Z"/>
        <d v="2021-12-21T00:00:00Z"/>
        <d v="2022-01-02T00:00:00Z"/>
        <d v="2022-01-09T00:00:00Z"/>
        <d v="2022-01-16T00:00:00Z"/>
        <d v="2022-01-31T00:00:00Z"/>
        <d v="2022-02-10T00:00:00Z"/>
        <d v="2022-02-18T00:00:00Z"/>
        <d v="2022-02-20T00:00:00Z"/>
        <d v="2022-02-24T00:00:00Z"/>
        <d v="2022-02-25T00:00:00Z"/>
        <d v="2022-03-11T00:00:00Z"/>
        <d v="2022-03-22T00:00:00Z"/>
        <d v="2022-03-24T00:00:00Z"/>
        <d v="2022-03-29T00:00:00Z"/>
        <d v="2022-04-02T00:00:00Z"/>
        <d v="2022-04-10T00:00:00Z"/>
        <d v="2022-04-16T00:00:00Z"/>
        <d v="2022-05-01T00:00:00Z"/>
        <d v="2022-05-07T00:00:00Z"/>
        <d v="2022-05-09T00:00:00Z"/>
        <d v="2022-05-18T00:00:00Z"/>
        <d v="2022-05-13T00:00:00Z"/>
        <d v="2022-05-21T00:00:00Z"/>
        <d v="2022-01-27T00:00:00Z"/>
        <d v="2022-01-28T00:00:00Z"/>
        <d v="2022-05-28T00:00:00Z"/>
        <d v="2022-06-09T00:00:00Z"/>
        <d v="2022-06-14T00:00:00Z"/>
        <d v="2022-06-16T00:00:00Z"/>
        <d v="2022-06-18T00:00:00Z"/>
        <d v="2022-06-24T00:00:00Z"/>
        <d v="2022-07-12T00:00:00Z"/>
        <d v="2022-07-15T00:00:00Z"/>
        <d v="2022-07-17T00:00:00Z"/>
        <d v="2022-07-18T00:00:00Z"/>
        <d v="2022-07-16T00:00:00Z"/>
        <d v="2022-07-22T00:00:00Z"/>
        <d v="2022-07-19T00:00:00Z"/>
        <d v="2022-07-21T00:00:00Z"/>
        <d v="2022-08-01T00:00:00Z"/>
        <d v="2022-07-27T00:00:00Z"/>
        <d v="2022-08-02T00:00:00Z"/>
        <d v="2022-08-04T00:00:00Z"/>
        <d v="2022-08-13T00:00:00Z"/>
        <d v="2022-08-14T00:00:00Z"/>
        <d v="2022-07-08T00:00:00Z"/>
        <d v="2022-08-16T00:00:00Z"/>
        <d v="2022-08-18T00:00:00Z"/>
        <d v="2022-08-19T00:00:00Z"/>
        <d v="2022-08-23T00:00:00Z"/>
        <d v="2022-09-01T00:00:00Z"/>
        <d v="2022-09-02T00:00:00Z"/>
        <d v="2022-09-05T00:00:00Z"/>
        <d v="2022-09-06T00:00:00Z"/>
        <d v="2022-09-08T00:00:00Z"/>
        <d v="2022-09-10T00:00:00Z"/>
        <d v="2022-09-11T00:00:00Z"/>
        <d v="2022-09-12T00:00:00Z"/>
        <d v="2022-09-13T00:00:00Z"/>
        <d v="2022-09-14T00:00:00Z"/>
        <d v="2022-09-16T00:00:00Z"/>
        <d v="2022-09-23T00:00:00Z"/>
        <d v="2022-09-22T00:00:00Z"/>
        <d v="2022-09-19T00:00:00Z"/>
        <d v="2022-09-26T00:00:00Z"/>
        <d v="2022-09-28T00:00:00Z"/>
        <d v="2022-09-29T00:00:00Z"/>
        <d v="2022-10-02T00:00:00Z"/>
        <d v="2022-10-04T00:00:00Z"/>
        <d v="2022-10-07T00:00:00Z"/>
        <d v="2022-10-12T00:00:00Z"/>
        <d v="2022-10-15T00:00:00Z"/>
        <d v="2022-10-14T00:00:00Z"/>
        <d v="2022-10-21T00:00:00Z"/>
        <d v="2022-11-02T00:00:00Z"/>
        <d v="2022-11-04T00:00:00Z"/>
        <d v="2022-11-07T00:00:00Z"/>
        <d v="2022-11-09T00:00:00Z"/>
        <d v="2022-11-10T00:00:00Z"/>
        <d v="2022-11-11T00:00:00Z"/>
        <d v="2022-11-15T00:00:00Z"/>
        <d v="2022-11-17T00:00:00Z"/>
        <d v="2022-11-26T00:00:00Z"/>
        <d v="2022-11-27T00:00:00Z"/>
        <d v="2022-12-01T00:00:00Z"/>
        <d v="2022-12-04T00:00:00Z"/>
        <d v="2022-12-02T00:00:00Z"/>
        <d v="2022-12-06T00:00:00Z"/>
        <d v="2022-12-07T00:00:00Z"/>
        <d v="2022-12-10T00:00:00Z"/>
        <d v="2022-12-12T00:00:00Z"/>
        <d v="2022-12-13T00:00:00Z"/>
        <d v="2022-12-15T00:00:00Z"/>
        <d v="2022-12-16T00:00:00Z"/>
        <d v="2022-11-03T00:00:00Z"/>
        <d v="2022-12-21T00:00:00Z"/>
        <d v="2022-12-23T00:00:00Z"/>
        <d v="2022-12-25T00:00:00Z"/>
        <d v="2022-12-26T00:00:00Z"/>
        <d v="2022-12-27T00:00:00Z"/>
        <d v="2022-12-31T00:00:00Z"/>
        <d v="2023-01-03T00:00:00Z"/>
        <d v="2023-01-04T00:00:00Z"/>
        <d v="2023-01-05T00:00:00Z"/>
        <d v="2023-01-13T00:00:00Z"/>
        <d v="2023-01-15T00:00:00Z"/>
        <d v="2023-01-14T00:00:00Z"/>
        <d v="2023-01-20T00:00:00Z"/>
        <d v="2023-01-23T00:00:00Z"/>
        <d v="2023-01-27T00:00:00Z"/>
        <d v="2023-01-29T00:00:00Z"/>
        <d v="2023-01-24T00:00:00Z"/>
        <d v="2023-01-31T00:00:00Z"/>
        <d v="2023-02-08T00:00:00Z"/>
        <d v="2023-02-10T00:00:00Z"/>
        <d v="2023-02-11T00:00:00Z"/>
        <d v="2023-02-13T00:00:00Z"/>
        <d v="2023-02-15T00:00:00Z"/>
        <d v="2023-02-19T00:00:00Z"/>
        <d v="2023-02-24T00:00:00Z"/>
        <d v="2023-03-01T00:00:00Z"/>
        <d v="2023-03-02T00:00:00Z"/>
        <d v="2023-03-05T00:00:00Z"/>
        <d v="2023-03-15T00:00:00Z"/>
        <d v="2023-03-16T00:00:00Z"/>
        <d v="2023-03-18T00:00:00Z"/>
        <d v="2023-03-19T00:00:00Z"/>
        <d v="2023-03-21T00:00:00Z"/>
        <d v="2023-03-22T00:00:00Z"/>
        <d v="2023-03-24T00:00:00Z"/>
        <d v="2023-03-27T00:00:00Z"/>
        <d v="2023-04-03T00:00:00Z"/>
        <d v="2023-04-04T00:00:00Z"/>
        <d v="2023-04-12T00:00:00Z"/>
        <d v="2023-04-10T00:00:00Z"/>
        <d v="2023-04-09T00:00:00Z"/>
        <d v="2023-04-11T00:00:00Z"/>
        <d v="2023-04-13T00:00:00Z"/>
        <d v="2023-04-16T00:00:00Z"/>
        <d v="2023-04-20T00:00:00Z"/>
        <d v="2023-04-17T00:00:00Z"/>
        <d v="2023-04-21T00:00:00Z"/>
        <d v="2023-04-25T00:00:00Z"/>
        <d v="2023-04-22T00:00:00Z"/>
        <d v="2023-04-29T00:00:00Z"/>
        <d v="2023-04-30T00:00:00Z"/>
        <d v="2023-05-01T00:00:00Z"/>
        <d v="2023-05-02T00:00:00Z"/>
        <d v="2023-05-08T00:00:00Z"/>
        <d v="2023-05-11T00:00:00Z"/>
        <d v="2023-05-13T00:00:00Z"/>
        <d v="2023-05-14T00:00:00Z"/>
        <d v="2023-05-16T00:00:00Z"/>
        <d v="2023-05-30T00:00:00Z"/>
        <d v="2023-05-20T00:00:00Z"/>
        <d v="2023-05-23T00:00:00Z"/>
        <d v="2023-05-26T00:00:00Z"/>
        <d v="2023-05-31T00:00:00Z"/>
        <d v="2023-06-05T00:00:00Z"/>
        <d v="2023-06-06T00:00:00Z"/>
        <d v="2023-06-07T00:00:00Z"/>
        <d v="2023-06-11T00:00:00Z"/>
        <d v="2023-06-12T00:00:00Z"/>
        <d v="2023-06-14T00:00:00Z"/>
        <d v="2023-06-15T00:00:00Z"/>
        <d v="2023-06-18T00:00:00Z"/>
        <d v="2023-06-27T00:00:00Z"/>
        <d v="2023-07-02T00:00:00Z"/>
        <d v="2023-07-04T00:00:00Z"/>
        <d v="2023-07-08T00:00:00Z"/>
        <d v="2023-07-09T00:00:00Z"/>
        <d v="2023-07-17T00:00:00Z"/>
        <d v="2023-07-19T00:00:00Z"/>
        <d v="2023-07-23T00:00:00Z"/>
        <d v="2023-07-25T00:00:00Z"/>
        <d v="2023-08-01T00:00:00Z"/>
        <d v="2023-08-05T00:00:00Z"/>
        <d v="2023-08-08T00:00:00Z"/>
        <d v="2023-08-11T00:00:00Z"/>
        <d v="2023-08-25T00:00:00Z"/>
        <d v="2023-08-24T00:00:00Z"/>
        <d v="2023-08-28T00:00:00Z"/>
        <d v="2023-08-18T00:00:00Z"/>
        <d v="2023-08-19T00:00:00Z"/>
        <d v="2023-08-20T00:00:00Z"/>
        <d v="2023-08-21T00:00:00Z"/>
        <s v="4-SEPT-2023"/>
        <s v="8-SEPT-2023"/>
        <s v="20-SEPT-2023"/>
        <s v="21-SEPT-2023"/>
        <s v="29-SEPT-2023"/>
        <d v="2023-10-03T00:00:00Z"/>
        <d v="2023-10-06T00:00:00Z"/>
        <d v="2023-10-07T00:00:00Z"/>
        <d v="2023-10-08T00:00:00Z"/>
        <d v="2023-10-13T00:00:00Z"/>
        <d v="2023-10-15T00:00:00Z"/>
        <d v="2023-10-14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3T00:00:00Z"/>
        <d v="2023-10-25T00:00:00Z"/>
        <d v="2023-11-02T00:00:00Z"/>
        <d v="2023-11-05T00:00:00Z"/>
        <d v="2023-11-07T00:00:00Z"/>
        <d v="2023-11-12T00:00:00Z"/>
        <d v="2023-11-24T00:00:00Z"/>
        <d v="2023-11-28T00:00:00Z"/>
        <d v="2023-11-30T00:00:00Z"/>
        <d v="2023-12-01T00:00:00Z"/>
        <d v="2023-12-04T00:00:00Z"/>
        <d v="2023-12-05T00:00:00Z"/>
        <d v="2023-12-12T00:00:00Z"/>
        <d v="2023-12-14T00:00:00Z"/>
        <d v="2023-12-15T00:00:00Z"/>
        <d v="2023-12-21T00:00:00Z"/>
        <d v="2023-12-22T00:00:00Z"/>
        <d v="2023-12-24T00:00:00Z"/>
        <d v="2023-12-26T00:00:00Z"/>
        <d v="2023-12-27T00:00:00Z"/>
        <d v="2023-12-29T00:00:00Z"/>
        <d v="2024-01-12T00:00:00Z"/>
        <d v="2024-01-14T00:00:00Z"/>
        <d v="2024-01-16T00:00:00Z"/>
        <d v="2024-01-25T00:00:00Z"/>
        <d v="2024-01-22T00:00:00Z"/>
        <d v="2024-01-27T00:00:00Z"/>
        <d v="2024-01-28T00:00:00Z"/>
        <d v="2024-02-01T00:00:00Z"/>
        <d v="2024-02-04T00:00:00Z"/>
        <d v="2024-02-07T00:00:00Z"/>
        <d v="2024-02-11T00:00:00Z"/>
        <d v="2024-02-14T00:00:00Z"/>
        <d v="2024-02-18T00:00:00Z"/>
        <d v="2024-02-16T00:00:00Z"/>
        <d v="2024-02-22T00:00:00Z"/>
        <d v="2024-02-24T00:00:00Z"/>
        <d v="2024-02-27T00:00:00Z"/>
        <d v="2024-03-04T00:00:00Z"/>
        <d v="2024-03-06T00:00:00Z"/>
        <d v="2024-03-12T00:00:00Z"/>
        <d v="2024-03-19T00:00:00Z"/>
        <d v="2024-03-23T00:00:00Z"/>
        <d v="2024-03-27T00:00:00Z"/>
        <d v="2024-04-01T00:00:00Z"/>
        <d v="2024-04-04T00:00:00Z"/>
        <d v="2024-04-05T00:00:00Z"/>
        <d v="2024-04-06T00:00:00Z"/>
        <d v="2024-04-15T00:00:00Z"/>
        <d v="2024-04-23T00:00:00Z"/>
        <d v="2024-04-24T00:00:00Z"/>
        <d v="2024-05-04T00:00:00Z"/>
        <d v="2024-05-05T00:00:00Z"/>
        <d v="2024-05-19T00:00:00Z"/>
        <d v="2024-05-22T00:00:00Z"/>
        <d v="2024-05-26T00:00:00Z"/>
        <d v="2024-06-04T00:00:00Z"/>
        <d v="2024-06-11T00:00:00Z"/>
        <d v="2024-06-20T00:00:00Z"/>
        <d v="2024-06-25T00:00:00Z"/>
        <d v="2024-06-30T00:00:00Z"/>
        <d v="2024-07-06T00:00:00Z"/>
        <d v="2024-07-17T00:00:00Z"/>
        <d v="2024-07-19T00:00:00Z"/>
        <d v="2024-07-23T00:00:00Z"/>
        <s v="30-SEPT-2024"/>
        <d v="2024-10-07T00:00:00Z"/>
        <d v="2024-10-26T00:00:00Z"/>
        <d v="2024-10-27T00:00:00Z"/>
        <d v="2024-11-05T00:00:00Z"/>
        <d v="2024-11-30T00:00:00Z"/>
        <d v="2024-12-02T00:00:00Z"/>
        <d v="2024-12-08T00:00:00Z"/>
        <d v="2024-12-12T00:00:00Z"/>
        <d v="2024-12-22T00:00:00Z"/>
        <d v="2024-12-25T00:00:00Z"/>
        <d v="2025-01-02T00:00:00Z"/>
        <d v="2025-01-04T00:00:00Z"/>
        <d v="2025-01-25T00:00:00Z"/>
        <d v="2025-02-12T00:00:00Z"/>
        <d v="2025-02-23T00:00:00Z"/>
        <d v="2025-03-13T00:00:00Z"/>
        <d v="2025-04-09T00:00:00Z"/>
        <d v="2025-04-10T00:00:00Z"/>
        <d v="2025-04-11T00:00:00Z"/>
        <d v="2025-06-14T00:00:00Z"/>
        <d v="2025-08-18T00:00:00Z"/>
        <d v="2025-08-30T00:00:00Z"/>
        <d v="2025-09-30T00:00:00Z"/>
        <d v="2025-10-06T00:00:00Z"/>
        <d v="2025-10-09T00:00:00Z"/>
        <d v="2025-10-11T00:00:00Z"/>
        <d v="2025-10-12T00:00:00Z"/>
        <d v="2025-10-15T00:00:00Z"/>
        <d v="2025-10-30T00:00:00Z"/>
        <d v="2025-11-11T00:00:00Z"/>
        <d v="2025-11-30T00:00:00Z"/>
        <d v="2025-12-17T00:00:00Z"/>
        <d v="2025-12-30T00:00:00Z"/>
        <d v="2026-01-11T00:00:00Z"/>
        <d v="2026-03-21T00:00:00Z"/>
        <m/>
      </sharedItems>
    </cacheField>
    <cacheField name="Delivery Note" numFmtId="0">
      <sharedItems containsBlank="1">
        <s v=" - "/>
        <m/>
      </sharedItems>
    </cacheField>
    <cacheField name="Payment Mode/Terms" numFmtId="0">
      <sharedItems containsBlank="1">
        <s v=" - "/>
        <s v="20-25 DAYS FROM DELIVERY OF GOODS"/>
        <s v="20-25 DAYS FROM DELIVERY"/>
        <s v="15 DAYS FROM DELIVERY"/>
        <s v="21 DAYS FROM DELIVERY"/>
        <s v="-"/>
        <s v="WITHIN 6 DAYS FROM DELIVERY"/>
        <s v="WITHIN 15 DAYS FROM DELIVERY"/>
        <s v="ADVANCE"/>
        <m/>
        <s v="WITHIN 7 DAYS"/>
        <s v=" WITHIN 7 DAYS"/>
        <s v="15 DAYS WITHIN DELIVERY"/>
        <s v=" 15 DAYS WITHIN DELIVERY"/>
        <s v=" -  15 DAYS WITHIN DELIVERY"/>
        <s v=" ADVANCE "/>
        <s v=" ADV "/>
        <s v="ADV"/>
        <s v=" Within 10 Days"/>
      </sharedItems>
    </cacheField>
    <cacheField name="Supplier Ref." numFmtId="0">
      <sharedItems containsBlank="1">
        <s v=" - "/>
        <m/>
        <s v="DM 256"/>
        <s v="DM 168"/>
        <s v="DM 169"/>
        <s v="DM 258"/>
        <s v="DM 259"/>
        <s v=" DM 260"/>
        <s v=" DM 261"/>
        <s v="DM 172"/>
        <s v="DM 264"/>
        <s v="DM- 283"/>
      </sharedItems>
    </cacheField>
    <cacheField name="Other Reference(s)" numFmtId="0">
      <sharedItems containsBlank="1">
        <s v=" - "/>
        <s v="DM-151"/>
        <s v="DM-152"/>
        <s v="DM-101"/>
        <s v="PO NO 25-26/001"/>
        <m/>
      </sharedItems>
    </cacheField>
    <cacheField name="Buyer's Order No.">
      <sharedItems containsBlank="1" containsMixedTypes="1" containsNumber="1" containsInteger="1">
        <s v="JYC/PO/PM/20-21/231"/>
        <s v="JYC/PO/PM/20-21/236"/>
        <s v="-"/>
        <s v="PG22Y-00378"/>
        <s v="U122Y--00163"/>
        <s v="PO/2022-23/0150"/>
        <s v="PO/PRJ/22-23/0016"/>
        <s v="PO/2023-24/009"/>
        <n v="122.0"/>
        <n v="136.0"/>
        <m/>
        <n v="224.0"/>
        <n v="325.0"/>
        <s v="NE23Y-00018"/>
        <s v="BBFPL 0172/2023-24"/>
        <s v="BBFPL 0173/2023-24"/>
        <n v="1719.0"/>
        <n v="1776.0"/>
        <s v="SLSPL/0240/2023-24"/>
        <s v="WE23Y-00268"/>
        <n v="2100.0"/>
      </sharedItems>
    </cacheField>
    <cacheField name="Date">
      <sharedItems containsDate="1" containsBlank="1" containsMixedTypes="1">
        <d v="2021-01-21T00:00:00Z"/>
        <d v="2021-02-26T00:00:00Z"/>
        <d v="2021-03-22T00:00:00Z"/>
        <d v="2021-04-19T00:00:00Z"/>
        <d v="2021-05-01T00:00:00Z"/>
        <d v="2021-06-01T00:00:00Z"/>
        <d v="2021-06-26T00:00:00Z"/>
        <d v="2021-06-20T00:00:00Z"/>
        <d v="2021-07-12T00:00:00Z"/>
        <d v="2021-07-26T00:00:00Z"/>
        <d v="2021-08-08T00:00:00Z"/>
        <d v="2021-08-30T00:00:00Z"/>
        <d v="2021-10-13T00:00:00Z"/>
        <d v="2021-11-18T00:00:00Z"/>
        <d v="2021-12-06T00:00:00Z"/>
        <d v="2021-12-15T00:00:00Z"/>
        <d v="2021-12-14T00:00:00Z"/>
        <d v="2021-12-21T00:00:00Z"/>
        <d v="2022-01-02T00:00:00Z"/>
        <d v="2022-01-09T00:00:00Z"/>
        <d v="2022-01-16T00:00:00Z"/>
        <d v="2022-01-31T00:00:00Z"/>
        <d v="2022-02-10T00:00:00Z"/>
        <d v="2022-02-18T00:00:00Z"/>
        <d v="2022-02-20T00:00:00Z"/>
        <d v="2022-02-24T00:00:00Z"/>
        <d v="2022-02-25T00:00:00Z"/>
        <d v="2022-03-11T00:00:00Z"/>
        <d v="2022-03-22T00:00:00Z"/>
        <d v="2022-03-24T00:00:00Z"/>
        <d v="2022-03-29T00:00:00Z"/>
        <d v="2022-04-02T00:00:00Z"/>
        <d v="2022-04-10T00:00:00Z"/>
        <d v="2022-04-16T00:00:00Z"/>
        <d v="2022-05-01T00:00:00Z"/>
        <d v="2022-05-07T00:00:00Z"/>
        <d v="2022-05-09T00:00:00Z"/>
        <d v="2022-05-18T00:00:00Z"/>
        <d v="2022-05-13T00:00:00Z"/>
        <d v="2022-05-21T00:00:00Z"/>
        <d v="2022-01-27T00:00:00Z"/>
        <d v="2022-01-28T00:00:00Z"/>
        <d v="2022-05-28T00:00:00Z"/>
        <d v="2022-06-09T00:00:00Z"/>
        <d v="2022-06-14T00:00:00Z"/>
        <d v="2022-06-16T00:00:00Z"/>
        <d v="2022-06-18T00:00:00Z"/>
        <d v="2022-06-24T00:00:00Z"/>
        <d v="2022-07-12T00:00:00Z"/>
        <d v="2022-07-15T00:00:00Z"/>
        <d v="2022-07-17T00:00:00Z"/>
        <d v="2022-07-18T00:00:00Z"/>
        <d v="2022-07-16T00:00:00Z"/>
        <d v="2022-07-22T00:00:00Z"/>
        <d v="2022-07-19T00:00:00Z"/>
        <d v="2022-07-21T00:00:00Z"/>
        <d v="2022-08-01T00:00:00Z"/>
        <d v="2022-07-27T00:00:00Z"/>
        <d v="2022-08-02T00:00:00Z"/>
        <d v="2022-08-04T00:00:00Z"/>
        <d v="2022-08-13T00:00:00Z"/>
        <d v="2022-08-14T00:00:00Z"/>
        <d v="2022-07-08T00:00:00Z"/>
        <d v="2022-08-16T00:00:00Z"/>
        <d v="2022-08-18T00:00:00Z"/>
        <d v="2022-08-19T00:00:00Z"/>
        <d v="2022-08-23T00:00:00Z"/>
        <d v="2022-09-01T00:00:00Z"/>
        <d v="2022-09-02T00:00:00Z"/>
        <d v="2022-09-05T00:00:00Z"/>
        <d v="2022-09-06T00:00:00Z"/>
        <d v="2022-09-08T00:00:00Z"/>
        <d v="2022-09-10T00:00:00Z"/>
        <d v="2022-09-11T00:00:00Z"/>
        <d v="2022-09-12T00:00:00Z"/>
        <d v="2022-09-13T00:00:00Z"/>
        <d v="2022-09-14T00:00:00Z"/>
        <d v="2022-09-16T00:00:00Z"/>
        <d v="2022-09-23T00:00:00Z"/>
        <d v="2022-09-22T00:00:00Z"/>
        <d v="2022-09-19T00:00:00Z"/>
        <d v="2022-09-26T00:00:00Z"/>
        <d v="2022-09-28T00:00:00Z"/>
        <d v="2022-09-29T00:00:00Z"/>
        <d v="2022-10-02T00:00:00Z"/>
        <d v="2022-10-04T00:00:00Z"/>
        <d v="2022-10-07T00:00:00Z"/>
        <d v="2022-10-12T00:00:00Z"/>
        <d v="2022-10-15T00:00:00Z"/>
        <d v="2022-10-14T00:00:00Z"/>
        <d v="2022-10-21T00:00:00Z"/>
        <d v="2022-11-02T00:00:00Z"/>
        <d v="2022-11-04T00:00:00Z"/>
        <d v="2022-11-07T00:00:00Z"/>
        <d v="2022-11-09T00:00:00Z"/>
        <d v="2022-11-10T00:00:00Z"/>
        <d v="2022-11-11T00:00:00Z"/>
        <d v="2022-11-15T00:00:00Z"/>
        <d v="2022-11-17T00:00:00Z"/>
        <d v="2022-11-26T00:00:00Z"/>
        <d v="2022-11-27T00:00:00Z"/>
        <d v="2022-12-01T00:00:00Z"/>
        <d v="2022-12-04T00:00:00Z"/>
        <d v="2022-12-02T00:00:00Z"/>
        <d v="2022-12-06T00:00:00Z"/>
        <d v="2022-12-07T00:00:00Z"/>
        <d v="2022-12-10T00:00:00Z"/>
        <d v="2022-12-12T00:00:00Z"/>
        <d v="2022-12-13T00:00:00Z"/>
        <d v="2022-12-15T00:00:00Z"/>
        <d v="2022-12-16T00:00:00Z"/>
        <d v="2022-11-03T00:00:00Z"/>
        <d v="2022-12-21T00:00:00Z"/>
        <d v="2022-12-23T00:00:00Z"/>
        <d v="2022-12-25T00:00:00Z"/>
        <d v="2022-12-26T00:00:00Z"/>
        <d v="2022-12-27T00:00:00Z"/>
        <d v="2022-12-31T00:00:00Z"/>
        <d v="2023-01-03T00:00:00Z"/>
        <d v="2023-01-04T00:00:00Z"/>
        <d v="2023-01-05T00:00:00Z"/>
        <d v="2023-01-13T00:00:00Z"/>
        <d v="2023-01-15T00:00:00Z"/>
        <d v="2023-01-14T00:00:00Z"/>
        <d v="2023-01-20T00:00:00Z"/>
        <d v="2023-01-23T00:00:00Z"/>
        <d v="2023-01-27T00:00:00Z"/>
        <d v="2023-01-29T00:00:00Z"/>
        <d v="2023-01-24T00:00:00Z"/>
        <d v="2023-01-31T00:00:00Z"/>
        <d v="2023-02-08T00:00:00Z"/>
        <d v="2023-02-10T00:00:00Z"/>
        <d v="2023-02-11T00:00:00Z"/>
        <d v="2023-02-13T00:00:00Z"/>
        <d v="2023-02-15T00:00:00Z"/>
        <d v="2023-02-19T00:00:00Z"/>
        <d v="2023-02-24T00:00:00Z"/>
        <d v="2023-03-01T00:00:00Z"/>
        <d v="2023-03-02T00:00:00Z"/>
        <d v="2023-03-05T00:00:00Z"/>
        <d v="2023-03-15T00:00:00Z"/>
        <d v="2023-03-16T00:00:00Z"/>
        <d v="2023-03-18T00:00:00Z"/>
        <d v="2023-03-19T00:00:00Z"/>
        <d v="2023-03-21T00:00:00Z"/>
        <d v="2023-03-22T00:00:00Z"/>
        <d v="2023-03-24T00:00:00Z"/>
        <d v="2023-03-27T00:00:00Z"/>
        <d v="2023-04-03T00:00:00Z"/>
        <d v="2023-04-04T00:00:00Z"/>
        <d v="2023-04-12T00:00:00Z"/>
        <d v="2023-04-10T00:00:00Z"/>
        <d v="2023-04-09T00:00:00Z"/>
        <d v="2023-04-11T00:00:00Z"/>
        <d v="2023-04-13T00:00:00Z"/>
        <d v="2023-04-16T00:00:00Z"/>
        <d v="2023-04-20T00:00:00Z"/>
        <d v="2023-04-17T00:00:00Z"/>
        <d v="2023-04-21T00:00:00Z"/>
        <d v="2023-04-25T00:00:00Z"/>
        <d v="2023-04-22T00:00:00Z"/>
        <d v="2023-04-29T00:00:00Z"/>
        <d v="2023-04-30T00:00:00Z"/>
        <d v="2023-05-01T00:00:00Z"/>
        <d v="2023-05-02T00:00:00Z"/>
        <d v="2023-05-08T00:00:00Z"/>
        <d v="2023-05-11T00:00:00Z"/>
        <d v="2023-05-13T00:00:00Z"/>
        <d v="2023-05-14T00:00:00Z"/>
        <d v="2023-05-16T00:00:00Z"/>
        <d v="2023-05-30T00:00:00Z"/>
        <d v="2023-05-20T00:00:00Z"/>
        <d v="2023-05-23T00:00:00Z"/>
        <d v="2023-05-26T00:00:00Z"/>
        <d v="2023-05-31T00:00:00Z"/>
        <d v="2023-06-05T00:00:00Z"/>
        <d v="2023-06-06T00:00:00Z"/>
        <d v="2023-06-07T00:00:00Z"/>
        <d v="2023-06-11T00:00:00Z"/>
        <d v="2023-06-12T00:00:00Z"/>
        <d v="2023-06-14T00:00:00Z"/>
        <d v="2023-06-15T00:00:00Z"/>
        <d v="2023-06-18T00:00:00Z"/>
        <d v="2023-06-27T00:00:00Z"/>
        <d v="2023-07-02T00:00:00Z"/>
        <d v="2023-07-04T00:00:00Z"/>
        <d v="2023-07-08T00:00:00Z"/>
        <d v="2023-07-09T00:00:00Z"/>
        <d v="2023-07-17T00:00:00Z"/>
        <d v="2023-07-19T00:00:00Z"/>
        <d v="2023-07-23T00:00:00Z"/>
        <d v="2023-07-25T00:00:00Z"/>
        <d v="2023-08-01T00:00:00Z"/>
        <d v="2023-08-05T00:00:00Z"/>
        <d v="2023-08-08T00:00:00Z"/>
        <d v="2023-08-11T00:00:00Z"/>
        <d v="2023-08-25T00:00:00Z"/>
        <d v="2023-08-24T00:00:00Z"/>
        <d v="2023-08-28T00:00:00Z"/>
        <d v="2023-08-18T00:00:00Z"/>
        <d v="2023-08-19T00:00:00Z"/>
        <d v="2023-08-20T00:00:00Z"/>
        <d v="2023-08-21T00:00:00Z"/>
        <s v="4-SEPT-2023"/>
        <s v="8-SEPT-2023"/>
        <s v="20-SEPT-2023"/>
        <s v="21-SEPT-2023"/>
        <s v="29-SEPT-2023"/>
        <d v="2023-10-03T00:00:00Z"/>
        <d v="2023-10-06T00:00:00Z"/>
        <d v="2023-10-07T00:00:00Z"/>
        <d v="2023-10-08T00:00:00Z"/>
        <d v="2023-10-13T00:00:00Z"/>
        <d v="2023-10-15T00:00:00Z"/>
        <d v="2023-10-14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3T00:00:00Z"/>
        <d v="2023-10-25T00:00:00Z"/>
        <d v="2023-11-02T00:00:00Z"/>
        <d v="2023-11-05T00:00:00Z"/>
        <d v="2023-11-07T00:00:00Z"/>
        <d v="2023-11-12T00:00:00Z"/>
        <d v="2023-11-24T00:00:00Z"/>
        <d v="2023-11-28T00:00:00Z"/>
        <d v="2023-11-30T00:00:00Z"/>
        <d v="2023-12-01T00:00:00Z"/>
        <d v="2023-12-04T00:00:00Z"/>
        <d v="2023-12-05T00:00:00Z"/>
        <d v="2023-12-12T00:00:00Z"/>
        <d v="2023-12-14T00:00:00Z"/>
        <d v="2023-12-15T00:00:00Z"/>
        <d v="2023-12-21T00:00:00Z"/>
        <d v="2023-12-22T00:00:00Z"/>
        <d v="2023-12-24T00:00:00Z"/>
        <d v="2023-12-26T00:00:00Z"/>
        <d v="2023-12-27T00:00:00Z"/>
        <d v="2023-12-29T00:00:00Z"/>
        <d v="2024-01-12T00:00:00Z"/>
        <d v="2024-01-14T00:00:00Z"/>
        <d v="2024-01-16T00:00:00Z"/>
        <d v="2024-01-25T00:00:00Z"/>
        <d v="2024-01-22T00:00:00Z"/>
        <d v="2024-01-27T00:00:00Z"/>
        <d v="2024-01-28T00:00:00Z"/>
        <d v="2024-02-01T00:00:00Z"/>
        <d v="2024-02-04T00:00:00Z"/>
        <d v="2024-02-07T00:00:00Z"/>
        <d v="2024-02-11T00:00:00Z"/>
        <d v="2024-02-14T00:00:00Z"/>
        <d v="2024-02-18T00:00:00Z"/>
        <d v="2024-02-16T00:00:00Z"/>
        <d v="2024-02-22T00:00:00Z"/>
        <d v="2024-02-24T00:00:00Z"/>
        <d v="2024-02-27T00:00:00Z"/>
        <d v="2024-03-04T00:00:00Z"/>
        <d v="2024-03-06T00:00:00Z"/>
        <d v="2024-03-12T00:00:00Z"/>
        <d v="2024-03-19T00:00:00Z"/>
        <d v="2024-03-23T00:00:00Z"/>
        <d v="2024-03-27T00:00:00Z"/>
        <d v="2024-04-01T00:00:00Z"/>
        <d v="2024-04-04T00:00:00Z"/>
        <d v="2024-04-05T00:00:00Z"/>
        <d v="2024-04-06T00:00:00Z"/>
        <d v="2024-04-15T00:00:00Z"/>
        <d v="2024-04-23T00:00:00Z"/>
        <d v="2024-04-24T00:00:00Z"/>
        <d v="2024-05-04T00:00:00Z"/>
        <d v="2024-05-05T00:00:00Z"/>
        <d v="2024-05-19T00:00:00Z"/>
        <s v="SLSPL/MEC-042/24-25"/>
        <d v="2024-05-26T00:00:00Z"/>
        <d v="2024-06-04T00:00:00Z"/>
        <d v="2024-06-11T00:00:00Z"/>
        <d v="2024-06-20T00:00:00Z"/>
        <d v="2024-06-25T00:00:00Z"/>
        <d v="2024-06-30T00:00:00Z"/>
        <d v="2024-07-06T00:00:00Z"/>
        <d v="2024-07-17T00:00:00Z"/>
        <d v="2024-07-19T00:00:00Z"/>
        <d v="2024-07-23T00:00:00Z"/>
        <s v="30-SEPT-2024"/>
        <d v="2024-10-07T00:00:00Z"/>
        <d v="2024-10-26T00:00:00Z"/>
        <d v="2024-10-27T00:00:00Z"/>
        <d v="2024-11-05T00:00:00Z"/>
        <d v="2024-11-30T00:00:00Z"/>
        <d v="2024-12-02T00:00:00Z"/>
        <d v="2024-12-08T00:00:00Z"/>
        <d v="2024-12-12T00:00:00Z"/>
        <d v="2024-12-22T00:00:00Z"/>
        <d v="2024-12-25T00:00:00Z"/>
        <d v="2025-01-02T00:00:00Z"/>
        <d v="2025-01-04T00:00:00Z"/>
        <d v="2025-01-25T00:00:00Z"/>
        <d v="2025-02-12T00:00:00Z"/>
        <d v="2025-02-23T00:00:00Z"/>
        <d v="2025-03-13T00:00:00Z"/>
        <d v="2025-04-09T00:00:00Z"/>
        <d v="2025-04-10T00:00:00Z"/>
        <d v="2025-04-11T00:00:00Z"/>
        <d v="2025-06-14T00:00:00Z"/>
        <d v="2025-08-18T00:00:00Z"/>
        <d v="2025-08-30T00:00:00Z"/>
        <d v="2025-09-30T00:00:00Z"/>
        <d v="2025-10-06T00:00:00Z"/>
        <d v="2025-10-09T00:00:00Z"/>
        <d v="2025-10-11T00:00:00Z"/>
        <d v="2025-10-12T00:00:00Z"/>
        <d v="2025-10-15T00:00:00Z"/>
        <d v="2025-10-30T00:00:00Z"/>
        <d v="2025-11-11T00:00:00Z"/>
        <d v="2025-11-30T00:00:00Z"/>
        <d v="2025-12-17T00:00:00Z"/>
        <d v="2025-12-30T00:00:00Z"/>
        <d v="2026-01-11T00:00:00Z"/>
        <d v="2026-03-21T00:00:00Z"/>
        <m/>
      </sharedItems>
    </cacheField>
    <cacheField name="Despatch Document No.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4.0"/>
        <n v="35.0"/>
        <n v="36.0"/>
        <n v="37.0"/>
        <n v="38.0"/>
        <n v="39.0"/>
        <n v="40.0"/>
        <n v="41.0"/>
        <n v="43.0"/>
        <n v="44.0"/>
        <n v="45.0"/>
        <n v="46.0"/>
        <n v="47.0"/>
        <n v="48.0"/>
        <n v="49.0"/>
        <n v="50.0"/>
        <n v="51.0"/>
        <n v="52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8.0"/>
        <n v="129.0"/>
        <n v="130.0"/>
        <n v="131.0"/>
        <n v="132.0"/>
        <n v="133.0"/>
        <n v="134.0"/>
        <n v="135.0"/>
        <n v="137.0"/>
        <n v="138.0"/>
        <n v="139.0"/>
        <n v="140.0"/>
        <n v="143.0"/>
        <n v="144.0"/>
        <n v="146.0"/>
        <n v="147.0"/>
        <n v="148.0"/>
        <n v="149.0"/>
        <n v="150.0"/>
        <n v="151.0"/>
        <n v="152.0"/>
        <n v="154.0"/>
        <n v="155.0"/>
        <n v="156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1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9.0"/>
        <n v="350.0"/>
        <n v="351.0"/>
        <n v="352.0"/>
        <n v="353.0"/>
        <n v="354.0"/>
        <n v="355.0"/>
        <n v="356.0"/>
        <n v="357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2.0"/>
        <n v="393.0"/>
        <n v="394.0"/>
        <n v="395.0"/>
        <n v="396.0"/>
        <n v="397.0"/>
        <n v="398.0"/>
        <n v="399.0"/>
        <m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</sharedItems>
    </cacheField>
    <cacheField name="Delivery Note Date" numFmtId="0">
      <sharedItems containsBlank="1">
        <s v=" - "/>
        <s v="-"/>
        <m/>
      </sharedItems>
    </cacheField>
    <cacheField name="Despatch through" numFmtId="0">
      <sharedItems containsBlank="1">
        <s v="TRUCK"/>
        <s v="PVT VHCL"/>
        <s v="SELF"/>
        <s v="TRANSPORT"/>
        <s v="TCI"/>
        <s v="TRUCK "/>
        <s v=" TRUCK"/>
        <s v="ACPL LIMITED "/>
        <m/>
        <s v="ACPL"/>
        <s v="SELF PICKUP"/>
      </sharedItems>
    </cacheField>
    <cacheField name="Destination" numFmtId="0">
      <sharedItems containsBlank="1">
        <s v="MIDC Butibori"/>
        <s v="Hingana"/>
        <s v="WARDHA"/>
        <s v="SELDOH NAGPUR"/>
        <s v="NAGPUR"/>
        <s v="HINGNA NAGPUR"/>
        <s v="JALGAO MH"/>
        <s v="BHAYANDER MH"/>
        <s v="BUTIBORI MIDC"/>
        <s v="GUJRAT"/>
        <s v="NASHIK"/>
        <s v="AMARAVATI"/>
        <s v="KATANGI MP"/>
        <s v="SURAT"/>
        <s v="JAMTHA NAGPUR"/>
        <s v="RATNAGIRI MH"/>
        <s v="KERALA"/>
        <s v="AURANGABAD"/>
        <s v="WADHAMANA NAGPUR"/>
        <s v="KATNI MP"/>
        <s v="GWALIOR MP"/>
        <s v="NTPC AP"/>
        <s v="GREAT NAG ROAD NAGPUR"/>
        <s v="BAHADURA NAGPUR"/>
        <s v="MIDC JALGAON"/>
        <s v="KAPSI NAGPUR"/>
        <s v="HINGANGHAT"/>
        <s v="BHUBNESHWAR ODISHA"/>
        <s v="BHUBNESHWAR"/>
        <s v="PUNE MH"/>
        <s v="KARANJA"/>
        <s v="MEERUT UTTAR PRADESH"/>
        <s v="RAIPUR CHATTISGARH"/>
        <s v="RAIPUR CHHATISGARH "/>
        <s v="SELDOH NAGPUR "/>
        <s v="BAHADURA NAGPUR "/>
        <s v="JABALPUR "/>
        <s v="BHANDWADI NAGPUR"/>
        <s v="CHINDWARA MP"/>
        <s v="ANGUL ODISHA"/>
        <s v="WADSA GADCHIROLI "/>
        <s v="BORGAON MP"/>
        <s v="AMRAVATI MIDC"/>
        <s v="BORGAON CHINDWARA MP"/>
        <s v="AMRAVATI "/>
        <s v="BARGHAT SEONI M.P"/>
        <s v="MIDC NAGPUR"/>
        <s v="GAYA BIHAR"/>
        <m/>
        <s v="PANVEL MAHARASHTRA"/>
        <s v="MIDC BUTIBORI NAGPUR"/>
        <s v="AMRAVATI"/>
        <s v="WADA PALGHAR"/>
        <s v="HINGNA MIDC"/>
        <s v="HYDRABAD"/>
        <s v="NEW PANVEL"/>
        <s v="SOENI M.P"/>
        <s v="BHANDARA"/>
      </sharedItems>
    </cacheField>
    <cacheField name="Bill of Landing/LR-RR No." numFmtId="0">
      <sharedItems>
        <s v=" - "/>
      </sharedItems>
    </cacheField>
    <cacheField name="Motor Vehicle Number" numFmtId="0">
      <sharedItems containsBlank="1">
        <s v="MH40N8211"/>
        <s v="MH40N8725"/>
        <s v="MH40N8500"/>
        <s v="MH14BT0796"/>
        <s v="MH40N8542"/>
        <s v="MH07C7315"/>
        <s v="MH40N0129"/>
        <s v="MH40N6407"/>
        <s v="MH49AS"/>
        <m/>
        <s v="MH40L2873"/>
        <s v="MH04GF0824"/>
        <s v="MH40Y0012"/>
        <s v="MP48H116"/>
        <s v="MH40CM2888"/>
        <s v="MH32AJ3281"/>
        <s v="MH49AT4041"/>
        <s v="MH36F2929"/>
        <s v="MH31DS3287"/>
        <s v="MH40CD5356"/>
        <s v="MH40AK2541"/>
        <s v="MH40AK7886"/>
        <s v="MH40CD8446"/>
        <s v="MH40Y3737"/>
        <s v="MH40DQ9130"/>
        <s v="CG-04-LP-2541"/>
        <s v="MH40CM0414"/>
        <s v="MH40CM3538"/>
        <s v="CG04LP2841"/>
        <s v="MH40CM3169"/>
        <s v="MH40BG3269"/>
        <s v="MH40CD3863"/>
        <s v="MH40BL6956"/>
        <s v="MH49AT7341"/>
        <s v="RJ11CG1646"/>
        <s v="MH40CM4591"/>
        <s v="MH27BX1074"/>
        <s v="MH40CM2723"/>
        <s v="MH40BG3237"/>
        <s v="MP48H5517"/>
        <s v="CG08AD6694"/>
        <s v="OD05AM5947"/>
        <s v="MH40CM4286"/>
        <s v="MH40CD3718"/>
        <s v="MH40BG5382"/>
        <s v="MH40BG9062"/>
        <s v="CG08Z8584"/>
        <s v="CG04LP2541"/>
        <s v="MH40CD2929"/>
        <s v="MH49AT3641"/>
        <s v="MH40CD4569"/>
        <s v="CG04MD1302"/>
        <s v="MH49AT2841"/>
        <s v="SELF"/>
        <s v="MH40CD9276"/>
        <s v="MH40AK4024"/>
        <s v="PB05AB2522"/>
        <s v="CG08AJ7011"/>
        <s v="MH40CD4044"/>
        <s v="MH40BL6770"/>
        <s v="CG04NB1302"/>
        <s v="MH40CD5621"/>
        <s v="MH40BG7522"/>
        <s v="MH40CM3992"/>
        <s v="MH31FC9888"/>
        <s v="MH34AV2755"/>
        <s v="MH40CM2118/MH40CD7087"/>
        <s v="MH40CM2118"/>
        <s v="MH40CM2118/MH40CD7087/MH40CD6707 "/>
        <s v="MH40CM2118/MH40CD6707/MH40CD6389"/>
        <s v="MH40CD6707"/>
        <s v="MH40CD8575"/>
        <s v="MH40CD7087"/>
        <s v="MH40CM8541"/>
        <s v="MH40CD6850"/>
        <s v="MH40AK2913"/>
        <s v="MH31CQ8940"/>
        <s v="MP50H1109"/>
        <s v="MH40CD5645"/>
        <s v="UP94T6788"/>
        <s v="CG04LK1494"/>
        <s v="MH32AJ8341"/>
        <s v="MH49AT3041"/>
        <s v="MH34M9377"/>
        <s v="MH40YY3036"/>
        <s v="MH04DS0138"/>
        <s v="MH40CT0181"/>
        <s v="MH40DS0318"/>
        <s v="MH49BZ0138"/>
        <s v="HR55S7341"/>
        <s v="MH36AA2614"/>
        <s v="MHA31DS3162"/>
        <s v="CG04MN5441"/>
        <s v="MH40Y4034"/>
        <s v="MH40BL5405"/>
        <s v="MH40CT5556"/>
        <s v="MH40CD6979"/>
        <s v="MH40CD5995"/>
        <s v="MH40CD1907"/>
        <s v="MH40Y5405"/>
        <s v="MH40AK5806"/>
        <s v="MP48H1255"/>
        <s v="MH37F2929"/>
        <s v="CG04MP9929"/>
        <s v="MH04DS0139"/>
        <s v="MP09HH5930"/>
        <s v="MH34AB9311"/>
        <s v="MP48H1352"/>
        <s v="MP13GA5186"/>
        <s v="MP28-5066"/>
        <s v="MH40GD4588"/>
        <s v="MH40BL6418"/>
        <s v="MH40BL6422"/>
        <s v="MP48H2959"/>
        <s v="MH40BL6417"/>
        <s v="MH40LT1186"/>
        <s v="MP48H9502"/>
        <s v="MH40BL6521"/>
        <s v="RJ11GC8503"/>
        <s v="MP45H3083"/>
        <s v="MH30BD9365"/>
        <s v="MH40BL5997"/>
        <s v="MH40CD0703"/>
        <s v="MH40BG3970"/>
        <s v="MH40BL6429"/>
        <s v="MH40CT2270"/>
        <s v="MP19HA2612"/>
        <s v="MP22G8887"/>
        <s v="MP22G2805"/>
        <s v="MH40AK1510"/>
        <s v="MH40EY3675"/>
        <s v="UP45T2285"/>
        <s v="MH40Y8681"/>
        <s v="MH40CD8448"/>
        <s v="MH27BX8356"/>
        <s v="MH16AY9345"/>
        <s v="MH40BL4122"/>
        <s v="MH46X6441"/>
        <s v="MH40BL1261"/>
        <s v="MH31CB7859"/>
        <s v="MH40CD0165"/>
        <s v="MH43Y5607"/>
        <s v="MH43Y4103"/>
        <s v="ACPL"/>
        <s v="MH-49BZ-1179"/>
      </sharedItems>
    </cacheField>
    <cacheField name="Description of Goods" numFmtId="0">
      <sharedItems containsBlank="1">
        <s v="BIOMASS BRIQUETTE 90MM"/>
        <s v="BIOMASS PELLET 06MM"/>
        <s v="SAL SEED MEAL DOC"/>
        <s v="SAWDUST"/>
        <s v="BIOMASS PELLET 08MM"/>
        <m/>
        <s v="KAJU DOC"/>
        <s v="WOOD CHARCOAL"/>
        <s v="BIOMASS RICE HUSK "/>
        <s v="BAGS"/>
        <s v="PACKING PALLETS"/>
        <s v="BIOMASS PELLET STOVE 15KG"/>
      </sharedItems>
    </cacheField>
    <cacheField name="HSN Code">
      <sharedItems containsBlank="1" containsMixedTypes="1" containsNumber="1" containsInteger="1">
        <n v="4.401109E7"/>
        <n v="2.3069026E7"/>
        <s v="-"/>
        <n v="801.0"/>
        <n v="4.401101E7"/>
        <n v="4402.0"/>
        <n v="1213.0"/>
        <n v="0.0"/>
        <n v="4415.0"/>
        <m/>
      </sharedItems>
    </cacheField>
    <cacheField name="QTY" numFmtId="166">
      <sharedItems containsString="0" containsBlank="1" containsNumber="1">
        <n v="10900.0"/>
        <n v="9430.0"/>
        <n v="9365.0"/>
        <n v="10030.0"/>
        <n v="10640.0"/>
        <n v="11120.0"/>
        <n v="10100.0"/>
        <n v="7760.0"/>
        <n v="630.0"/>
        <n v="7560.0"/>
        <n v="7420.0"/>
        <n v="900.0"/>
        <n v="1000.0"/>
        <n v="1625.0"/>
        <n v="300.0"/>
        <n v="1360.0"/>
        <n v="1115.0"/>
        <n v="2000.0"/>
        <n v="2100.0"/>
        <n v="5550.0"/>
        <n v="210.0"/>
        <n v="1020.0"/>
        <n v="5100.0"/>
        <n v="7020.0"/>
        <n v="4600.0"/>
        <n v="10020.0"/>
        <n v="1500.0"/>
        <n v="7530.0"/>
        <n v="7500.0"/>
        <n v="2010.0"/>
        <n v="90.0"/>
        <n v="10090.0"/>
        <n v="12570.0"/>
        <n v="7030.0"/>
        <n v="10360.0"/>
        <n v="19750.0"/>
        <n v="3678.0"/>
        <n v="4760.0"/>
        <n v="8300.0"/>
        <n v="18040.0"/>
        <n v="7070.0"/>
        <n v="9540.0"/>
        <n v="10890.0"/>
        <n v="980.0"/>
        <n v="10350.0"/>
        <n v="2220.0"/>
        <n v="13000.0"/>
        <n v="9200.0"/>
        <n v="10510.0"/>
        <n v="20590.0"/>
        <n v="5090.0"/>
        <n v="10280.0"/>
        <n v="20470.0"/>
        <n v="1350.0"/>
        <n v="20000.0"/>
        <n v="45000.0"/>
        <n v="1283.26"/>
        <n v="8480.0"/>
        <n v="10110.0"/>
        <n v="6425.0"/>
        <n v="6830.0"/>
        <n v="7540.0"/>
        <n v="2730.0"/>
        <n v="3090.0"/>
        <n v="500.0"/>
        <n v="3000.0"/>
        <n v="1120.0"/>
        <n v="5590.0"/>
        <n v="25.5"/>
        <n v="30.0"/>
        <n v="7620.0"/>
        <n v="870.0"/>
        <n v="2090.0"/>
        <n v="2180.0"/>
        <n v="1710.0"/>
        <n v="600.0"/>
        <n v="4110.0"/>
        <n v="7690.0"/>
        <n v="8285.0"/>
        <n v="9670.0"/>
        <n v="4210.0"/>
        <n v="6843.0"/>
        <n v="8495.0"/>
        <n v="7224.0"/>
        <n v="10000.0"/>
        <n v="9830.0"/>
        <n v="2040.0"/>
        <n v="9700.0"/>
        <n v="9810.0"/>
        <n v="9130.0"/>
        <n v="1410.0"/>
        <n v="63.0"/>
        <n v="10800.0"/>
        <n v="5530.0"/>
        <n v="10390.0"/>
        <n v="8540.0"/>
        <n v="7740.0"/>
        <n v="10420.0"/>
        <n v="7454.0"/>
        <n v="11000.0"/>
        <n v="1530.0"/>
        <n v="5760.0"/>
        <n v="11990.0"/>
        <n v="10500.0"/>
        <n v="1050.0"/>
        <n v="5180.0"/>
        <n v="7650.0"/>
        <n v="10160.0"/>
        <n v="10050.0"/>
        <n v="16600.0"/>
        <n v="9725.0"/>
        <n v="7580.0"/>
        <n v="5060.0"/>
        <n v="10725.0"/>
        <n v="10195.0"/>
        <n v="22640.0"/>
        <n v="10040.0"/>
        <n v="3060.0"/>
        <n v="15200.0"/>
        <n v="1.0"/>
        <n v="10585.0"/>
        <n v="10.17"/>
        <n v="11.01"/>
        <n v="6.55"/>
        <n v="10185.0"/>
        <n v="9.65"/>
        <n v="7.42"/>
        <n v="10375.0"/>
        <n v="510.0"/>
        <n v="10380.0"/>
        <n v="390.0"/>
        <n v="450.0"/>
        <n v="21225.0"/>
        <n v="13520.0"/>
        <n v="8350.0"/>
        <n v="11690.0"/>
        <n v="9855.0"/>
        <n v="12290.0"/>
        <n v="24250.0"/>
        <n v="10580.0"/>
        <n v="10095.0"/>
        <n v="10010.0"/>
        <n v="150.0"/>
        <n v="24500.0"/>
        <n v="12070.0"/>
        <n v="10190.0"/>
        <n v="240.0"/>
        <n v="23270.0"/>
        <n v="9960.0"/>
        <n v="12800.0"/>
        <n v="12430.0"/>
        <n v="22380.0"/>
        <n v="10340.0"/>
        <n v="9295.0"/>
        <n v="11350.0"/>
        <n v="10515.0"/>
        <n v="1100.0"/>
        <n v="9940.0"/>
        <n v="10130.0"/>
        <n v="7440.0"/>
        <n v="25000.0"/>
        <n v="10310.0"/>
        <n v="10630.0"/>
        <n v="12330.0"/>
        <n v="12100.0"/>
        <n v="10060.0"/>
        <n v="9490.0"/>
        <n v="23420.0"/>
        <n v="9350.0"/>
        <n v="25100.0"/>
        <n v="11640.0"/>
        <n v="10405.0"/>
        <n v="10775.0"/>
        <n v="2310.0"/>
        <n v="3050.0"/>
        <n v="10150.0"/>
        <n v="23040.0"/>
        <n v="30000.0"/>
        <n v="9910.0"/>
        <n v="10545.0"/>
        <n v="16000.0"/>
        <n v="7350.0"/>
        <n v="9840.0"/>
        <n v="10220.0"/>
        <n v="24640.0"/>
        <n v="11700.0"/>
        <n v="10255.0"/>
        <n v="22480.0"/>
        <n v="8000.0"/>
        <n v="8500.0"/>
        <n v="29700.0"/>
        <n v="23360.0"/>
        <n v="11505.0"/>
        <n v="13370.0"/>
        <n v="10260.0"/>
        <n v="12325.0"/>
        <n v="480.0"/>
        <n v="27240.0"/>
        <n v="10250.0"/>
        <n v="9380.0"/>
        <n v="5870.0"/>
        <n v="19330.0"/>
        <n v="8780.0"/>
        <n v="27260.0"/>
        <n v="29390.0"/>
        <n v="8870.0"/>
        <n v="9140.0"/>
        <n v="8320.0"/>
        <n v="7570.0"/>
        <n v="7960.0"/>
        <n v="13250.0"/>
        <n v="8060.0"/>
        <n v="10670.0"/>
        <n v="16520.0"/>
        <n v="8330.0"/>
        <n v="9620.0"/>
        <n v="8150.0"/>
        <n v="15245.0"/>
        <n v="10950.0"/>
        <n v="23175.0"/>
        <n v="23170.0"/>
        <n v="9870.0"/>
        <n v="10470.0"/>
        <n v="29780.0"/>
        <n v="400.0"/>
        <n v="28900.0"/>
        <n v="7275.0"/>
        <n v="22140.0"/>
        <n v="17150.0"/>
        <n v="16760.0"/>
        <n v="200.0"/>
        <n v="13670.0"/>
        <n v="11300.0"/>
        <n v="11900.0"/>
        <n v="17300.0"/>
        <n v="11880.0"/>
        <n v="10930.0"/>
        <n v="19530.0"/>
        <n v="12420.0"/>
        <n v="17840.0"/>
        <n v="18650.0"/>
        <n v="17270.0"/>
        <n v="13130.0"/>
        <n v="27630.0"/>
        <n v="2110.0"/>
        <n v="12250.0"/>
        <n v="3600.0"/>
        <n v="11200.0"/>
        <n v="12120.0"/>
        <n v="12810.0"/>
        <n v="10560.0"/>
        <n v="11920.0"/>
        <n v="10230.0"/>
        <n v="11740.0"/>
        <n v="13010.0"/>
        <n v="12850.0"/>
        <n v="9590.0"/>
        <n v="12620.0"/>
        <n v="23520.0"/>
        <n v="10850.0"/>
        <n v="15310.0"/>
        <n v="11590.0"/>
        <n v="11070.0"/>
        <n v="22520.0"/>
        <n v="11040.0"/>
        <n v="11290.0"/>
        <n v="20280.0"/>
        <n v="12170.0"/>
        <n v="10830.0"/>
        <n v="20030.0"/>
        <n v="21400.0"/>
        <n v="20620.0"/>
        <n v="10170.0"/>
        <n v="22190.0"/>
        <n v="23540.0"/>
        <n v="25060.0"/>
        <n v="24520.0"/>
        <n v="10475.0"/>
        <n v="11950.0"/>
        <n v="12025.0"/>
        <n v="9790.0"/>
        <n v="12185.0"/>
        <n v="29930.0"/>
        <n v="7800.0"/>
        <n v="10645.0"/>
        <n v="16.0"/>
        <n v="8270.0"/>
        <n v="22910.0"/>
        <n v="11580.0"/>
        <n v="14680.0"/>
        <n v="25620.0"/>
        <n v="15160.0"/>
        <n v="12900.0"/>
        <n v="10370.0"/>
        <n v="22110.0"/>
        <n v="7110.0"/>
        <n v="26200.0"/>
        <n v="23530.0"/>
        <n v="9240.0"/>
        <n v="25440.0"/>
        <n v="50000.0"/>
        <n v="30520.0"/>
        <n v="23300.0"/>
        <n v="18800.0"/>
        <n v="39.0"/>
        <n v="21380.0"/>
        <n v="18400.0"/>
        <n v="19720.0"/>
        <n v="21100.0"/>
        <n v="15900.0"/>
        <n v="18290.0"/>
        <n v="25180.0"/>
        <n v="18460.0"/>
        <n v="11860.0"/>
        <n v="25.0"/>
        <n v="2120.0"/>
        <n v="46.0"/>
        <n v="360.0"/>
        <m/>
      </sharedItems>
    </cacheField>
    <cacheField name="Rate" numFmtId="4">
      <sharedItems containsString="0" containsBlank="1" containsNumber="1">
        <n v="5.05"/>
        <n v="10.8"/>
        <n v="5.15"/>
        <n v="5.5"/>
        <n v="10.3"/>
        <n v="11.0"/>
        <n v="10.5"/>
        <n v="7.3"/>
        <n v="11.5"/>
        <n v="6.0"/>
        <n v="12.0"/>
        <n v="10.9"/>
        <n v="5.7"/>
        <n v="7.0"/>
        <n v="10.0"/>
        <n v="10.15"/>
        <n v="10.95"/>
        <n v="8.5"/>
        <n v="12.5"/>
        <n v="6.2"/>
        <n v="15.0"/>
        <n v="9.0"/>
        <n v="11.9"/>
        <n v="9.5"/>
        <n v="15.5"/>
        <n v="14.4"/>
        <n v="13.0"/>
        <n v="17.0"/>
        <n v="18.0"/>
        <n v="12.25"/>
        <n v="8.0"/>
        <n v="4.5"/>
        <n v="14.0"/>
        <n v="10.75"/>
        <n v="4.7"/>
        <n v="17.5"/>
        <n v="12.85"/>
        <n v="15.7"/>
        <n v="16.5"/>
        <n v="16.35"/>
        <n v="6.7"/>
        <n v="16.8"/>
        <n v="36000.0"/>
        <n v="11500.0"/>
        <n v="8000.0"/>
        <n v="18600.0"/>
        <n v="13000.0"/>
        <n v="11.75"/>
        <n v="12.1"/>
        <n v="11.4"/>
        <n v="11.8"/>
        <n v="19.5"/>
        <n v="6.5"/>
        <n v="6.75"/>
        <n v="17.8"/>
        <n v="6.8"/>
        <n v="6.9"/>
        <n v="11.3"/>
        <n v="18.3"/>
        <n v="22.0"/>
        <n v="14.1"/>
        <n v="13.85"/>
        <n v="13.8"/>
        <n v="11.2"/>
        <n v="13.92"/>
        <n v="30.0"/>
        <n v="5.0"/>
        <n v="11.05"/>
        <n v="10.7"/>
        <n v="14.28"/>
        <n v="4.4"/>
        <n v="14.2"/>
        <n v="5.65"/>
        <n v="4.45"/>
        <n v="11.22"/>
        <n v="6.4"/>
        <n v="1051.0"/>
        <n v="10.25"/>
        <n v="9.4"/>
        <n v="10.4"/>
        <n v="9.9"/>
        <n v="11.25"/>
        <n v="6.1"/>
        <n v="4.8"/>
        <n v="7.8"/>
        <n v="1197.0"/>
        <n v="8.15"/>
        <n v="1470.0"/>
        <n v="19000.0"/>
        <n v="20000.0"/>
        <n v="17500.0"/>
        <m/>
      </sharedItems>
    </cacheField>
    <cacheField name="per(wt)" numFmtId="0">
      <sharedItems containsBlank="1">
        <s v="KG"/>
        <s v="SET"/>
        <s v="MT"/>
        <s v="Unit"/>
        <s v="PCS"/>
        <m/>
      </sharedItems>
    </cacheField>
    <cacheField name="Amount" numFmtId="4">
      <sharedItems containsString="0" containsBlank="1" containsNumber="1">
        <n v="55045.0"/>
        <n v="47621.5"/>
        <n v="47293.25"/>
        <n v="50651.5"/>
        <n v="53732.0"/>
        <n v="56156.0"/>
        <n v="51005.0"/>
        <n v="39188.0"/>
        <n v="6804.0"/>
        <n v="38934.0"/>
        <n v="40810.0"/>
        <n v="9720.0"/>
        <n v="10800.0"/>
        <n v="17550.0"/>
        <n v="10300.0"/>
        <n v="3090.0"/>
        <n v="14960.0"/>
        <n v="11707.5"/>
        <n v="20600.0"/>
        <n v="10500.0"/>
        <n v="22050.0"/>
        <n v="40515.0"/>
        <n v="2415.0"/>
        <n v="11220.0"/>
        <n v="3240.0"/>
        <n v="53550.0"/>
        <n v="1800.0"/>
        <n v="12240.0"/>
        <n v="76518.0"/>
        <n v="50600.0"/>
        <n v="57114.0"/>
        <n v="18000.0"/>
        <n v="82830.0"/>
        <n v="45000.0"/>
        <n v="24120.0"/>
        <n v="2520.0"/>
        <n v="1080.0"/>
        <n v="60540.0"/>
        <n v="75420.0"/>
        <n v="49210.0"/>
        <n v="72520.0"/>
        <n v="10000.0"/>
        <n v="138250.0"/>
        <n v="37331.700000000004"/>
        <n v="49980.0"/>
        <n v="58100.0"/>
        <n v="126280.0"/>
        <n v="77416.5"/>
        <n v="66780.0"/>
        <n v="92565.0"/>
        <n v="12250.0"/>
        <n v="64170.0"/>
        <n v="26640.0"/>
        <n v="80600.0"/>
        <n v="55200.0"/>
        <n v="15000.0"/>
        <n v="65162.0"/>
        <n v="185310.0"/>
        <n v="61080.0"/>
        <n v="90180.0"/>
        <n v="122332.0"/>
        <n v="194465.0"/>
        <n v="16200.0"/>
        <n v="190000.0"/>
        <n v="697500.0"/>
        <n v="18478.944"/>
        <n v="59360.0"/>
        <n v="95285.0"/>
        <n v="116265.0"/>
        <n v="44975.0"/>
        <n v="47810.0"/>
        <n v="13260.0"/>
        <n v="82940.0"/>
        <n v="30030.0"/>
        <n v="33990.0"/>
        <n v="8500.0"/>
        <n v="33000.0"/>
        <n v="12320.0"/>
        <n v="61490.0"/>
        <n v="459.0"/>
        <n v="390.0"/>
        <n v="95250.0"/>
        <n v="11310.0"/>
        <n v="22990.0"/>
        <n v="26705.0"/>
        <n v="19665.0"/>
        <n v="9000.0"/>
        <n v="47265.0"/>
        <n v="88435.0"/>
        <n v="66280.0"/>
        <n v="43515.0"/>
        <n v="48415.0"/>
        <n v="4200.0"/>
        <n v="73562.25"/>
        <n v="34500.0"/>
        <n v="97692.5"/>
        <n v="119025.0"/>
        <n v="77658.0"/>
        <n v="47000.0"/>
        <n v="46201.0"/>
        <n v="45495.0"/>
        <n v="23460.0"/>
        <n v="45590.0"/>
        <n v="171675.0"/>
        <n v="104995.0"/>
        <n v="18330.0"/>
        <n v="809.55"/>
        <n v="50760.0"/>
        <n v="60830.0"/>
        <n v="235405.0"/>
        <n v="48833.0"/>
        <n v="40138.0"/>
        <n v="157314.0"/>
        <n v="127710.0"/>
        <n v="48974.0"/>
        <n v="85721.0"/>
        <n v="51700.0"/>
        <n v="19890.0"/>
        <n v="94176.00000000001"/>
        <n v="137885.0"/>
        <n v="70350.0"/>
        <n v="11700.0"/>
        <n v="13650.0"/>
        <n v="67670.0"/>
        <n v="87024.0"/>
        <n v="51255.0"/>
        <n v="116840.0"/>
        <n v="115575.0"/>
        <n v="26130.0"/>
        <n v="111220.0"/>
        <n v="65157.5"/>
        <n v="87170.0"/>
        <n v="85008.0"/>
        <n v="71857.5"/>
        <n v="68306.5"/>
        <n v="120000.0"/>
        <n v="151688.0"/>
        <n v="115460.0"/>
        <n v="39780.0"/>
        <n v="182400.0"/>
        <n v="36000.0"/>
        <n v="70919.5"/>
        <n v="116955.0"/>
        <n v="88080.0"/>
        <n v="121830.0"/>
        <n v="68239.5"/>
        <n v="110975.0"/>
        <n v="96460.0"/>
        <n v="69512.5"/>
        <n v="6375.0"/>
        <n v="121965.0"/>
        <n v="4875.0"/>
        <n v="5625.0"/>
        <n v="256822.5"/>
        <n v="154128.0"/>
        <n v="89762.5"/>
        <n v="140280.0"/>
        <n v="3750.0"/>
        <n v="66028.5"/>
        <n v="73740.0"/>
        <n v="62124.0"/>
        <n v="261900.00000000003"/>
        <n v="124844.00000000001"/>
        <n v="67636.5"/>
        <n v="110110.0"/>
        <n v="1875.0"/>
        <n v="5175.0"/>
        <n v="8775.0"/>
        <n v="264600.0"/>
        <n v="72420.0"/>
        <n v="61140.0"/>
        <n v="3000.0"/>
        <n v="251316.00000000003"/>
        <n v="64740.0"/>
        <n v="140800.0"/>
        <n v="67470.0"/>
        <n v="80795.0"/>
        <n v="241704.00000000003"/>
        <n v="67210.0"/>
        <n v="60417.5"/>
        <n v="60000.0"/>
        <n v="70785.0"/>
        <n v="76612.5"/>
        <n v="70976.25"/>
        <n v="19580.0"/>
        <n v="67592.0"/>
        <n v="68377.5"/>
        <n v="68580.0"/>
        <n v="50220.0"/>
        <n v="270000.0"/>
        <n v="69592.5"/>
        <n v="67567.5"/>
        <n v="116930.0"/>
        <n v="85077.0"/>
        <n v="83490.0"/>
        <n v="262500.0"/>
        <n v="100600.0"/>
        <n v="69414.0"/>
        <n v="69276.0"/>
        <n v="65481.0"/>
        <n v="71139.0"/>
        <n v="161598.0"/>
        <n v="105655.0"/>
        <n v="276100.0"/>
        <n v="80316.0"/>
        <n v="71794.5"/>
        <n v="74347.5"/>
        <n v="15939.0"/>
        <n v="42700.0"/>
        <n v="114695.0"/>
        <n v="52578.0"/>
        <n v="253440.0"/>
        <n v="69690.0"/>
        <n v="184647.0"/>
        <n v="660000.0"/>
        <n v="111983.0"/>
        <n v="72760.5"/>
        <n v="176000.0"/>
        <n v="84525.0"/>
        <n v="65928.0"/>
        <n v="115486.0"/>
        <n v="347424.0"/>
        <n v="128700.0"/>
        <n v="11730.0"/>
        <n v="70759.5"/>
        <n v="311348.0"/>
        <n v="88000.0"/>
        <n v="93500.0"/>
        <n v="311850.0"/>
        <n v="114130.0"/>
        <n v="322368.0"/>
        <n v="79384.5"/>
        <n v="120330.0"/>
        <n v="114911.99999999999"/>
        <n v="110925.0"/>
        <n v="5760.0"/>
        <n v="69655.5"/>
        <n v="5610.0"/>
        <n v="379180.8"/>
        <n v="112750.0"/>
        <n v="281400.0"/>
        <n v="176100.0"/>
        <n v="96650.0"/>
        <n v="43900.0"/>
        <n v="136300.0"/>
        <n v="146950.0"/>
        <n v="44350.0"/>
        <n v="45700.0"/>
        <n v="41600.0"/>
        <n v="37850.0"/>
        <n v="39800.0"/>
        <n v="66250.0"/>
        <n v="40300.0"/>
        <n v="53350.0"/>
        <n v="82600.0"/>
        <n v="41650.0"/>
        <n v="48100.0"/>
        <n v="40750.0"/>
        <n v="137205.0"/>
        <n v="120997.50000000001"/>
        <n v="208575.0"/>
        <n v="324380.0"/>
        <n v="105609.0"/>
        <n v="115170.0"/>
        <n v="318646.0"/>
        <n v="2680.0"/>
        <n v="407490.0"/>
        <n v="32737.5"/>
        <n v="316159.2"/>
        <n v="115976.0"/>
        <n v="75460.0"/>
        <n v="73744.0"/>
        <n v="1300.0"/>
        <n v="60148.00000000001"/>
        <n v="49720.00000000001"/>
        <n v="52360.00000000001"/>
        <n v="76120.0"/>
        <n v="52272.00000000001"/>
        <n v="48092.00000000001"/>
        <n v="85932.0"/>
        <n v="54648.00000000001"/>
        <n v="78496.0"/>
        <n v="82060.0"/>
        <n v="47960.00000000001"/>
        <n v="75988.0"/>
        <n v="57772.00000000001"/>
        <n v="12036.0"/>
        <n v="392346.0"/>
        <n v="29540.0"/>
        <n v="69212.5"/>
        <n v="39240.0"/>
        <n v="63280.00000000001"/>
        <n v="68478.0"/>
        <n v="72376.5"/>
        <n v="59664.00000000001"/>
        <n v="57912.50000000001"/>
        <n v="67348.0"/>
        <n v="57799.5"/>
        <n v="58500.0"/>
        <n v="59155.50000000001"/>
        <n v="66331.0"/>
        <n v="73506.5"/>
        <n v="72602.5"/>
        <n v="54663.0"/>
        <n v="71303.0"/>
        <n v="105840.0"/>
        <n v="68195.5"/>
        <n v="48282.5"/>
        <n v="68129.5"/>
        <n v="51575.5"/>
        <n v="49261.5"/>
        <n v="127238.00000000001"/>
        <n v="49128.0"/>
        <n v="50240.5"/>
        <n v="114582.0"/>
        <n v="68760.5"/>
        <n v="48193.5"/>
        <n v="113169.5"/>
        <n v="120910.00000000001"/>
        <n v="116503.00000000001"/>
        <n v="56613.0"/>
        <n v="57460.5"/>
        <n v="125373.50000000001"/>
        <n v="141240.0"/>
        <n v="141589.0"/>
        <n v="138538.0"/>
        <n v="57612.5"/>
        <n v="65725.0"/>
        <n v="66137.5"/>
        <n v="5250.0"/>
        <n v="53845.0"/>
        <n v="67017.5"/>
        <n v="43731.0"/>
        <n v="335814.60000000003"/>
        <n v="42900.0"/>
        <n v="68128.0"/>
        <n v="16816.0"/>
        <n v="104242.5"/>
        <n v="54840.0"/>
        <n v="49620.0"/>
        <n v="137460.0"/>
        <n v="180.0"/>
        <n v="108852.0"/>
        <n v="20800.0"/>
        <n v="137992.0"/>
        <n v="269010.0"/>
        <n v="110660.0"/>
        <n v="142504.0"/>
        <n v="121260.0"/>
        <n v="111477.5"/>
        <n v="237682.5"/>
        <n v="76432.5"/>
        <n v="100000.0"/>
        <n v="259380.0"/>
        <n v="258830.0"/>
        <n v="103950.0"/>
        <n v="279840.0"/>
        <n v="305000.0"/>
        <n v="189224.0"/>
        <n v="111840.0"/>
        <n v="146640.0"/>
        <n v="46683.0"/>
        <n v="166764.0"/>
        <n v="143520.0"/>
        <n v="153816.0"/>
        <n v="164580.0"/>
        <n v="124020.0"/>
        <n v="142662.0"/>
        <n v="327340.0"/>
        <n v="143988.0"/>
        <n v="92508.0"/>
        <n v="7140.0"/>
        <n v="275.0"/>
        <n v="17278.0"/>
        <n v="67620.0"/>
        <n v="19000.0"/>
        <n v="20000.0"/>
        <n v="17500.0"/>
        <n v="5400.0"/>
        <n v="0.0"/>
        <m/>
      </sharedItems>
    </cacheField>
    <cacheField name="SGST" numFmtId="10">
      <sharedItems containsString="0" containsBlank="1" containsNumber="1">
        <n v="0.025"/>
        <m/>
        <n v="0.06"/>
        <n v="0.0"/>
      </sharedItems>
    </cacheField>
    <cacheField name="CGST" numFmtId="10">
      <sharedItems containsString="0" containsBlank="1" containsNumber="1">
        <n v="0.025"/>
        <m/>
        <n v="0.06"/>
        <n v="0.0"/>
      </sharedItems>
    </cacheField>
    <cacheField name="IGST" numFmtId="10">
      <sharedItems containsString="0" containsBlank="1" containsNumber="1">
        <n v="0.0"/>
        <m/>
        <n v="0.05"/>
      </sharedItems>
    </cacheField>
    <cacheField name="Total" numFmtId="3">
      <sharedItems containsString="0" containsBlank="1" containsNumber="1" containsInteger="1">
        <n v="57797.0"/>
        <n v="50003.0"/>
        <n v="49658.0"/>
        <n v="53184.0"/>
        <n v="56419.0"/>
        <n v="58964.0"/>
        <n v="53555.0"/>
        <n v="41147.0"/>
        <n v="7144.0"/>
        <n v="40881.0"/>
        <n v="42850.0"/>
        <n v="10206.0"/>
        <n v="11340.0"/>
        <n v="18427.0"/>
        <n v="10815.0"/>
        <n v="3244.0"/>
        <n v="15708.0"/>
        <n v="12293.0"/>
        <n v="21630.0"/>
        <n v="11025.0"/>
        <n v="23152.0"/>
        <n v="42541.0"/>
        <n v="2536.0"/>
        <n v="11781.0"/>
        <n v="3402.0"/>
        <n v="56227.0"/>
        <n v="1890.0"/>
        <n v="12852.0"/>
        <n v="80344.0"/>
        <n v="53130.0"/>
        <n v="59970.0"/>
        <n v="18900.0"/>
        <n v="86971.0"/>
        <n v="47250.0"/>
        <n v="25326.0"/>
        <n v="2646.0"/>
        <n v="1134.0"/>
        <n v="63567.0"/>
        <n v="79191.0"/>
        <n v="51670.0"/>
        <n v="76146.0"/>
        <n v="10500.0"/>
        <n v="145162.0"/>
        <n v="39198.0"/>
        <n v="52479.0"/>
        <n v="61005.0"/>
        <n v="132594.0"/>
        <n v="81287.0"/>
        <n v="70119.0"/>
        <n v="97193.0"/>
        <n v="12862.0"/>
        <n v="67378.0"/>
        <n v="27972.0"/>
        <n v="84630.0"/>
        <n v="57960.0"/>
        <n v="15750.0"/>
        <n v="68420.0"/>
        <n v="194575.0"/>
        <n v="64134.0"/>
        <n v="94689.0"/>
        <n v="128449.0"/>
        <n v="204188.0"/>
        <n v="17010.0"/>
        <n v="199500.0"/>
        <n v="732375.0"/>
        <n v="19403.0"/>
        <n v="62328.0"/>
        <n v="100049.0"/>
        <n v="122078.0"/>
        <n v="47224.0"/>
        <n v="50200.0"/>
        <n v="13923.0"/>
        <n v="87087.0"/>
        <n v="31531.0"/>
        <n v="35689.0"/>
        <n v="8925.0"/>
        <n v="34650.0"/>
        <n v="12936.0"/>
        <n v="64564.0"/>
        <n v="482.0"/>
        <n v="390.0"/>
        <n v="100012.0"/>
        <n v="11875.0"/>
        <n v="24139.0"/>
        <n v="28040.0"/>
        <n v="20648.0"/>
        <n v="9450.0"/>
        <n v="49628.0"/>
        <n v="92857.0"/>
        <n v="69594.0"/>
        <n v="45691.0"/>
        <n v="50836.0"/>
        <n v="4410.0"/>
        <n v="77240.0"/>
        <n v="36225.0"/>
        <n v="102577.0"/>
        <n v="124976.0"/>
        <n v="81541.0"/>
        <n v="49350.0"/>
        <n v="48511.0"/>
        <n v="47770.0"/>
        <n v="24633.0"/>
        <n v="47869.0"/>
        <n v="180259.0"/>
        <n v="110245.0"/>
        <n v="19246.0"/>
        <n v="850.0"/>
        <n v="53298.0"/>
        <n v="63871.0"/>
        <n v="247175.0"/>
        <n v="51275.0"/>
        <n v="42145.0"/>
        <n v="165180.0"/>
        <n v="134095.0"/>
        <n v="51423.0"/>
        <n v="90007.0"/>
        <n v="54285.0"/>
        <n v="20884.0"/>
        <n v="98885.0"/>
        <n v="144779.0"/>
        <n v="73867.0"/>
        <n v="12285.0"/>
        <n v="14332.0"/>
        <n v="71053.0"/>
        <n v="91375.0"/>
        <n v="53818.0"/>
        <n v="122682.0"/>
        <n v="121354.0"/>
        <n v="27436.0"/>
        <n v="116781.0"/>
        <n v="68415.0"/>
        <n v="91528.0"/>
        <n v="89258.0"/>
        <n v="75450.0"/>
        <n v="71722.0"/>
        <n v="126000.0"/>
        <n v="159272.0"/>
        <n v="121233.0"/>
        <n v="41769.0"/>
        <n v="191520.0"/>
        <n v="40320.0"/>
        <n v="74465.0"/>
        <n v="122803.0"/>
        <n v="92484.0"/>
        <n v="127921.0"/>
        <n v="71651.0"/>
        <n v="116524.0"/>
        <n v="101283.0"/>
        <n v="72988.0"/>
        <n v="6694.0"/>
        <n v="128063.0"/>
        <n v="5119.0"/>
        <n v="5906.0"/>
        <n v="269664.0"/>
        <n v="161834.0"/>
        <n v="94251.0"/>
        <n v="147294.0"/>
        <n v="3937.0"/>
        <n v="69330.0"/>
        <n v="77427.0"/>
        <n v="65230.0"/>
        <n v="274995.0"/>
        <n v="131086.0"/>
        <n v="71018.0"/>
        <n v="115615.0"/>
        <n v="1969.0"/>
        <n v="5434.0"/>
        <n v="9214.0"/>
        <n v="277830.0"/>
        <n v="76041.0"/>
        <n v="64197.0"/>
        <n v="3150.0"/>
        <n v="263882.0"/>
        <n v="67977.0"/>
        <n v="147840.0"/>
        <n v="70843.0"/>
        <n v="84835.0"/>
        <n v="409.0"/>
        <n v="253789.0"/>
        <n v="70570.0"/>
        <n v="63438.0"/>
        <n v="63000.0"/>
        <n v="74324.0"/>
        <n v="80443.0"/>
        <n v="74525.0"/>
        <n v="20559.0"/>
        <n v="70972.0"/>
        <n v="71796.0"/>
        <n v="72009.0"/>
        <n v="52731.0"/>
        <n v="283500.0"/>
        <n v="73072.0"/>
        <n v="70946.0"/>
        <n v="122776.0"/>
        <n v="89331.0"/>
        <n v="87664.0"/>
        <n v="275625.0"/>
        <n v="105630.0"/>
        <n v="72885.0"/>
        <n v="72740.0"/>
        <n v="68755.0"/>
        <n v="74696.0"/>
        <n v="169678.0"/>
        <n v="126833.0"/>
        <n v="289905.0"/>
        <n v="84332.0"/>
        <n v="75384.0"/>
        <n v="78065.0"/>
        <n v="16736.0"/>
        <n v="44835.0"/>
        <n v="136670.0"/>
        <n v="55207.0"/>
        <n v="331112.0"/>
        <n v="73174.0"/>
        <n v="193879.0"/>
        <n v="693000.0"/>
        <n v="133582.0"/>
        <n v="76399.0"/>
        <n v="184800.0"/>
        <n v="88751.0"/>
        <n v="69224.0"/>
        <n v="137260.0"/>
        <n v="364795.0"/>
        <n v="142135.0"/>
        <n v="12316.0"/>
        <n v="74297.0"/>
        <n v="326915.0"/>
        <n v="92400.0"/>
        <n v="98175.0"/>
        <n v="417442.0"/>
        <n v="135836.0"/>
        <n v="338486.0"/>
        <n v="83354.0"/>
        <n v="126346.0"/>
        <n v="136658.0"/>
        <n v="116471.0"/>
        <n v="6048.0"/>
        <n v="73138.0"/>
        <n v="5890.0"/>
        <n v="398140.0"/>
        <n v="134387.0"/>
        <n v="281400.0"/>
        <n v="176100.0"/>
        <n v="96650.0"/>
        <n v="43900.0"/>
        <n v="136300.0"/>
        <n v="146950.0"/>
        <n v="44350.0"/>
        <n v="45700.0"/>
        <n v="41600.0"/>
        <n v="37850.0"/>
        <n v="39800.0"/>
        <n v="66250.0"/>
        <n v="40300.0"/>
        <n v="53350.0"/>
        <n v="82600.0"/>
        <n v="41650.0"/>
        <n v="48100.0"/>
        <n v="40750.0"/>
        <n v="144065.0"/>
        <n v="143047.0"/>
        <n v="219004.0"/>
        <n v="340599.0"/>
        <n v="110889.0"/>
        <n v="136928.0"/>
        <n v="334578.0"/>
        <n v="2680.0"/>
        <n v="427864.0"/>
        <n v="32737.0"/>
        <n v="331967.0"/>
        <n v="137775.0"/>
        <n v="75460.0"/>
        <n v="73744.0"/>
        <n v="1300.0"/>
        <n v="60148.0"/>
        <n v="49720.0"/>
        <n v="52360.0"/>
        <n v="76120.0"/>
        <n v="52272.0"/>
        <n v="48092.0"/>
        <n v="85932.0"/>
        <n v="54648.0"/>
        <n v="78496.0"/>
        <n v="82060.0"/>
        <n v="47960.0"/>
        <n v="75988.0"/>
        <n v="57772.0"/>
        <n v="12638.0"/>
        <n v="411963.0"/>
        <n v="31017.0"/>
        <n v="72673.0"/>
        <n v="46902.0"/>
        <n v="66444.0"/>
        <n v="71902.0"/>
        <n v="75995.0"/>
        <n v="62647.0"/>
        <n v="60808.0"/>
        <n v="70715.0"/>
        <n v="60689.0"/>
        <n v="58500.0"/>
        <n v="62113.0"/>
        <n v="69648.0"/>
        <n v="77182.0"/>
        <n v="76233.0"/>
        <n v="57396.0"/>
        <n v="74868.0"/>
        <n v="111132.0"/>
        <n v="71605.0"/>
        <n v="48282.0"/>
        <n v="68129.0"/>
        <n v="51575.0"/>
        <n v="49261.0"/>
        <n v="133600.0"/>
        <n v="49128.0"/>
        <n v="50240.0"/>
        <n v="120311.0"/>
        <n v="72199.0"/>
        <n v="48193.0"/>
        <n v="118828.0"/>
        <n v="126955.0"/>
        <n v="122328.0"/>
        <n v="59444.0"/>
        <n v="60334.0"/>
        <n v="131642.0"/>
        <n v="148302.0"/>
        <n v="148668.0"/>
        <n v="145465.0"/>
        <n v="60493.0"/>
        <n v="69011.0"/>
        <n v="69444.0"/>
        <n v="7212.0"/>
        <n v="56537.0"/>
        <n v="70368.0"/>
        <n v="45918.0"/>
        <n v="352605.0"/>
        <n v="45045.0"/>
        <n v="72584.0"/>
        <n v="27434.0"/>
        <n v="109455.0"/>
        <n v="57582.0"/>
        <n v="52101.0"/>
        <n v="144333.0"/>
        <n v="189.0"/>
        <n v="114295.0"/>
        <n v="21840.0"/>
        <n v="144892.0"/>
        <n v="282460.0"/>
        <n v="116193.0"/>
        <n v="149629.0"/>
        <n v="127323.0"/>
        <n v="117051.0"/>
        <n v="249567.0"/>
        <n v="80254.0"/>
        <n v="105000.0"/>
        <n v="272349.0"/>
        <n v="271771.0"/>
        <n v="109147.0"/>
        <n v="293832.0"/>
        <n v="320250.0"/>
        <n v="198685.0"/>
        <n v="117432.0"/>
        <n v="153972.0"/>
        <n v="52285.0"/>
        <n v="175102.0"/>
        <n v="150696.0"/>
        <n v="161507.0"/>
        <n v="172809.0"/>
        <n v="130221.0"/>
        <n v="149795.0"/>
        <n v="343707.0"/>
        <n v="151187.0"/>
        <n v="97133.0"/>
        <n v="8497.0"/>
        <n v="1132.0"/>
        <n v="1016.0"/>
        <n v="18142.0"/>
        <n v="71001.0"/>
        <n v="19950.0"/>
        <n v="21000.0"/>
        <n v="18375.0"/>
        <n v="5670.0"/>
        <n v="7497.0"/>
        <n v="0.0"/>
        <m/>
      </sharedItems>
    </cacheField>
    <cacheField name="Roundoff" numFmtId="4">
      <sharedItems containsString="0" containsBlank="1" containsNumber="1">
        <n v="-0.25"/>
        <n v="0.4250000000029104"/>
        <n v="0.08750000000145519"/>
        <n v="-0.07499999999708962"/>
        <n v="0.4000000000014552"/>
        <n v="0.19999999999708962"/>
        <n v="-0.4000000000014552"/>
        <n v="-0.1999999999998181"/>
        <n v="0.3000000000029104"/>
        <n v="-0.5"/>
        <n v="0.0"/>
        <n v="0.125"/>
        <n v="0.25"/>
        <n v="0.10000000000582077"/>
        <n v="-0.28500000000349246"/>
        <n v="-0.3249999999970896"/>
        <n v="-0.10000000000582077"/>
        <n v="0.39999999999417923"/>
        <n v="0.1088000000017928"/>
        <n v="0.05000000000001137"/>
        <n v="-0.3625000000029104"/>
        <n v="-0.125"/>
        <n v="-0.05000000000291038"/>
        <n v="-0.027499999999918145"/>
        <n v="0.3499999999985448"/>
        <n v="0.09999999999854481"/>
        <n v="0.29999999998835847"/>
        <n v="0.1999999999825377"/>
        <n v="-0.19999999999708962"/>
        <n v="-0.375"/>
        <n v="-0.39999999999417923"/>
        <n v="0.17500000000291038"/>
        <n v="-0.47500000000582077"/>
        <n v="0.375"/>
        <n v="0.07499999999708962"/>
        <n v="-5.820766091346741E-11"/>
        <n v="-0.20000000001164153"/>
        <n v="0.19999999995343387"/>
        <n v="-0.20000000004074536"/>
        <n v="-0.0625"/>
        <n v="0.14999999999417923"/>
        <n v="0.05000000000291038"/>
        <n v="-0.22500000000582077"/>
        <n v="0.049999999999272404"/>
        <n v="-0.35000000000582077"/>
        <n v="-0.14999999999417923"/>
        <n v="0.47500000000582077"/>
        <n v="-0.29999999998835847"/>
        <n v="-0.40000000002328306"/>
        <n v="0.27499999999417923"/>
        <n v="0.40000000002328306"/>
        <n v="-0.27499999999417923"/>
        <n v="0.1600000000325963"/>
        <n v="-0.4499999999970896"/>
        <n v="-0.1600000000325963"/>
        <n v="0.20000000001164153"/>
        <n v="-7.275957614183426E-12"/>
        <n v="0.2000000000007276"/>
        <n v="-1.4551915228366852E-11"/>
        <n v="-0.12500000000727596"/>
        <n v="-0.4749999999985448"/>
        <n v="-0.27500000000873115"/>
        <n v="0.4499999999970896"/>
        <n v="-0.1500000000014552"/>
        <n v="0.09999999997671694"/>
        <n v="0.024999999994179234"/>
        <n v="-0.5000000000145519"/>
        <n v="-0.15000000002328306"/>
        <n v="0.4749999999985448"/>
        <n v="-0.1750000000174623"/>
        <n v="-0.45000000001164153"/>
        <n v="-0.33000000001629815"/>
        <n v="0.08000000000174623"/>
        <n v="0.040000000000873115"/>
        <m/>
      </sharedItems>
    </cacheField>
    <cacheField name="Transport" numFmtId="0">
      <sharedItems containsString="0" containsBlank="1" containsNumber="1" containsInteger="1">
        <m/>
        <n v="15895.0"/>
        <n v="16240.0"/>
        <n v="65000.0"/>
        <n v="16000.0"/>
        <n v="7000.0"/>
        <n v="90000.0"/>
        <n v="5700.0"/>
        <n v="1700.0"/>
        <n v="1050.0"/>
        <n v="8600.0"/>
        <n v="1000.0"/>
        <n v="843.0"/>
        <n v="727.0"/>
      </sharedItems>
    </cacheField>
    <cacheField name="Taxable Value" numFmtId="4">
      <sharedItems containsString="0" containsBlank="1" containsNumber="1">
        <n v="55045.0"/>
        <n v="47621.5"/>
        <n v="47293.25"/>
        <n v="50651.5"/>
        <n v="53732.0"/>
        <n v="56156.0"/>
        <n v="51005.0"/>
        <n v="39188.0"/>
        <n v="6804.0"/>
        <n v="38934.0"/>
        <n v="40810.0"/>
        <n v="9720.0"/>
        <n v="10800.0"/>
        <n v="17550.0"/>
        <n v="10300.0"/>
        <n v="3090.0"/>
        <n v="14960.0"/>
        <n v="11707.5"/>
        <n v="20600.0"/>
        <n v="10500.0"/>
        <n v="22050.0"/>
        <n v="40515.0"/>
        <n v="2415.0"/>
        <n v="11220.0"/>
        <n v="3240.0"/>
        <n v="53550.0"/>
        <n v="1800.0"/>
        <n v="12240.0"/>
        <n v="76518.0"/>
        <n v="50600.0"/>
        <n v="57114.0"/>
        <n v="18000.0"/>
        <n v="82830.0"/>
        <n v="45000.0"/>
        <n v="24120.0"/>
        <n v="2520.0"/>
        <n v="1080.0"/>
        <n v="60540.0"/>
        <n v="75420.0"/>
        <n v="49210.0"/>
        <n v="72520.0"/>
        <n v="10000.0"/>
        <n v="138250.0"/>
        <n v="37331.700000000004"/>
        <n v="49980.0"/>
        <n v="58100.0"/>
        <n v="126280.0"/>
        <n v="77416.5"/>
        <n v="66780.0"/>
        <n v="92565.0"/>
        <n v="12250.0"/>
        <n v="64170.0"/>
        <n v="26640.0"/>
        <n v="80600.0"/>
        <n v="55200.0"/>
        <n v="15000.0"/>
        <n v="65162.0"/>
        <n v="185310.0"/>
        <n v="61080.0"/>
        <n v="90180.0"/>
        <n v="122332.0"/>
        <n v="194465.0"/>
        <n v="16200.0"/>
        <n v="190000.0"/>
        <n v="697500.0"/>
        <n v="18478.944"/>
        <n v="59360.0"/>
        <n v="95285.0"/>
        <n v="116265.0"/>
        <n v="44975.0"/>
        <n v="47810.0"/>
        <n v="13260.0"/>
        <n v="82940.0"/>
        <n v="30030.0"/>
        <n v="33990.0"/>
        <n v="8500.0"/>
        <n v="33000.0"/>
        <n v="12320.0"/>
        <n v="61490.0"/>
        <n v="459.0"/>
        <n v="390.0"/>
        <n v="95250.0"/>
        <n v="11310.0"/>
        <n v="22990.0"/>
        <n v="26705.0"/>
        <n v="19665.0"/>
        <n v="9000.0"/>
        <n v="47265.0"/>
        <n v="88435.0"/>
        <n v="66280.0"/>
        <n v="43515.0"/>
        <n v="48415.0"/>
        <n v="4200.0"/>
        <n v="73562.25"/>
        <n v="34500.0"/>
        <n v="97692.5"/>
        <n v="119025.0"/>
        <n v="77658.0"/>
        <n v="47000.0"/>
        <n v="46201.0"/>
        <n v="45495.0"/>
        <n v="23460.0"/>
        <n v="45590.0"/>
        <n v="171675.0"/>
        <n v="104995.0"/>
        <n v="18330.0"/>
        <n v="809.55"/>
        <n v="50760.0"/>
        <n v="60830.0"/>
        <n v="235405.0"/>
        <n v="48833.0"/>
        <n v="40138.0"/>
        <n v="157314.0"/>
        <n v="127710.0"/>
        <n v="48974.0"/>
        <n v="85721.0"/>
        <n v="51700.0"/>
        <n v="19890.0"/>
        <n v="94176.00000000001"/>
        <n v="137885.0"/>
        <n v="70350.0"/>
        <n v="11700.0"/>
        <n v="13650.0"/>
        <n v="67670.0"/>
        <n v="87024.0"/>
        <n v="51255.0"/>
        <n v="116840.0"/>
        <n v="115575.0"/>
        <n v="26130.0"/>
        <n v="111220.0"/>
        <n v="65157.5"/>
        <n v="87170.0"/>
        <n v="85008.0"/>
        <n v="71857.5"/>
        <n v="68306.5"/>
        <n v="120000.0"/>
        <n v="151688.0"/>
        <n v="115460.0"/>
        <n v="39780.0"/>
        <n v="182400.0"/>
        <n v="36000.0"/>
        <n v="70919.5"/>
        <n v="116955.0"/>
        <n v="88080.0"/>
        <n v="121830.0"/>
        <n v="68239.5"/>
        <n v="110975.0"/>
        <n v="96460.0"/>
        <n v="69512.5"/>
        <n v="6375.0"/>
        <n v="121965.0"/>
        <n v="4875.0"/>
        <n v="5625.0"/>
        <n v="256822.5"/>
        <n v="154128.0"/>
        <n v="89762.5"/>
        <n v="140280.0"/>
        <n v="3750.0"/>
        <n v="66028.5"/>
        <n v="73740.0"/>
        <n v="62124.0"/>
        <n v="261900.00000000003"/>
        <n v="124844.00000000001"/>
        <n v="67636.5"/>
        <n v="110110.0"/>
        <n v="1875.0"/>
        <n v="5175.0"/>
        <n v="8775.0"/>
        <n v="264600.0"/>
        <n v="72420.0"/>
        <n v="61140.0"/>
        <n v="3000.0"/>
        <n v="251316.00000000003"/>
        <n v="64740.0"/>
        <n v="140800.0"/>
        <n v="67470.0"/>
        <n v="80795.0"/>
        <n v="241704.00000000003"/>
        <n v="67210.0"/>
        <n v="60417.5"/>
        <n v="60000.0"/>
        <n v="70785.0"/>
        <n v="76612.5"/>
        <n v="70976.25"/>
        <n v="19580.0"/>
        <n v="67592.0"/>
        <n v="68377.5"/>
        <n v="68580.0"/>
        <n v="50220.0"/>
        <n v="270000.0"/>
        <n v="69592.5"/>
        <n v="67567.5"/>
        <n v="116930.0"/>
        <n v="85077.0"/>
        <n v="83490.0"/>
        <n v="262500.0"/>
        <n v="100600.0"/>
        <n v="69414.0"/>
        <n v="69276.0"/>
        <n v="65481.0"/>
        <n v="71139.0"/>
        <n v="161598.0"/>
        <n v="105655.0"/>
        <n v="276100.0"/>
        <n v="80316.0"/>
        <n v="71794.5"/>
        <n v="74347.5"/>
        <n v="15939.0"/>
        <n v="42700.0"/>
        <n v="114695.0"/>
        <n v="52578.0"/>
        <n v="253440.0"/>
        <n v="69690.0"/>
        <n v="184647.0"/>
        <n v="660000.0"/>
        <n v="111983.0"/>
        <n v="72760.5"/>
        <n v="176000.0"/>
        <n v="84525.0"/>
        <n v="65928.0"/>
        <n v="115486.0"/>
        <n v="347424.0"/>
        <n v="128700.0"/>
        <n v="11730.0"/>
        <n v="70759.5"/>
        <n v="311348.0"/>
        <n v="88000.0"/>
        <n v="93500.0"/>
        <n v="311850.0"/>
        <n v="114130.0"/>
        <n v="322368.0"/>
        <n v="79384.5"/>
        <n v="120330.0"/>
        <n v="114911.99999999999"/>
        <n v="110925.0"/>
        <n v="5760.0"/>
        <n v="69655.5"/>
        <n v="5610.0"/>
        <n v="379180.8"/>
        <n v="112750.0"/>
        <n v="281400.0"/>
        <n v="176100.0"/>
        <n v="96650.0"/>
        <n v="43900.0"/>
        <n v="136300.0"/>
        <n v="146950.0"/>
        <n v="44350.0"/>
        <n v="45700.0"/>
        <n v="41600.0"/>
        <n v="37850.0"/>
        <n v="39800.0"/>
        <n v="66250.0"/>
        <n v="40300.0"/>
        <n v="53350.0"/>
        <n v="82600.0"/>
        <n v="41650.0"/>
        <n v="48100.0"/>
        <n v="40750.0"/>
        <n v="137205.0"/>
        <n v="120997.50000000001"/>
        <n v="208575.0"/>
        <n v="324380.0"/>
        <n v="105609.0"/>
        <n v="115170.0"/>
        <n v="318646.0"/>
        <n v="2680.0"/>
        <n v="407490.0"/>
        <n v="32737.5"/>
        <n v="316159.2"/>
        <n v="115976.0"/>
        <n v="75460.0"/>
        <n v="73744.0"/>
        <n v="1300.0"/>
        <n v="60148.00000000001"/>
        <n v="49720.00000000001"/>
        <n v="52360.00000000001"/>
        <n v="76120.0"/>
        <n v="52272.00000000001"/>
        <n v="48092.00000000001"/>
        <n v="85932.0"/>
        <n v="54648.00000000001"/>
        <n v="78496.0"/>
        <n v="82060.0"/>
        <n v="47960.00000000001"/>
        <n v="75988.0"/>
        <n v="57772.00000000001"/>
        <n v="12036.0"/>
        <n v="392346.0"/>
        <n v="29540.0"/>
        <n v="69212.5"/>
        <n v="39240.0"/>
        <n v="63280.00000000001"/>
        <n v="68478.0"/>
        <n v="72376.5"/>
        <n v="59664.00000000001"/>
        <n v="57912.50000000001"/>
        <n v="67348.0"/>
        <n v="57799.5"/>
        <n v="58500.0"/>
        <n v="59155.50000000001"/>
        <n v="66331.0"/>
        <n v="73506.5"/>
        <n v="72602.5"/>
        <n v="54663.0"/>
        <n v="71303.0"/>
        <n v="105840.0"/>
        <n v="68195.5"/>
        <n v="48282.5"/>
        <n v="68129.5"/>
        <n v="51575.5"/>
        <n v="49261.5"/>
        <n v="127238.00000000001"/>
        <n v="49128.0"/>
        <n v="50240.5"/>
        <n v="114582.0"/>
        <n v="68760.5"/>
        <n v="48193.5"/>
        <n v="113169.5"/>
        <n v="120910.00000000001"/>
        <n v="116503.00000000001"/>
        <n v="56613.0"/>
        <n v="57460.5"/>
        <n v="125373.50000000001"/>
        <n v="141240.0"/>
        <n v="141589.0"/>
        <n v="138538.0"/>
        <n v="57612.5"/>
        <n v="65725.0"/>
        <n v="66137.5"/>
        <n v="5250.0"/>
        <n v="53845.0"/>
        <n v="67017.5"/>
        <n v="43731.0"/>
        <n v="335814.60000000003"/>
        <n v="42900.0"/>
        <n v="68128.0"/>
        <n v="16816.0"/>
        <n v="104242.5"/>
        <n v="54840.0"/>
        <n v="49620.0"/>
        <n v="137460.0"/>
        <n v="180.0"/>
        <n v="108852.0"/>
        <n v="20800.0"/>
        <n v="137992.0"/>
        <n v="269010.0"/>
        <n v="110660.0"/>
        <n v="142504.0"/>
        <n v="121260.0"/>
        <n v="111477.5"/>
        <n v="237682.5"/>
        <n v="76432.5"/>
        <n v="100000.0"/>
        <n v="259380.0"/>
        <n v="258830.0"/>
        <n v="103950.0"/>
        <n v="279840.0"/>
        <n v="305000.0"/>
        <n v="189224.0"/>
        <n v="111840.0"/>
        <n v="146640.0"/>
        <n v="46683.0"/>
        <n v="166764.0"/>
        <n v="143520.0"/>
        <n v="153816.0"/>
        <n v="164580.0"/>
        <n v="124020.0"/>
        <n v="142662.0"/>
        <n v="327340.0"/>
        <n v="143988.0"/>
        <n v="92508.0"/>
        <n v="7140.0"/>
        <n v="275.0"/>
        <n v="17278.0"/>
        <n v="67620.0"/>
        <n v="19000.0"/>
        <n v="20000.0"/>
        <n v="17500.0"/>
        <n v="5400.0"/>
        <n v="0.0"/>
        <m/>
      </sharedItems>
    </cacheField>
    <cacheField name="SGST AMT" numFmtId="4">
      <sharedItems containsString="0" containsBlank="1" containsNumber="1">
        <n v="1376.125"/>
        <n v="1190.5375000000001"/>
        <n v="1182.33125"/>
        <n v="1266.2875000000001"/>
        <n v="1343.3000000000002"/>
        <n v="1403.9"/>
        <n v="1275.125"/>
        <n v="979.7"/>
        <n v="170.10000000000002"/>
        <n v="973.35"/>
        <n v="1020.25"/>
        <n v="243.0"/>
        <n v="270.0"/>
        <n v="438.75"/>
        <n v="257.5"/>
        <n v="77.25"/>
        <n v="374.0"/>
        <n v="292.6875"/>
        <n v="515.0"/>
        <n v="262.5"/>
        <n v="551.25"/>
        <n v="1012.875"/>
        <n v="60.375"/>
        <n v="280.5"/>
        <n v="81.0"/>
        <n v="1338.75"/>
        <n v="45.0"/>
        <n v="306.0"/>
        <n v="1912.95"/>
        <n v="1265.0"/>
        <n v="1427.8500000000001"/>
        <n v="450.0"/>
        <n v="2070.75"/>
        <n v="1125.0"/>
        <n v="603.0"/>
        <n v="63.0"/>
        <n v="27.0"/>
        <n v="1513.5"/>
        <n v="1885.5"/>
        <n v="1230.25"/>
        <n v="1813.0"/>
        <n v="250.0"/>
        <n v="3456.25"/>
        <n v="933.2925000000001"/>
        <n v="1249.5"/>
        <n v="1452.5"/>
        <n v="3157.0"/>
        <n v="1935.4125000000001"/>
        <n v="1669.5"/>
        <n v="2314.125"/>
        <n v="306.25"/>
        <n v="1604.25"/>
        <n v="666.0"/>
        <n v="2015.0"/>
        <n v="1380.0"/>
        <n v="375.0"/>
        <n v="1629.0500000000002"/>
        <n v="4632.75"/>
        <n v="1527.0"/>
        <n v="2254.5"/>
        <n v="3058.3"/>
        <n v="4861.625"/>
        <n v="405.0"/>
        <n v="4750.0"/>
        <n v="17437.5"/>
        <n v="461.97360000000003"/>
        <n v="1484.0"/>
        <n v="2382.125"/>
        <n v="2906.625"/>
        <n v="1124.375"/>
        <n v="1195.25"/>
        <n v="331.5"/>
        <n v="2073.5"/>
        <n v="750.75"/>
        <n v="849.75"/>
        <n v="212.5"/>
        <n v="825.0"/>
        <n v="308.0"/>
        <n v="1537.25"/>
        <n v="11.475000000000001"/>
        <n v="0.0"/>
        <n v="2381.25"/>
        <n v="282.75"/>
        <n v="574.75"/>
        <n v="667.625"/>
        <n v="491.625"/>
        <n v="225.0"/>
        <n v="1181.625"/>
        <n v="2210.875"/>
        <n v="1657.0"/>
        <n v="1087.875"/>
        <n v="1210.375"/>
        <n v="105.0"/>
        <n v="1839.05625"/>
        <n v="862.5"/>
        <n v="2442.3125"/>
        <n v="2975.625"/>
        <n v="1941.45"/>
        <n v="1175.0"/>
        <n v="1155.025"/>
        <n v="1137.375"/>
        <n v="586.5"/>
        <n v="1139.75"/>
        <n v="4291.875"/>
        <n v="2624.875"/>
        <n v="458.25"/>
        <n v="20.23875"/>
        <n v="1269.0"/>
        <n v="1520.75"/>
        <n v="5885.125"/>
        <n v="1220.825"/>
        <n v="1003.45"/>
        <n v="3932.8500000000004"/>
        <n v="3192.75"/>
        <n v="1224.3500000000001"/>
        <n v="2143.025"/>
        <n v="1292.5"/>
        <n v="497.25"/>
        <n v="2354.4000000000005"/>
        <n v="3447.125"/>
        <n v="1758.75"/>
        <n v="292.5"/>
        <n v="341.25"/>
        <n v="1691.75"/>
        <n v="2175.6"/>
        <n v="1281.375"/>
        <n v="2921.0"/>
        <n v="2889.375"/>
        <n v="653.25"/>
        <n v="2780.5"/>
        <n v="1628.9375"/>
        <n v="2179.25"/>
        <n v="2125.2000000000003"/>
        <n v="1796.4375"/>
        <n v="1707.6625000000001"/>
        <n v="3000.0"/>
        <n v="3792.2000000000003"/>
        <n v="2886.5"/>
        <n v="994.5"/>
        <n v="4560.0"/>
        <n v="2160.0"/>
        <n v="1772.9875000000002"/>
        <n v="2923.875"/>
        <n v="2202.0"/>
        <n v="3045.75"/>
        <n v="1705.9875000000002"/>
        <n v="2774.375"/>
        <n v="2411.5"/>
        <n v="1737.8125"/>
        <n v="159.375"/>
        <n v="3049.125"/>
        <n v="121.875"/>
        <n v="140.625"/>
        <n v="6420.5625"/>
        <n v="3507.0"/>
        <n v="93.75"/>
        <n v="1650.7125"/>
        <n v="1843.5"/>
        <n v="1553.1000000000001"/>
        <n v="6547.500000000001"/>
        <n v="3121.1000000000004"/>
        <n v="1690.9125000000001"/>
        <n v="2752.75"/>
        <n v="46.875"/>
        <n v="129.375"/>
        <n v="219.375"/>
        <n v="6615.0"/>
        <n v="1810.5"/>
        <n v="1528.5"/>
        <n v="75.0"/>
        <n v="1618.5"/>
        <n v="3520.0"/>
        <n v="1686.75"/>
        <n v="2019.875"/>
        <n v="9.75"/>
        <n v="1680.25"/>
        <n v="1510.4375"/>
        <n v="1500.0"/>
        <n v="1769.625"/>
        <n v="1915.3125"/>
        <n v="1774.40625"/>
        <n v="489.5"/>
        <n v="1689.8000000000002"/>
        <n v="1709.4375"/>
        <n v="1714.5"/>
        <n v="1255.5"/>
        <n v="6750.0"/>
        <n v="1739.8125"/>
        <n v="1689.1875"/>
        <n v="2923.25"/>
        <n v="2126.925"/>
        <n v="2087.25"/>
        <n v="1735.3500000000001"/>
        <n v="1731.9"/>
        <n v="1637.025"/>
        <n v="1778.4750000000001"/>
        <n v="4039.9500000000003"/>
        <n v="2007.9"/>
        <n v="1794.8625000000002"/>
        <n v="1858.6875"/>
        <n v="398.475"/>
        <n v="1067.5"/>
        <n v="1314.45"/>
        <n v="1742.25"/>
        <n v="4616.175"/>
        <n v="16500.0"/>
        <n v="1819.0125"/>
        <n v="1648.2"/>
        <n v="3217.5"/>
        <n v="293.25"/>
        <n v="1768.9875000000002"/>
        <n v="2200.0"/>
        <n v="2337.5"/>
        <n v="1984.6125000000002"/>
        <n v="3008.25"/>
        <n v="2773.125"/>
        <n v="144.0"/>
        <n v="1741.3875"/>
        <n v="140.25"/>
        <n v="3430.125"/>
        <n v="5214.375"/>
        <n v="2640.2250000000004"/>
        <n v="7966.150000000001"/>
        <n v="300.90000000000003"/>
        <n v="738.5"/>
        <n v="1730.3125"/>
        <n v="1582.0000000000002"/>
        <n v="1711.95"/>
        <n v="1809.4125000000001"/>
        <n v="1491.6000000000004"/>
        <n v="1447.8125000000002"/>
        <n v="1683.7"/>
        <n v="1444.9875000000002"/>
        <n v="1478.8875000000003"/>
        <n v="1658.275"/>
        <n v="1837.6625000000001"/>
        <n v="1815.0625"/>
        <n v="1782.575"/>
        <n v="1704.8875"/>
        <n v="3180.9500000000007"/>
        <n v="2864.55"/>
        <n v="1719.0125"/>
        <n v="2829.2375"/>
        <n v="3022.7500000000005"/>
        <n v="2912.5750000000007"/>
        <n v="1415.325"/>
        <n v="1436.5125"/>
        <n v="3134.3375000000005"/>
        <n v="3539.7250000000004"/>
        <n v="3463.4500000000003"/>
        <n v="1440.3125"/>
        <n v="1643.125"/>
        <n v="1653.4375"/>
        <n v="131.25"/>
        <n v="1346.125"/>
        <n v="1675.4375"/>
        <n v="1093.275"/>
        <n v="1072.5"/>
        <n v="1008.9599999999999"/>
        <n v="2606.0625"/>
        <n v="2721.3"/>
        <n v="520.0"/>
        <n v="3449.8"/>
        <n v="6725.25"/>
        <n v="3562.6000000000004"/>
        <n v="3031.5"/>
        <n v="2786.9375"/>
        <n v="5942.0625"/>
        <n v="1910.8125"/>
        <n v="2500.0"/>
        <n v="6470.75"/>
        <n v="2598.75"/>
        <n v="6996.0"/>
        <n v="7625.0"/>
        <n v="4730.6"/>
        <n v="2796.0"/>
        <n v="3666.0"/>
        <n v="2800.98"/>
        <n v="4169.1"/>
        <n v="3588.0"/>
        <n v="3845.4"/>
        <n v="4114.5"/>
        <n v="3100.5"/>
        <n v="3566.55"/>
        <n v="8183.5"/>
        <n v="3599.7000000000003"/>
        <n v="2312.7000000000003"/>
        <n v="178.5"/>
        <n v="6.875"/>
        <n v="1690.5"/>
        <n v="475.0"/>
        <n v="500.0"/>
        <n v="437.5"/>
        <n v="135.0"/>
        <m/>
      </sharedItems>
    </cacheField>
    <cacheField name="CGST AMT" numFmtId="4">
      <sharedItems containsString="0" containsBlank="1" containsNumber="1">
        <n v="1376.125"/>
        <n v="1190.5375000000001"/>
        <n v="1182.33125"/>
        <n v="1266.2875000000001"/>
        <n v="1343.3000000000002"/>
        <n v="1403.9"/>
        <n v="1275.125"/>
        <n v="979.7"/>
        <n v="170.10000000000002"/>
        <n v="973.35"/>
        <n v="1020.25"/>
        <n v="243.0"/>
        <n v="270.0"/>
        <n v="438.75"/>
        <n v="257.5"/>
        <n v="77.25"/>
        <n v="374.0"/>
        <n v="292.6875"/>
        <n v="515.0"/>
        <n v="262.5"/>
        <n v="551.25"/>
        <n v="1012.875"/>
        <n v="60.375"/>
        <n v="280.5"/>
        <n v="81.0"/>
        <n v="1338.75"/>
        <n v="45.0"/>
        <n v="306.0"/>
        <n v="1912.95"/>
        <n v="1265.0"/>
        <n v="1427.8500000000001"/>
        <n v="450.0"/>
        <n v="2070.75"/>
        <n v="1125.0"/>
        <n v="603.0"/>
        <n v="63.0"/>
        <n v="27.0"/>
        <n v="1513.5"/>
        <n v="1885.5"/>
        <n v="1230.25"/>
        <n v="1813.0"/>
        <n v="250.0"/>
        <n v="3456.25"/>
        <n v="933.2925000000001"/>
        <n v="1249.5"/>
        <n v="1452.5"/>
        <n v="3157.0"/>
        <n v="1935.4125000000001"/>
        <n v="1669.5"/>
        <n v="2314.125"/>
        <n v="306.25"/>
        <n v="1604.25"/>
        <n v="666.0"/>
        <n v="2015.0"/>
        <n v="1380.0"/>
        <n v="375.0"/>
        <n v="1629.0500000000002"/>
        <n v="4632.75"/>
        <n v="1527.0"/>
        <n v="2254.5"/>
        <n v="3058.3"/>
        <n v="4861.625"/>
        <n v="405.0"/>
        <n v="4750.0"/>
        <n v="17437.5"/>
        <n v="461.97360000000003"/>
        <n v="1484.0"/>
        <n v="2382.125"/>
        <n v="2906.625"/>
        <n v="1124.375"/>
        <n v="1195.25"/>
        <n v="331.5"/>
        <n v="2073.5"/>
        <n v="750.75"/>
        <n v="849.75"/>
        <n v="212.5"/>
        <n v="825.0"/>
        <n v="308.0"/>
        <n v="1537.25"/>
        <n v="11.475000000000001"/>
        <n v="0.0"/>
        <n v="2381.25"/>
        <n v="282.75"/>
        <n v="574.75"/>
        <n v="667.625"/>
        <n v="491.625"/>
        <n v="225.0"/>
        <n v="1181.625"/>
        <n v="2210.875"/>
        <n v="1657.0"/>
        <n v="1087.875"/>
        <n v="1210.375"/>
        <n v="105.0"/>
        <n v="1839.05625"/>
        <n v="862.5"/>
        <n v="2442.3125"/>
        <n v="2975.625"/>
        <n v="1941.45"/>
        <n v="1175.0"/>
        <n v="1155.025"/>
        <n v="1137.375"/>
        <n v="586.5"/>
        <n v="1139.75"/>
        <n v="4291.875"/>
        <n v="2624.875"/>
        <n v="458.25"/>
        <n v="20.23875"/>
        <n v="1269.0"/>
        <n v="1520.75"/>
        <n v="5885.125"/>
        <n v="1220.825"/>
        <n v="1003.45"/>
        <n v="3932.8500000000004"/>
        <n v="3192.75"/>
        <n v="1224.3500000000001"/>
        <n v="2143.025"/>
        <n v="1292.5"/>
        <n v="497.25"/>
        <n v="2354.4000000000005"/>
        <n v="3447.125"/>
        <n v="1758.75"/>
        <n v="292.5"/>
        <n v="341.25"/>
        <n v="1691.75"/>
        <n v="2175.6"/>
        <n v="1281.375"/>
        <n v="2921.0"/>
        <n v="2889.375"/>
        <n v="653.25"/>
        <n v="2780.5"/>
        <n v="1628.9375"/>
        <n v="2179.25"/>
        <n v="2125.2000000000003"/>
        <n v="1796.4375"/>
        <n v="1707.6625000000001"/>
        <n v="3000.0"/>
        <n v="3792.2000000000003"/>
        <n v="2886.5"/>
        <n v="994.5"/>
        <n v="4560.0"/>
        <n v="2160.0"/>
        <n v="1772.9875000000002"/>
        <n v="2923.875"/>
        <n v="2202.0"/>
        <n v="3045.75"/>
        <n v="1705.9875000000002"/>
        <n v="2774.375"/>
        <n v="2411.5"/>
        <n v="1737.8125"/>
        <n v="159.375"/>
        <n v="3049.125"/>
        <n v="121.875"/>
        <n v="140.625"/>
        <n v="6420.5625"/>
        <n v="3507.0"/>
        <n v="93.75"/>
        <n v="1650.7125"/>
        <n v="1843.5"/>
        <n v="1553.1000000000001"/>
        <n v="6547.500000000001"/>
        <n v="3121.1000000000004"/>
        <n v="1690.9125000000001"/>
        <n v="2752.75"/>
        <n v="46.875"/>
        <n v="129.375"/>
        <n v="219.375"/>
        <n v="6615.0"/>
        <n v="1810.5"/>
        <n v="1528.5"/>
        <n v="75.0"/>
        <n v="1618.5"/>
        <n v="3520.0"/>
        <n v="1686.75"/>
        <n v="2019.875"/>
        <n v="9.75"/>
        <n v="1680.25"/>
        <n v="1510.4375"/>
        <n v="1500.0"/>
        <n v="1769.625"/>
        <n v="1915.3125"/>
        <n v="1774.40625"/>
        <n v="489.5"/>
        <n v="1689.8000000000002"/>
        <n v="1709.4375"/>
        <n v="1714.5"/>
        <n v="1255.5"/>
        <n v="6750.0"/>
        <n v="1739.8125"/>
        <n v="1689.1875"/>
        <n v="2923.25"/>
        <n v="2126.925"/>
        <n v="2087.25"/>
        <n v="1735.3500000000001"/>
        <n v="1731.9"/>
        <n v="1637.025"/>
        <n v="1778.4750000000001"/>
        <n v="4039.9500000000003"/>
        <n v="2007.9"/>
        <n v="1794.8625000000002"/>
        <n v="1858.6875"/>
        <n v="398.475"/>
        <n v="1067.5"/>
        <n v="1314.45"/>
        <n v="1742.25"/>
        <n v="4616.175"/>
        <n v="16500.0"/>
        <n v="1819.0125"/>
        <n v="1648.2"/>
        <n v="3217.5"/>
        <n v="293.25"/>
        <n v="1768.9875000000002"/>
        <n v="2200.0"/>
        <n v="2337.5"/>
        <n v="1984.6125000000002"/>
        <n v="3008.25"/>
        <n v="2773.125"/>
        <n v="144.0"/>
        <n v="1741.3875"/>
        <n v="140.25"/>
        <n v="3430.125"/>
        <n v="5214.375"/>
        <n v="2640.2250000000004"/>
        <n v="7966.150000000001"/>
        <n v="300.90000000000003"/>
        <n v="738.5"/>
        <n v="1730.3125"/>
        <n v="1582.0000000000002"/>
        <n v="1711.95"/>
        <n v="1809.4125000000001"/>
        <n v="1491.6000000000004"/>
        <n v="1447.8125000000002"/>
        <n v="1683.7"/>
        <n v="1444.9875000000002"/>
        <n v="1478.8875000000003"/>
        <n v="1658.275"/>
        <n v="1837.6625000000001"/>
        <n v="1815.0625"/>
        <n v="1782.575"/>
        <n v="1704.8875"/>
        <n v="3180.9500000000007"/>
        <n v="2864.55"/>
        <n v="1719.0125"/>
        <n v="2829.2375"/>
        <n v="3022.7500000000005"/>
        <n v="2912.5750000000007"/>
        <n v="1415.325"/>
        <n v="1436.5125"/>
        <n v="3134.3375000000005"/>
        <n v="3539.7250000000004"/>
        <n v="3463.4500000000003"/>
        <n v="1440.3125"/>
        <n v="1643.125"/>
        <n v="1653.4375"/>
        <n v="131.25"/>
        <n v="1346.125"/>
        <n v="1675.4375"/>
        <n v="1093.275"/>
        <n v="1072.5"/>
        <n v="1008.9599999999999"/>
        <n v="2606.0625"/>
        <n v="2721.3"/>
        <n v="520.0"/>
        <n v="3449.8"/>
        <n v="6725.25"/>
        <n v="3562.6000000000004"/>
        <n v="3031.5"/>
        <n v="2786.9375"/>
        <n v="5942.0625"/>
        <n v="1910.8125"/>
        <n v="2500.0"/>
        <n v="6470.75"/>
        <n v="2598.75"/>
        <n v="6996.0"/>
        <n v="7625.0"/>
        <n v="4730.6"/>
        <n v="2796.0"/>
        <n v="3666.0"/>
        <n v="2800.98"/>
        <n v="4169.1"/>
        <n v="3588.0"/>
        <n v="3845.4"/>
        <n v="4114.5"/>
        <n v="3100.5"/>
        <n v="3566.55"/>
        <n v="8183.5"/>
        <n v="3599.7000000000003"/>
        <n v="2312.7000000000003"/>
        <n v="178.5"/>
        <n v="6.875"/>
        <n v="1690.5"/>
        <n v="475.0"/>
        <n v="500.0"/>
        <n v="437.5"/>
        <n v="135.0"/>
        <m/>
      </sharedItems>
    </cacheField>
    <cacheField name="igst2" numFmtId="4">
      <sharedItems containsString="0" containsBlank="1" containsNumber="1">
        <n v="0.0"/>
        <n v="7706.400000000001"/>
        <n v="4488.125"/>
        <n v="12565.800000000003"/>
        <n v="12085.200000000003"/>
        <n v="13125.0"/>
        <n v="5030.0"/>
        <n v="5282.75"/>
        <n v="13805.0"/>
        <n v="5734.75"/>
        <n v="12672.0"/>
        <n v="5599.150000000001"/>
        <n v="8800.0"/>
        <n v="4226.25"/>
        <n v="5774.3"/>
        <n v="17371.2"/>
        <n v="15567.400000000001"/>
        <n v="15592.5"/>
        <n v="5706.5"/>
        <n v="16118.400000000001"/>
        <n v="5745.599999999999"/>
        <n v="18959.04"/>
        <n v="5637.5"/>
        <n v="6049.875000000001"/>
        <n v="16219.0"/>
        <n v="5758.5"/>
        <n v="20374.5"/>
        <n v="15807.960000000001"/>
        <n v="5798.8"/>
        <n v="19617.3"/>
        <n v="1962.0"/>
        <n v="2733.15"/>
        <n v="5292.0"/>
        <n v="7062.0"/>
        <n v="16790.730000000003"/>
        <n v="3406.4"/>
        <n v="2742.0"/>
        <n v="2481.0"/>
        <n v="6873.0"/>
        <n v="9.0"/>
        <n v="5533.0"/>
        <n v="12969.0"/>
        <n v="13.75"/>
        <n v="863.9000000000001"/>
        <m/>
      </sharedItems>
    </cacheField>
    <cacheField name="Tax Total" numFmtId="4">
      <sharedItems containsString="0" containsBlank="1" containsNumber="1">
        <n v="2752.25"/>
        <n v="2381.0750000000003"/>
        <n v="2364.6625"/>
        <n v="2532.5750000000003"/>
        <n v="2686.6000000000004"/>
        <n v="2807.8"/>
        <n v="2550.25"/>
        <n v="1959.4"/>
        <n v="340.20000000000005"/>
        <n v="1946.7"/>
        <n v="2040.5"/>
        <n v="486.0"/>
        <n v="540.0"/>
        <n v="877.5"/>
        <n v="515.0"/>
        <n v="154.5"/>
        <n v="748.0"/>
        <n v="585.375"/>
        <n v="1030.0"/>
        <n v="525.0"/>
        <n v="1102.5"/>
        <n v="2025.75"/>
        <n v="120.75"/>
        <n v="561.0"/>
        <n v="162.0"/>
        <n v="2677.5"/>
        <n v="90.0"/>
        <n v="612.0"/>
        <n v="3825.9"/>
        <n v="2530.0"/>
        <n v="2855.7000000000003"/>
        <n v="900.0"/>
        <n v="4141.5"/>
        <n v="2250.0"/>
        <n v="1206.0"/>
        <n v="126.0"/>
        <n v="54.0"/>
        <n v="3027.0"/>
        <n v="3771.0"/>
        <n v="2460.5"/>
        <n v="3626.0"/>
        <n v="500.0"/>
        <n v="6912.5"/>
        <n v="1866.5850000000003"/>
        <n v="2499.0"/>
        <n v="2905.0"/>
        <n v="6314.0"/>
        <n v="3870.8250000000003"/>
        <n v="3339.0"/>
        <n v="4628.25"/>
        <n v="612.5"/>
        <n v="3208.5"/>
        <n v="1332.0"/>
        <n v="4030.0"/>
        <n v="2760.0"/>
        <n v="750.0"/>
        <n v="3258.1000000000004"/>
        <n v="9265.5"/>
        <n v="3054.0"/>
        <n v="4509.0"/>
        <n v="6116.6"/>
        <n v="9723.25"/>
        <n v="810.0"/>
        <n v="9500.0"/>
        <n v="34875.0"/>
        <n v="923.9472000000001"/>
        <n v="2968.0"/>
        <n v="4764.25"/>
        <n v="5813.25"/>
        <n v="2248.75"/>
        <n v="2390.5"/>
        <n v="663.0"/>
        <n v="4147.0"/>
        <n v="1501.5"/>
        <n v="1699.5"/>
        <n v="425.0"/>
        <n v="1650.0"/>
        <n v="616.0"/>
        <n v="3074.5"/>
        <n v="22.950000000000003"/>
        <n v="0.0"/>
        <n v="4762.5"/>
        <n v="565.5"/>
        <n v="1149.5"/>
        <n v="1335.25"/>
        <n v="983.25"/>
        <n v="450.0"/>
        <n v="2363.25"/>
        <n v="4421.75"/>
        <n v="3314.0"/>
        <n v="2175.75"/>
        <n v="2420.75"/>
        <n v="210.0"/>
        <n v="3678.1125"/>
        <n v="1725.0"/>
        <n v="4884.625"/>
        <n v="5951.25"/>
        <n v="3882.9"/>
        <n v="2350.0"/>
        <n v="2310.05"/>
        <n v="2274.75"/>
        <n v="1173.0"/>
        <n v="2279.5"/>
        <n v="8583.75"/>
        <n v="5249.75"/>
        <n v="916.5"/>
        <n v="40.4775"/>
        <n v="2538.0"/>
        <n v="3041.5"/>
        <n v="11770.25"/>
        <n v="2441.65"/>
        <n v="2006.9"/>
        <n v="7865.700000000001"/>
        <n v="6385.5"/>
        <n v="2448.7000000000003"/>
        <n v="4286.05"/>
        <n v="2585.0"/>
        <n v="994.5"/>
        <n v="4708.800000000001"/>
        <n v="6894.25"/>
        <n v="3517.5"/>
        <n v="585.0"/>
        <n v="682.5"/>
        <n v="3383.5"/>
        <n v="4351.2"/>
        <n v="2562.75"/>
        <n v="5842.0"/>
        <n v="5778.75"/>
        <n v="1306.5"/>
        <n v="5561.0"/>
        <n v="3257.875"/>
        <n v="4358.5"/>
        <n v="4250.400000000001"/>
        <n v="3592.875"/>
        <n v="3415.3250000000003"/>
        <n v="6000.0"/>
        <n v="7584.400000000001"/>
        <n v="5773.0"/>
        <n v="1989.0"/>
        <n v="9120.0"/>
        <n v="4320.0"/>
        <n v="3545.9750000000004"/>
        <n v="5847.75"/>
        <n v="4404.0"/>
        <n v="6091.5"/>
        <n v="3411.9750000000004"/>
        <n v="5548.75"/>
        <n v="4823.0"/>
        <n v="3475.625"/>
        <n v="318.75"/>
        <n v="6098.25"/>
        <n v="243.75"/>
        <n v="281.25"/>
        <n v="12841.125"/>
        <n v="7706.400000000001"/>
        <n v="4488.125"/>
        <n v="7014.0"/>
        <n v="187.5"/>
        <n v="3301.425"/>
        <n v="3687.0"/>
        <n v="3106.2000000000003"/>
        <n v="13095.000000000002"/>
        <n v="6242.200000000001"/>
        <n v="3381.8250000000003"/>
        <n v="5505.5"/>
        <n v="93.75"/>
        <n v="258.75"/>
        <n v="438.75"/>
        <n v="13230.0"/>
        <n v="3621.0"/>
        <n v="3057.0"/>
        <n v="150.0"/>
        <n v="12565.800000000003"/>
        <n v="3237.0"/>
        <n v="7040.0"/>
        <n v="3373.5"/>
        <n v="4039.75"/>
        <n v="19.5"/>
        <n v="12085.200000000003"/>
        <n v="3360.5"/>
        <n v="3020.875"/>
        <n v="3000.0"/>
        <n v="3539.25"/>
        <n v="3830.625"/>
        <n v="3548.8125"/>
        <n v="979.0"/>
        <n v="3379.6000000000004"/>
        <n v="3418.875"/>
        <n v="3429.0"/>
        <n v="2511.0"/>
        <n v="13500.0"/>
        <n v="3479.625"/>
        <n v="3378.375"/>
        <n v="5846.5"/>
        <n v="4253.85"/>
        <n v="4174.5"/>
        <n v="13125.0"/>
        <n v="5030.0"/>
        <n v="3470.7000000000003"/>
        <n v="3463.8"/>
        <n v="3274.05"/>
        <n v="3556.9500000000003"/>
        <n v="8079.900000000001"/>
        <n v="5282.75"/>
        <n v="13805.0"/>
        <n v="4015.8"/>
        <n v="3589.7250000000004"/>
        <n v="3717.375"/>
        <n v="796.95"/>
        <n v="2135.0"/>
        <n v="5734.75"/>
        <n v="2628.9"/>
        <n v="12672.0"/>
        <n v="3484.5"/>
        <n v="9232.35"/>
        <n v="33000.0"/>
        <n v="5599.150000000001"/>
        <n v="3638.025"/>
        <n v="8800.0"/>
        <n v="4226.25"/>
        <n v="3296.4"/>
        <n v="5774.3"/>
        <n v="17371.2"/>
        <n v="6435.0"/>
        <n v="586.5"/>
        <n v="3537.9750000000004"/>
        <n v="15567.400000000001"/>
        <n v="4400.0"/>
        <n v="4675.0"/>
        <n v="15592.5"/>
        <n v="5706.5"/>
        <n v="16118.400000000001"/>
        <n v="3969.2250000000004"/>
        <n v="6016.5"/>
        <n v="5745.599999999999"/>
        <n v="5546.25"/>
        <n v="288.0"/>
        <n v="3482.775"/>
        <n v="280.5"/>
        <n v="18959.04"/>
        <n v="5637.5"/>
        <n v="6860.25"/>
        <n v="6049.875000000001"/>
        <n v="10428.75"/>
        <n v="16219.0"/>
        <n v="5280.450000000001"/>
        <n v="5758.5"/>
        <n v="15932.300000000001"/>
        <n v="20374.5"/>
        <n v="15807.960000000001"/>
        <n v="5798.8"/>
        <n v="601.8000000000001"/>
        <n v="19617.3"/>
        <n v="1477.0"/>
        <n v="3460.625"/>
        <n v="1962.0"/>
        <n v="3164.0000000000005"/>
        <n v="3423.9"/>
        <n v="3618.8250000000003"/>
        <n v="2983.2000000000007"/>
        <n v="2895.6250000000005"/>
        <n v="3367.4"/>
        <n v="2889.9750000000004"/>
        <n v="2957.7750000000005"/>
        <n v="3316.55"/>
        <n v="3675.3250000000003"/>
        <n v="3630.125"/>
        <n v="2733.15"/>
        <n v="3565.15"/>
        <n v="5292.0"/>
        <n v="3409.775"/>
        <n v="6361.9000000000015"/>
        <n v="5729.1"/>
        <n v="3438.025"/>
        <n v="5658.475"/>
        <n v="6045.500000000001"/>
        <n v="5825.1500000000015"/>
        <n v="2830.65"/>
        <n v="2873.025"/>
        <n v="6268.675000000001"/>
        <n v="7062.0"/>
        <n v="7079.450000000001"/>
        <n v="6926.900000000001"/>
        <n v="2880.625"/>
        <n v="3286.25"/>
        <n v="3306.875"/>
        <n v="262.5"/>
        <n v="2692.25"/>
        <n v="3350.875"/>
        <n v="2186.55"/>
        <n v="16790.730000000003"/>
        <n v="2145.0"/>
        <n v="3406.4"/>
        <n v="2017.9199999999998"/>
        <n v="5212.125"/>
        <n v="2742.0"/>
        <n v="2481.0"/>
        <n v="6873.0"/>
        <n v="9.0"/>
        <n v="5442.6"/>
        <n v="1040.0"/>
        <n v="6899.6"/>
        <n v="13450.5"/>
        <n v="5533.0"/>
        <n v="7125.200000000001"/>
        <n v="6063.0"/>
        <n v="5573.875"/>
        <n v="11884.125"/>
        <n v="3821.625"/>
        <n v="5000.0"/>
        <n v="12969.0"/>
        <n v="12941.5"/>
        <n v="5197.5"/>
        <n v="13992.0"/>
        <n v="15250.0"/>
        <n v="9461.2"/>
        <n v="5592.0"/>
        <n v="7332.0"/>
        <n v="5601.96"/>
        <n v="8338.2"/>
        <n v="7176.0"/>
        <n v="7690.8"/>
        <n v="8229.0"/>
        <n v="6201.0"/>
        <n v="7133.1"/>
        <n v="16367.0"/>
        <n v="7199.400000000001"/>
        <n v="4625.400000000001"/>
        <n v="357.0"/>
        <n v="13.75"/>
        <n v="863.9000000000001"/>
        <n v="3381.0"/>
        <n v="950.0"/>
        <n v="1000.0"/>
        <n v="875.0"/>
        <n v="270.0"/>
        <m/>
      </sharedItems>
    </cacheField>
    <cacheField name="Month">
      <sharedItems containsBlank="1" containsMixedTypes="1" containsNumber="1" containsInteger="1">
        <n v="1.0"/>
        <n v="2.0"/>
        <n v="3.0"/>
        <n v="4.0"/>
        <n v="5.0"/>
        <n v="6.0"/>
        <n v="7.0"/>
        <n v="8.0"/>
        <n v="10.0"/>
        <n v="11.0"/>
        <n v="12.0"/>
        <n v="9.0"/>
        <s v="7"/>
        <s v="8"/>
        <s v="9"/>
        <s v="10"/>
        <s v="11"/>
        <s v="12"/>
        <s v="01"/>
        <s v="02"/>
        <m/>
      </sharedItems>
    </cacheField>
    <cacheField name="Year">
      <sharedItems containsBlank="1" containsMixedTypes="1" containsNumber="1" containsInteger="1">
        <n v="2021.0"/>
        <n v="2022.0"/>
        <n v="2023.0"/>
        <e v="#VALUE!"/>
        <s v="2024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Business Overview" cacheId="0" dataCaption="" compact="0" compactData="0">
  <location ref="B2:E18" firstHeaderRow="0" firstDataRow="1" firstDataCol="1"/>
  <pivotFields>
    <pivotField name="Invoic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t="default"/>
      </items>
    </pivotField>
    <pivotField name="Consigne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Buyer" compact="0" outline="0" multipleItemSelectionAllowed="1" showAll="0">
      <items>
        <item x="0"/>
        <item x="1"/>
        <item x="2"/>
        <item t="default"/>
      </items>
    </pivotField>
    <pivotField name="Dat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t="default"/>
      </items>
    </pivotField>
    <pivotField name="Delivery Note" compact="0" outline="0" multipleItemSelectionAllowed="1" showAll="0">
      <items>
        <item x="0"/>
        <item x="1"/>
        <item t="default"/>
      </items>
    </pivotField>
    <pivotField name="Payment Mode/Term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upplier Ref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ther Reference(s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uyer's Order 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t="default"/>
      </items>
    </pivotField>
    <pivotField name="Despatch Document 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  <pivotField name="Delivery Note Date" compact="0" outline="0" multipleItemSelectionAllowed="1" showAll="0">
      <items>
        <item x="0"/>
        <item x="1"/>
        <item x="2"/>
        <item t="default"/>
      </items>
    </pivotField>
    <pivotField name="Despatch throug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esti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Bill of Landing/LR-RR No." compact="0" outline="0" multipleItemSelectionAllowed="1" showAll="0">
      <items>
        <item x="0"/>
        <item t="default"/>
      </items>
    </pivotField>
    <pivotField name="Motor Vehicl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t="default"/>
      </items>
    </pivotField>
    <pivotField name="Description of Goo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HSN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QTY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t="default"/>
      </items>
    </pivotField>
    <pivotField name="Rat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per(wt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moun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name="SGST" compact="0" numFmtId="10" outline="0" multipleItemSelectionAllowed="1" showAll="0">
      <items>
        <item x="0"/>
        <item x="1"/>
        <item x="2"/>
        <item x="3"/>
        <item t="default"/>
      </items>
    </pivotField>
    <pivotField name="CGST" compact="0" numFmtId="10" outline="0" multipleItemSelectionAllowed="1" showAll="0">
      <items>
        <item x="0"/>
        <item x="1"/>
        <item x="2"/>
        <item x="3"/>
        <item t="default"/>
      </items>
    </pivotField>
    <pivotField name="IGST" compact="0" numFmtId="10" outline="0" multipleItemSelectionAllowed="1" showAll="0">
      <items>
        <item x="0"/>
        <item x="1"/>
        <item x="2"/>
        <item t="default"/>
      </items>
    </pivotField>
    <pivotField name="Total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t="default"/>
      </items>
    </pivotField>
    <pivotField name="Roundoff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Transpo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axable 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name="SGST AM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name="CGST AM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name="igst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Tax Total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t="default"/>
      </items>
    </pivotField>
    <pivotField name="Month" axis="axisRow" compact="0" outline="0" multipleItemSelectionAllowed="1" showAll="0" sortType="ascending">
      <items>
        <item x="20"/>
        <item x="0"/>
        <item x="1"/>
        <item x="2"/>
        <item x="3"/>
        <item x="4"/>
        <item x="5"/>
        <item x="6"/>
        <item x="7"/>
        <item x="11"/>
        <item x="8"/>
        <item x="9"/>
        <item x="10"/>
        <item x="18"/>
        <item x="19"/>
        <item x="15"/>
        <item x="16"/>
        <item x="17"/>
        <item x="12"/>
        <item x="13"/>
        <item x="14"/>
        <item t="default"/>
      </items>
    </pivotField>
    <pivotField name="Year" axis="axisCol" compact="0" outline="0" multipleItemSelectionAllowed="1" showAll="0" sortType="ascending">
      <items>
        <item x="5"/>
        <item x="0"/>
        <item x="1"/>
        <item x="2"/>
        <item x="4"/>
        <item x="3"/>
        <item t="default"/>
      </items>
    </pivotField>
  </pivotFields>
  <rowFields>
    <field x="33"/>
  </rowFields>
  <colFields>
    <field x="34"/>
  </colFields>
  <dataFields>
    <dataField name="SUM of Total" fld="25" baseField="0"/>
  </dataFields>
</pivotTableDefinition>
</file>

<file path=xl/pivotTables/pivotTable2.xml><?xml version="1.0" encoding="utf-8"?>
<pivotTableDefinition xmlns="http://schemas.openxmlformats.org/spreadsheetml/2006/main" name="Business Overview 2" cacheId="0" dataCaption="" compact="0" compactData="0">
  <location ref="B21:D31" firstHeaderRow="0" firstDataRow="2" firstDataCol="0" rowPageCount="1" colPageCount="1"/>
  <pivotFields>
    <pivotField name="Invoic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t="default"/>
      </items>
    </pivotField>
    <pivotField name="Consigne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Buyer" compact="0" outline="0" multipleItemSelectionAllowed="1" showAll="0">
      <items>
        <item x="0"/>
        <item x="1"/>
        <item x="2"/>
        <item t="default"/>
      </items>
    </pivotField>
    <pivotField name="Dat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t="default"/>
      </items>
    </pivotField>
    <pivotField name="Delivery Note" compact="0" outline="0" multipleItemSelectionAllowed="1" showAll="0">
      <items>
        <item x="0"/>
        <item x="1"/>
        <item t="default"/>
      </items>
    </pivotField>
    <pivotField name="Payment Mode/Term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upplier Ref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ther Reference(s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uyer's Order 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t="default"/>
      </items>
    </pivotField>
    <pivotField name="Despatch Document 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  <pivotField name="Delivery Note Date" compact="0" outline="0" multipleItemSelectionAllowed="1" showAll="0">
      <items>
        <item x="0"/>
        <item x="1"/>
        <item x="2"/>
        <item t="default"/>
      </items>
    </pivotField>
    <pivotField name="Despatch throug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esti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Bill of Landing/LR-RR No." compact="0" outline="0" multipleItemSelectionAllowed="1" showAll="0">
      <items>
        <item x="0"/>
        <item t="default"/>
      </items>
    </pivotField>
    <pivotField name="Motor Vehicl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t="default"/>
      </items>
    </pivotField>
    <pivotField name="Description of Goods" axis="axisRow" compact="0" outline="0" multipleItemSelectionAllowed="1" showAll="0" sortType="ascending">
      <items>
        <item x="5"/>
        <item x="9"/>
        <item x="0"/>
        <item x="1"/>
        <item x="4"/>
        <item x="11"/>
        <item x="8"/>
        <item x="6"/>
        <item x="10"/>
        <item x="2"/>
        <item x="3"/>
        <item x="7"/>
        <item t="default"/>
      </items>
    </pivotField>
    <pivotField name="HSN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QTY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t="default"/>
      </items>
    </pivotField>
    <pivotField name="Rat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per(wt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moun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name="SGST" compact="0" numFmtId="10" outline="0" multipleItemSelectionAllowed="1" showAll="0">
      <items>
        <item x="0"/>
        <item x="1"/>
        <item x="2"/>
        <item x="3"/>
        <item t="default"/>
      </items>
    </pivotField>
    <pivotField name="CGST" compact="0" numFmtId="10" outline="0" multipleItemSelectionAllowed="1" showAll="0">
      <items>
        <item x="0"/>
        <item x="1"/>
        <item x="2"/>
        <item x="3"/>
        <item t="default"/>
      </items>
    </pivotField>
    <pivotField name="IGST" compact="0" numFmtId="10" outline="0" multipleItemSelectionAllowed="1" showAll="0">
      <items>
        <item x="0"/>
        <item x="1"/>
        <item x="2"/>
        <item t="default"/>
      </items>
    </pivotField>
    <pivotField name="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t="default"/>
      </items>
    </pivotField>
    <pivotField name="Roundoff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Transpo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axable 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name="SGST AM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name="CGST AM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name="igst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Tax Total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Year" axis="axisPage" compact="0" outline="0" multipleItemSelectionAllowed="1" showAll="0">
      <items>
        <item h="1" x="0"/>
        <item h="1" x="1"/>
        <item x="2"/>
        <item h="1" x="3"/>
        <item h="1" x="4"/>
        <item h="1" x="5"/>
        <item t="default"/>
      </items>
    </pivotField>
  </pivotFields>
  <rowFields>
    <field x="16"/>
  </rowFields>
  <colFields>
    <field x="-2"/>
  </colFields>
  <pageFields>
    <pageField fld="34"/>
  </pageFields>
  <dataFields>
    <dataField name="SUM of QTY" fld="18" baseField="0"/>
    <dataField name="SUM of Amount" fld="2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meet.google.com/esr-kgwe-dpp?hl=en" TargetMode="External"/><Relationship Id="rId2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showGridLines="0" workbookViewId="0"/>
  </sheetViews>
  <sheetFormatPr customHeight="1" defaultColWidth="12.63" defaultRowHeight="15.0"/>
  <cols>
    <col customWidth="1" min="1" max="1" width="2.0"/>
    <col customWidth="1" min="2" max="2" width="4.75"/>
    <col customWidth="1" min="3" max="3" width="10.5"/>
    <col customWidth="1" min="4" max="4" width="6.75"/>
    <col customWidth="1" min="5" max="5" width="10.38"/>
    <col customWidth="1" min="6" max="6" width="8.25"/>
    <col customWidth="1" min="7" max="7" width="7.63"/>
    <col customWidth="1" min="8" max="8" width="9.88"/>
    <col customWidth="1" min="9" max="9" width="8.88"/>
    <col customWidth="1" min="10" max="11" width="22.63"/>
    <col customWidth="1" min="12" max="28" width="10.0"/>
  </cols>
  <sheetData>
    <row r="1" ht="12.75" customHeight="1">
      <c r="A1" s="1"/>
    </row>
    <row r="2" ht="12.75" customHeight="1">
      <c r="A2" s="2"/>
      <c r="B2" s="2" t="s">
        <v>0</v>
      </c>
      <c r="K2" s="2"/>
    </row>
    <row r="3" ht="12.75" customHeight="1"/>
    <row r="4" ht="12.75" customHeight="1">
      <c r="A4" s="3"/>
      <c r="B4" s="4" t="s">
        <v>1</v>
      </c>
      <c r="C4" s="5"/>
      <c r="D4" s="5"/>
      <c r="E4" s="6"/>
      <c r="F4" s="7" t="s">
        <v>2</v>
      </c>
      <c r="G4" s="8"/>
      <c r="H4" s="9"/>
      <c r="I4" s="8" t="s">
        <v>3</v>
      </c>
      <c r="J4" s="9"/>
      <c r="K4" s="10"/>
      <c r="M4" s="11"/>
    </row>
    <row r="5" ht="12.75" customHeight="1">
      <c r="A5" s="10"/>
      <c r="B5" s="12" t="s">
        <v>4</v>
      </c>
      <c r="C5" s="10"/>
      <c r="D5" s="10"/>
      <c r="E5" s="13"/>
      <c r="F5" s="14">
        <f>IFERROR(VLOOKUP(F13,InvoiceDetails,11,FALSE)," ")</f>
        <v>418</v>
      </c>
      <c r="G5" s="15"/>
      <c r="H5" s="16"/>
      <c r="I5" s="17">
        <f>VLOOKUP(F13,InvoiceDetails,4,FALSE)</f>
        <v>46102</v>
      </c>
      <c r="J5" s="18"/>
      <c r="K5" s="19"/>
    </row>
    <row r="6" ht="12.75" customHeight="1">
      <c r="A6" s="10"/>
      <c r="B6" s="12" t="s">
        <v>5</v>
      </c>
      <c r="C6" s="10"/>
      <c r="D6" s="10"/>
      <c r="E6" s="13"/>
      <c r="F6" s="7" t="s">
        <v>6</v>
      </c>
      <c r="G6" s="8"/>
      <c r="H6" s="9"/>
      <c r="I6" s="7" t="s">
        <v>7</v>
      </c>
      <c r="J6" s="9"/>
      <c r="K6" s="10"/>
    </row>
    <row r="7" ht="12.75" customHeight="1">
      <c r="A7" s="20"/>
      <c r="B7" s="21">
        <v>8.550952303E9</v>
      </c>
      <c r="E7" s="13"/>
      <c r="F7" s="22" t="str">
        <f>IFERROR(VLOOKUP(F13,InvoiceDetails,5,FALSE)," ")</f>
        <v> - </v>
      </c>
      <c r="G7" s="23"/>
      <c r="H7" s="24"/>
      <c r="I7" s="25" t="str">
        <f>IFERROR(VLOOKUP(F13,InvoiceDetails,6,FALSE)," ")</f>
        <v> - </v>
      </c>
      <c r="J7" s="26"/>
      <c r="K7" s="27"/>
    </row>
    <row r="8" ht="12.75" customHeight="1">
      <c r="A8" s="10"/>
      <c r="B8" s="12" t="s">
        <v>8</v>
      </c>
      <c r="C8" s="28" t="s">
        <v>9</v>
      </c>
      <c r="D8" s="10"/>
      <c r="E8" s="13"/>
      <c r="F8" s="7" t="s">
        <v>10</v>
      </c>
      <c r="G8" s="8"/>
      <c r="H8" s="9"/>
      <c r="I8" s="8" t="s">
        <v>11</v>
      </c>
      <c r="J8" s="9"/>
      <c r="K8" s="10"/>
      <c r="L8" s="29"/>
      <c r="N8" s="30"/>
    </row>
    <row r="9" ht="12.75" customHeight="1">
      <c r="A9" s="10"/>
      <c r="B9" s="12" t="s">
        <v>12</v>
      </c>
      <c r="C9" s="10" t="s">
        <v>13</v>
      </c>
      <c r="D9" s="10"/>
      <c r="E9" s="31">
        <v>440034.0</v>
      </c>
      <c r="F9" s="22" t="str">
        <f>IFERROR(VLOOKUP(F13,InvoiceDetails,7,FALSE)," ")</f>
        <v> - </v>
      </c>
      <c r="G9" s="23"/>
      <c r="H9" s="32"/>
      <c r="I9" s="22" t="str">
        <f>IFERROR(VLOOKUP(#REF!,InvoiceDetails,8,FALSE)," ")</f>
        <v> </v>
      </c>
      <c r="J9" s="18"/>
      <c r="K9" s="33"/>
      <c r="M9" s="30"/>
    </row>
    <row r="10" ht="12.75" customHeight="1">
      <c r="A10" s="10"/>
      <c r="B10" s="34" t="s">
        <v>14</v>
      </c>
      <c r="C10" s="35" t="s">
        <v>15</v>
      </c>
      <c r="D10" s="35"/>
      <c r="E10" s="36"/>
      <c r="F10" s="7" t="s">
        <v>16</v>
      </c>
      <c r="G10" s="8"/>
      <c r="H10" s="9"/>
      <c r="I10" s="8" t="s">
        <v>3</v>
      </c>
      <c r="J10" s="9"/>
      <c r="K10" s="10"/>
    </row>
    <row r="11" ht="12.75" customHeight="1">
      <c r="A11" s="30"/>
      <c r="B11" s="37" t="s">
        <v>17</v>
      </c>
      <c r="C11" s="38"/>
      <c r="D11" s="38"/>
      <c r="E11" s="39"/>
      <c r="F11" s="40" t="str">
        <f>IFERROR(VLOOKUP(F13,InvoiceDetails,9,FALSE)," ")</f>
        <v>-</v>
      </c>
      <c r="G11" s="35"/>
      <c r="H11" s="36"/>
      <c r="I11" s="41">
        <f>IFERROR(VLOOKUP(F13,InvoiceDetails,10,FALSE)," ")</f>
        <v>46102</v>
      </c>
      <c r="J11" s="42"/>
      <c r="K11" s="33"/>
    </row>
    <row r="12" ht="12.75" customHeight="1">
      <c r="A12" s="43"/>
      <c r="B12" s="44" t="str">
        <f>VLOOKUP(F13,InvoiceDetails,2,FALSE)</f>
        <v>GAURI,S TAVA TADKA</v>
      </c>
      <c r="E12" s="42"/>
      <c r="F12" s="45" t="s">
        <v>18</v>
      </c>
      <c r="G12" s="8"/>
      <c r="H12" s="8"/>
      <c r="I12" s="7" t="s">
        <v>19</v>
      </c>
      <c r="J12" s="9"/>
      <c r="K12" s="10"/>
    </row>
    <row r="13" ht="12.75" customHeight="1">
      <c r="A13" s="46"/>
      <c r="B13" s="47" t="str">
        <f>VLOOKUP(B12,CustDetail1,2,FALSE)</f>
        <v>HARIDARSHAN APARTMENT TRIMURTI NAGAR BESIDE KRISHNA DENTAL CLINIC</v>
      </c>
      <c r="E13" s="42"/>
      <c r="F13" s="48" t="s">
        <v>20</v>
      </c>
      <c r="H13" s="49"/>
      <c r="I13" s="50" t="str">
        <f>IFERROR(VLOOKUP(#REF!,InvoiceDetails,12,FALSE)," ")</f>
        <v> </v>
      </c>
      <c r="J13" s="13"/>
      <c r="K13" s="10"/>
    </row>
    <row r="14" ht="12.75" customHeight="1">
      <c r="A14" s="46"/>
      <c r="B14" s="51"/>
      <c r="E14" s="42"/>
      <c r="F14" s="48"/>
      <c r="H14" s="49"/>
      <c r="I14" s="40"/>
      <c r="J14" s="36"/>
      <c r="K14" s="10"/>
    </row>
    <row r="15" ht="12.75" customHeight="1">
      <c r="A15" s="46"/>
      <c r="B15" s="51"/>
      <c r="E15" s="42"/>
      <c r="F15" s="7" t="s">
        <v>21</v>
      </c>
      <c r="G15" s="8"/>
      <c r="H15" s="9"/>
      <c r="I15" s="10" t="s">
        <v>22</v>
      </c>
      <c r="J15" s="13"/>
      <c r="K15" s="10"/>
    </row>
    <row r="16" ht="12.75" customHeight="1">
      <c r="A16" s="10"/>
      <c r="B16" s="12" t="s">
        <v>8</v>
      </c>
      <c r="C16" s="28" t="str">
        <f>VLOOKUP(B12,CustDetail1,3,FALSE)</f>
        <v/>
      </c>
      <c r="D16" s="10"/>
      <c r="E16" s="10"/>
      <c r="F16" s="52" t="str">
        <f>IFERROR(VLOOKUP(F13,InvoiceDetails,13,FALSE)," ")</f>
        <v>SELF PICKUP</v>
      </c>
      <c r="H16" s="42"/>
      <c r="I16" s="53" t="str">
        <f>IFERROR(VLOOKUP(F13,InvoiceDetails,14,FALSE)," ")</f>
        <v>NAGPUR</v>
      </c>
      <c r="J16" s="42"/>
      <c r="K16" s="54"/>
      <c r="M16" s="55"/>
    </row>
    <row r="17" ht="12.75" customHeight="1">
      <c r="A17" s="10"/>
      <c r="B17" s="12" t="s">
        <v>12</v>
      </c>
      <c r="C17" s="10" t="str">
        <f>VLOOKUP(B12,CustDetail1,4,FALSE)</f>
        <v>MAHARASHTRA</v>
      </c>
      <c r="D17" s="10"/>
      <c r="E17" s="56" t="str">
        <f>VLOOKUP(B12,CustDetail1,5,FALSE)</f>
        <v/>
      </c>
      <c r="F17" s="34"/>
      <c r="G17" s="57" t="s">
        <v>23</v>
      </c>
      <c r="H17" s="36"/>
      <c r="I17" s="35"/>
      <c r="J17" s="36"/>
      <c r="K17" s="10"/>
    </row>
    <row r="18" ht="12.75" customHeight="1">
      <c r="A18" s="10"/>
      <c r="B18" s="12" t="s">
        <v>14</v>
      </c>
      <c r="C18" s="10" t="str">
        <f>VLOOKUP(B12,CustDetail1,6,FALSE)</f>
        <v/>
      </c>
      <c r="D18" s="10"/>
      <c r="E18" s="13"/>
      <c r="F18" s="7" t="s">
        <v>24</v>
      </c>
      <c r="G18" s="8"/>
      <c r="H18" s="9"/>
      <c r="I18" s="8" t="s">
        <v>25</v>
      </c>
      <c r="J18" s="9"/>
      <c r="K18" s="10"/>
    </row>
    <row r="19" ht="12.75" customHeight="1">
      <c r="A19" s="10"/>
      <c r="B19" s="12"/>
      <c r="C19" s="10"/>
      <c r="D19" s="10"/>
      <c r="E19" s="13"/>
      <c r="F19" s="58" t="str">
        <f>IFERROR(VLOOKUP(#REF!,InvoiceDetails,15,FALSE)," ")</f>
        <v> </v>
      </c>
      <c r="G19" s="10"/>
      <c r="H19" s="13"/>
      <c r="I19" s="59" t="str">
        <f>IFERROR(VLOOKUP(F13,InvoiceDetails,16,FALSE)," ")</f>
        <v/>
      </c>
      <c r="J19" s="60"/>
      <c r="K19" s="61"/>
    </row>
    <row r="20" ht="12.75" customHeight="1">
      <c r="A20" s="10"/>
      <c r="B20" s="12"/>
      <c r="C20" s="10"/>
      <c r="D20" s="10"/>
      <c r="E20" s="36"/>
      <c r="F20" s="34"/>
      <c r="G20" s="35"/>
      <c r="H20" s="36"/>
      <c r="I20" s="35"/>
      <c r="J20" s="36"/>
      <c r="K20" s="10"/>
    </row>
    <row r="21" ht="12.75" customHeight="1">
      <c r="A21" s="30"/>
      <c r="B21" s="37" t="s">
        <v>26</v>
      </c>
      <c r="C21" s="38"/>
      <c r="D21" s="38"/>
      <c r="E21" s="39"/>
      <c r="F21" s="62" t="s">
        <v>27</v>
      </c>
      <c r="G21" s="30"/>
      <c r="H21" s="30"/>
      <c r="I21" s="30"/>
      <c r="J21" s="63"/>
      <c r="K21" s="30"/>
    </row>
    <row r="22" ht="12.75" customHeight="1">
      <c r="A22" s="43"/>
      <c r="B22" s="44" t="str">
        <f>VLOOKUP(F13,InvoiceDetails,2,FALSE)</f>
        <v>GAURI,S TAVA TADKA</v>
      </c>
      <c r="E22" s="42"/>
      <c r="F22" s="62"/>
      <c r="G22" s="30"/>
      <c r="H22" s="30"/>
      <c r="I22" s="30"/>
      <c r="J22" s="63"/>
      <c r="K22" s="30"/>
    </row>
    <row r="23" ht="12.75" customHeight="1">
      <c r="A23" s="46"/>
      <c r="B23" s="47" t="str">
        <f>VLOOKUP(B22,CustDetail1,2,FALSE)</f>
        <v>HARIDARSHAN APARTMENT TRIMURTI NAGAR BESIDE KRISHNA DENTAL CLINIC</v>
      </c>
      <c r="E23" s="42"/>
      <c r="F23" s="62"/>
      <c r="G23" s="30"/>
      <c r="H23" s="30"/>
      <c r="I23" s="30"/>
      <c r="J23" s="63"/>
      <c r="K23" s="30"/>
    </row>
    <row r="24" ht="12.75" customHeight="1">
      <c r="A24" s="46"/>
      <c r="B24" s="51"/>
      <c r="E24" s="42"/>
      <c r="F24" s="62"/>
      <c r="G24" s="30"/>
      <c r="H24" s="30"/>
      <c r="I24" s="30"/>
      <c r="J24" s="63"/>
      <c r="K24" s="30"/>
    </row>
    <row r="25" ht="12.75" customHeight="1">
      <c r="A25" s="10"/>
      <c r="B25" s="12" t="s">
        <v>8</v>
      </c>
      <c r="C25" s="54" t="str">
        <f>VLOOKUP(B12,CustDetail1,3,FALSE)</f>
        <v/>
      </c>
      <c r="D25" s="30"/>
      <c r="E25" s="63"/>
      <c r="F25" s="62"/>
      <c r="G25" s="30"/>
      <c r="H25" s="30"/>
      <c r="I25" s="30"/>
      <c r="J25" s="63"/>
      <c r="K25" s="30"/>
    </row>
    <row r="26" ht="12.75" customHeight="1">
      <c r="A26" s="10"/>
      <c r="B26" s="12" t="s">
        <v>12</v>
      </c>
      <c r="C26" s="64" t="str">
        <f>VLOOKUP(B12,CustDetail1,4,FALSE)</f>
        <v>MAHARASHTRA</v>
      </c>
      <c r="D26" s="30"/>
      <c r="E26" s="65" t="str">
        <f>VLOOKUP(B12,CustDetail1,5,FALSE)</f>
        <v/>
      </c>
      <c r="F26" s="62"/>
      <c r="G26" s="30"/>
      <c r="H26" s="30"/>
      <c r="I26" s="30"/>
      <c r="J26" s="63"/>
      <c r="K26" s="30"/>
    </row>
    <row r="27" ht="12.75" customHeight="1">
      <c r="A27" s="10"/>
      <c r="B27" s="12" t="s">
        <v>14</v>
      </c>
      <c r="C27" s="20" t="str">
        <f>VLOOKUP(B12,CustDetail1,6,FALSE)</f>
        <v/>
      </c>
      <c r="D27" s="30"/>
      <c r="E27" s="63"/>
      <c r="F27" s="66"/>
      <c r="G27" s="15"/>
      <c r="H27" s="15"/>
      <c r="I27" s="15"/>
      <c r="J27" s="67"/>
      <c r="K27" s="30"/>
    </row>
    <row r="28" ht="12.75" customHeight="1">
      <c r="A28" s="68"/>
      <c r="B28" s="69" t="s">
        <v>28</v>
      </c>
      <c r="C28" s="70" t="s">
        <v>29</v>
      </c>
      <c r="D28" s="71"/>
      <c r="E28" s="72"/>
      <c r="F28" s="73" t="s">
        <v>30</v>
      </c>
      <c r="G28" s="73" t="s">
        <v>31</v>
      </c>
      <c r="H28" s="73" t="s">
        <v>32</v>
      </c>
      <c r="I28" s="73" t="s">
        <v>33</v>
      </c>
      <c r="J28" s="73" t="s">
        <v>34</v>
      </c>
      <c r="K28" s="68"/>
    </row>
    <row r="29" ht="12.75" customHeight="1">
      <c r="A29" s="74"/>
      <c r="B29" s="75">
        <v>1.0</v>
      </c>
      <c r="C29" s="76" t="str">
        <f>IFERROR(VLOOKUP(F13,InvoiceDetails,17,FALSE)," ")</f>
        <v>BIOMASS PELLET STOVE 15KG</v>
      </c>
      <c r="D29" s="77"/>
      <c r="E29" s="78"/>
      <c r="F29" s="79" t="str">
        <f>IFERROR(VLOOKUP(F13,InvoiceDetails,18,FALSE)," ")</f>
        <v/>
      </c>
      <c r="G29" s="80">
        <f>IFERROR(VLOOKUP(F13,InvoiceDetails,19,FALSE)," ")</f>
        <v>1</v>
      </c>
      <c r="H29" s="81">
        <f>IFERROR(VLOOKUP(F13,InvoiceDetails,20,FALSE)," ")</f>
        <v>19000</v>
      </c>
      <c r="I29" s="82" t="str">
        <f>IFERROR(VLOOKUP(F13,InvoiceDetails,21,FALSE)," ")</f>
        <v>PCS</v>
      </c>
      <c r="J29" s="83">
        <f>IFERROR(VLOOKUP(F13,InvoiceDetails,22,FALSE)," ")</f>
        <v>19000</v>
      </c>
      <c r="K29" s="84"/>
    </row>
    <row r="30" ht="12.75" customHeight="1">
      <c r="A30" s="30"/>
      <c r="B30" s="85"/>
      <c r="C30" s="86"/>
      <c r="D30" s="87"/>
      <c r="E30" s="88"/>
      <c r="F30" s="85"/>
      <c r="G30" s="62"/>
      <c r="H30" s="62"/>
      <c r="I30" s="89"/>
      <c r="J30" s="90"/>
      <c r="K30" s="84"/>
    </row>
    <row r="31" ht="12.75" customHeight="1">
      <c r="A31" s="30"/>
      <c r="B31" s="85"/>
      <c r="C31" s="86"/>
      <c r="D31" s="87"/>
      <c r="E31" s="91" t="s">
        <v>35</v>
      </c>
      <c r="F31" s="85"/>
      <c r="G31" s="62"/>
      <c r="H31" s="92" t="str">
        <f>IFERROR(VLOOKUP(#REF!,InvoiceDetails,23,FALSE)," ")</f>
        <v> </v>
      </c>
      <c r="I31" s="89"/>
      <c r="J31" s="90">
        <f>IFERROR(VLOOKUP(F13,InvoiceDetails,30,FALSE)," ")</f>
        <v>475</v>
      </c>
      <c r="K31" s="84"/>
    </row>
    <row r="32" ht="12.75" customHeight="1">
      <c r="A32" s="30"/>
      <c r="B32" s="85"/>
      <c r="C32" s="86"/>
      <c r="D32" s="87"/>
      <c r="E32" s="91" t="s">
        <v>36</v>
      </c>
      <c r="F32" s="85"/>
      <c r="G32" s="62"/>
      <c r="H32" s="92" t="str">
        <f>IFERROR(VLOOKUP(#REF!,InvoiceDetails,24,FALSE)," ")</f>
        <v> </v>
      </c>
      <c r="I32" s="89"/>
      <c r="J32" s="90">
        <f>IFERROR(VLOOKUP(F13,InvoiceDetails,31,FALSE)," ")</f>
        <v>475</v>
      </c>
      <c r="K32" s="84"/>
    </row>
    <row r="33" ht="12.75" customHeight="1">
      <c r="A33" s="30"/>
      <c r="B33" s="85"/>
      <c r="C33" s="86"/>
      <c r="D33" s="87"/>
      <c r="E33" s="91" t="s">
        <v>37</v>
      </c>
      <c r="F33" s="85"/>
      <c r="G33" s="62"/>
      <c r="H33" s="62"/>
      <c r="I33" s="89"/>
      <c r="J33" s="93">
        <f>IFERROR(VLOOKUP(F13,InvoiceDetails,27,FALSE)," ")</f>
        <v>0</v>
      </c>
      <c r="K33" s="94"/>
    </row>
    <row r="34" ht="12.75" customHeight="1">
      <c r="A34" s="30"/>
      <c r="B34" s="85"/>
      <c r="C34" s="86"/>
      <c r="D34" s="87"/>
      <c r="E34" s="91"/>
      <c r="F34" s="85"/>
      <c r="G34" s="62"/>
      <c r="H34" s="62"/>
      <c r="I34" s="89"/>
      <c r="J34" s="90"/>
      <c r="K34" s="84"/>
    </row>
    <row r="35" ht="12.75" customHeight="1">
      <c r="A35" s="30"/>
      <c r="B35" s="85"/>
      <c r="C35" s="86"/>
      <c r="D35" s="87"/>
      <c r="E35" s="95" t="s">
        <v>38</v>
      </c>
      <c r="F35" s="85"/>
      <c r="G35" s="62"/>
      <c r="H35" s="62"/>
      <c r="I35" s="89"/>
      <c r="J35" s="90" t="str">
        <f>IFERROR(VLOOKUP(F13,InvoiceDetails,28,FALSE)," ")</f>
        <v/>
      </c>
      <c r="K35" s="84"/>
    </row>
    <row r="36" ht="12.75" customHeight="1">
      <c r="A36" s="30"/>
      <c r="B36" s="85"/>
      <c r="C36" s="86"/>
      <c r="D36" s="87"/>
      <c r="E36" s="88"/>
      <c r="F36" s="85"/>
      <c r="G36" s="62"/>
      <c r="H36" s="62"/>
      <c r="I36" s="89"/>
      <c r="J36" s="90"/>
      <c r="K36" s="84"/>
    </row>
    <row r="37" ht="12.75" customHeight="1">
      <c r="A37" s="30"/>
      <c r="B37" s="85"/>
      <c r="C37" s="86"/>
      <c r="D37" s="87"/>
      <c r="E37" s="88"/>
      <c r="F37" s="85"/>
      <c r="G37" s="62"/>
      <c r="H37" s="62"/>
      <c r="I37" s="89"/>
      <c r="J37" s="90"/>
      <c r="K37" s="84"/>
    </row>
    <row r="38" ht="12.75" customHeight="1">
      <c r="A38" s="30"/>
      <c r="B38" s="85"/>
      <c r="C38" s="86"/>
      <c r="D38" s="87"/>
      <c r="E38" s="88"/>
      <c r="F38" s="85"/>
      <c r="G38" s="62"/>
      <c r="H38" s="62"/>
      <c r="I38" s="89"/>
      <c r="J38" s="90"/>
      <c r="K38" s="84"/>
    </row>
    <row r="39" ht="12.75" customHeight="1">
      <c r="A39" s="30"/>
      <c r="B39" s="85"/>
      <c r="C39" s="86"/>
      <c r="D39" s="87"/>
      <c r="E39" s="88"/>
      <c r="F39" s="85"/>
      <c r="G39" s="62"/>
      <c r="H39" s="62"/>
      <c r="I39" s="89"/>
      <c r="J39" s="90"/>
      <c r="K39" s="84"/>
    </row>
    <row r="40" ht="12.75" customHeight="1">
      <c r="A40" s="30"/>
      <c r="B40" s="96"/>
      <c r="C40" s="97"/>
      <c r="D40" s="98"/>
      <c r="E40" s="99" t="s">
        <v>39</v>
      </c>
      <c r="F40" s="100"/>
      <c r="G40" s="101">
        <f>SUM(G29:G39)</f>
        <v>1</v>
      </c>
      <c r="H40" s="102"/>
      <c r="I40" s="100"/>
      <c r="J40" s="103">
        <f>IFERROR(VLOOKUP(F13,InvoiceDetails,26,FALSE)," ")</f>
        <v>19950</v>
      </c>
      <c r="K40" s="104"/>
    </row>
    <row r="41" ht="12.75" customHeight="1">
      <c r="A41" s="105"/>
      <c r="B41" s="106" t="s">
        <v>40</v>
      </c>
      <c r="C41" s="107"/>
      <c r="D41" s="107"/>
      <c r="E41" s="107"/>
      <c r="F41" s="107"/>
      <c r="G41" s="107"/>
      <c r="H41" s="107"/>
      <c r="I41" s="107"/>
      <c r="J41" s="108" t="s">
        <v>41</v>
      </c>
      <c r="K41" s="109"/>
    </row>
    <row r="42" ht="12.75" customHeight="1">
      <c r="A42" s="105"/>
      <c r="B42" s="110" t="s">
        <v>42</v>
      </c>
      <c r="C42" s="111" t="str">
        <f>"INR"&amp;CHOOSE(LEFT(TEXT(J40,"000000000.00"))+1,,"One","Two","Three","Four","Five","Six","Seven","Eight","Nine")
&amp;IF(--LEFT(TEXT(J40,"000000000.00"))=0,,IF(AND(--MID(TEXT(J40,"000000000.00"),2,1)=0,--MID(TEXT(J40,"000000000.00"),3,1)=0)," Hundred"," Hundred and "))
&amp;CHOOSE(MID(TEXT(J40,"000000000.00"),2,1)+1,,,"Twenty ","Thirty ","Forty ","Fifty ","Sixty ","Seventy ","Eighty ","Ninety ")
&amp;IF(--MID(TEXT(J40,"000000000.00"),2,1)&lt;&gt;1,CHOOSE(MID(TEXT(J40,"000000000.00"),3,1)+1,,"One","Two","Three","Four","Five","Six","Seven","Eight","Nine"),
CHOOSE(MID(TEXT(J40,"000000000.00"),3,1)+1,"Ten","Eleven","Twelve","Thirteen","Fourteen","Fifteen","Sixteen","Seventeen","Eighteen","Nineteen"))
&amp;IF((--LEFT(TEXT(J40,"000000000.00"))+MID(TEXT(J40,"000000000.00"),2,1)+MID(TEXT(J40,"000000000.00"),3,1))=0,,IF(AND((--MID(TEXT(J40,"000000000.00"),4,1)+MID(TEXT(J40,"000000000.00"),5,1)+MID(TEXT(J40,"000000000.00"),6,1)+MID(TEXT(J40,"000000000.00"),7,1))=0,(--MID(TEXT(J40,"000000000.00"),8,1)+RIGHT(TEXT(J40,"000000000.00")))&gt;0)," Million and "," Million "))
&amp;CHOOSE(MID(TEXT(J40,"000000000.00"),4,1)+1,,"One","Two","Three","Four","Five","Six","Seven","Eight","Nine")
&amp;IF(--MID(TEXT(J40,"000000000.00"),4,1)=0,,IF(AND(--MID(TEXT(J40,"000000000.00"),5,1)=0,--MID(TEXT(J40,"000000000.00"),6,1)=0)," Hundred"," Hundred and"))
&amp;CHOOSE(MID(TEXT(J40,"000000000.00"),5,1)+1,,," Twenty"," Thirty"," Forty"," Fifty"," Sixty"," Seventy"," Eighty"," Ninety")
&amp;IF(--MID(TEXT(J40,"000000000.00"),5,1)&lt;&gt;1,CHOOSE(MID(TEXT(J40,"000000000.00"),6,1)+1,," One"," Two"," Three"," Four"," Five"," Six"," Seven"," Eight"," Nine"),CHOOSE(MID(TEXT(J40,"000000000.00"),6,1)+1," Ten"," Eleven"," Twelve"," Thirteen"," Fourteen"," Fifteen"," Sixteen"," Seventeen"," Eighteen"," Nineteen"))
&amp;IF((--MID(TEXT(J40,"000000000.00"),4,1)+MID(TEXT(J40,"000000000.00"),5,1)+MID(TEXT(J40,"000000000.00"),6,1))=0,,IF(OR((--MID(TEXT(J40,"000000000.00"),7,1)+MID(TEXT(J40,"000000000.00"),8,1)+MID(TEXT(J40,"000000000.00"),9,1))=0,--MID(TEXT(J40,"000000000.00"),7,1)&lt;&gt;0)," Thousand "," Thousand and "))
&amp;CHOOSE(MID(TEXT(J40,"000000000.00"),7,1)+1,,"One","Two","Three","Four","Five","Six","Seven","Eight","Nine")
&amp;IF(--MID(TEXT(J40,"000000000.00"),7,1)=0,,IF(AND(--MID(TEXT(J40,"000000000.00"),8,1)=0,--MID(TEXT(J40,"000000000.00"),9,1)=0)," Hundred "," Hundred and "))&amp;
CHOOSE(MID(TEXT(J40,"000000000.00"),8,1)+1,,,"Twenty ","Thirty ","Forty ","Fifty ","Sixty ","Seventy ","Eighty ","Ninety ")
&amp;IF(--MID(TEXT(J40,"000000000.00"),8,1)&lt;&gt;1,CHOOSE(MID(TEXT(J40,"000000000.00"),9,1)+1,,"One","Two","Three","Four","Five","Six","Seven","Eight","Nine"),CHOOSE(MID(TEXT(J40,"000000000.00"),9,1)+1,"Ten","Eleven","Twelve","Thirteen","Fourteen","Fifteen","Sixteen","Seventeen","Eighteen","Nineteen"))
&amp;IF(RIGHT(TEXT(J40,"000000000.00"),2)&gt;"000000000.00"," &amp; "&amp;RIGHT(TEXT(J40,"000000000.00"),2)&amp;" Paise Only.","Only.")</f>
        <v>INR Nineteen Thousand Nine Hundred and Fifty Only.</v>
      </c>
      <c r="D42" s="112"/>
      <c r="E42" s="112"/>
      <c r="F42" s="112"/>
      <c r="G42" s="112"/>
      <c r="H42" s="112"/>
      <c r="I42" s="112"/>
      <c r="J42" s="113"/>
      <c r="K42" s="105"/>
    </row>
    <row r="43" ht="12.75" customHeight="1">
      <c r="A43" s="114"/>
      <c r="B43" s="115" t="s">
        <v>30</v>
      </c>
      <c r="C43" s="5"/>
      <c r="D43" s="6"/>
      <c r="E43" s="116" t="s">
        <v>43</v>
      </c>
      <c r="F43" s="117" t="s">
        <v>44</v>
      </c>
      <c r="G43" s="18"/>
      <c r="H43" s="117" t="s">
        <v>45</v>
      </c>
      <c r="I43" s="18"/>
      <c r="J43" s="118" t="s">
        <v>46</v>
      </c>
      <c r="K43" s="119"/>
    </row>
    <row r="44" ht="12.75" customHeight="1">
      <c r="A44" s="114"/>
      <c r="B44" s="120"/>
      <c r="C44" s="23"/>
      <c r="D44" s="18"/>
      <c r="E44" s="121"/>
      <c r="F44" s="110" t="s">
        <v>32</v>
      </c>
      <c r="G44" s="122" t="s">
        <v>34</v>
      </c>
      <c r="H44" s="122" t="s">
        <v>32</v>
      </c>
      <c r="I44" s="122" t="s">
        <v>34</v>
      </c>
      <c r="J44" s="121"/>
      <c r="K44" s="119"/>
    </row>
    <row r="45" ht="12.75" customHeight="1">
      <c r="A45" s="123"/>
      <c r="B45" s="124" t="str">
        <f>IFERROR(VLOOKUP(F13,InvoiceDetails,18,FALSE)," ")</f>
        <v/>
      </c>
      <c r="C45" s="71"/>
      <c r="D45" s="72"/>
      <c r="E45" s="125">
        <f>IFERROR(VLOOKUP(F13,InvoiceDetails,26,FALSE)," ")</f>
        <v>19950</v>
      </c>
      <c r="F45" s="126">
        <f>IFERROR(VLOOKUP(F13,InvoiceDetails,23,FALSE)," ")</f>
        <v>0.025</v>
      </c>
      <c r="G45" s="125">
        <f>IFERROR(VLOOKUP(F13,InvoiceDetails,30,FALSE)," ")</f>
        <v>475</v>
      </c>
      <c r="H45" s="126">
        <f>IFERROR(VLOOKUP(F13,InvoiceDetails,24,FALSE)," ")</f>
        <v>0.025</v>
      </c>
      <c r="I45" s="125">
        <f>IFERROR(VLOOKUP(F13,InvoiceDetails,31,FALSE)," ")</f>
        <v>475</v>
      </c>
      <c r="J45" s="125">
        <f>IFERROR(VLOOKUP(F13,InvoiceDetails,33,FALSE)," ")</f>
        <v>950</v>
      </c>
      <c r="K45" s="127"/>
    </row>
    <row r="46" ht="12.75" customHeight="1">
      <c r="A46" s="128"/>
      <c r="B46" s="129" t="s">
        <v>39</v>
      </c>
      <c r="C46" s="71"/>
      <c r="D46" s="72"/>
      <c r="E46" s="130">
        <f>E45</f>
        <v>19950</v>
      </c>
      <c r="F46" s="130"/>
      <c r="G46" s="130">
        <f>G45</f>
        <v>475</v>
      </c>
      <c r="H46" s="130"/>
      <c r="I46" s="130">
        <f t="shared" ref="I46:J46" si="1">I45</f>
        <v>475</v>
      </c>
      <c r="J46" s="130">
        <f t="shared" si="1"/>
        <v>950</v>
      </c>
      <c r="K46" s="131"/>
    </row>
    <row r="47" ht="12.75" customHeight="1">
      <c r="A47" s="105"/>
      <c r="B47" s="132" t="s">
        <v>47</v>
      </c>
      <c r="C47" s="105"/>
      <c r="D47" s="105"/>
      <c r="E47" s="105"/>
      <c r="F47" s="105"/>
      <c r="G47" s="105"/>
      <c r="H47" s="105"/>
      <c r="I47" s="105"/>
      <c r="J47" s="133"/>
      <c r="K47" s="105"/>
    </row>
    <row r="48" ht="12.75" customHeight="1">
      <c r="A48" s="105"/>
      <c r="B48" s="132" t="s">
        <v>42</v>
      </c>
      <c r="C48" s="105" t="str">
        <f>"INR"&amp;CHOOSE(LEFT(TEXT(J46,"000000000.00"))+1,,"One","Two","Three","Four","Five","Six","Seven","Eight","Nine")
&amp;IF(--LEFT(TEXT(J46,"000000000.00"))=0,,IF(AND(--MID(TEXT(J46,"000000000.00"),2,1)=0,--MID(TEXT(J46,"000000000.00"),3,1)=0)," Hundred"," Hundred and "))
&amp;CHOOSE(MID(TEXT(J46,"000000000.00"),2,1)+1,,,"Twenty ","Thirty ","Forty ","Fifty ","Sixty ","Seventy ","Eighty ","Ninety ")
&amp;IF(--MID(TEXT(J46,"000000000.00"),2,1)&lt;&gt;1,CHOOSE(MID(TEXT(J46,"000000000.00"),3,1)+1,,"One","Two","Three","Four","Five","Six","Seven","Eight","Nine"),
CHOOSE(MID(TEXT(J46,"000000000.00"),3,1)+1,"Ten","Eleven","Twelve","Thirteen","Fourteen","Fifteen","Sixteen","Seventeen","Eighteen","Nineteen"))
&amp;IF((--LEFT(TEXT(J46,"000000000.00"))+MID(TEXT(J46,"000000000.00"),2,1)+MID(TEXT(J46,"000000000.00"),3,1))=0,,IF(AND((--MID(TEXT(J46,"000000000.00"),4,1)+MID(TEXT(J46,"000000000.00"),5,1)+MID(TEXT(J46,"000000000.00"),6,1)+MID(TEXT(J46,"000000000.00"),7,1))=0,(--MID(TEXT(J46,"000000000.00"),8,1)+RIGHT(TEXT(J46,"000000000.00")))&gt;0)," Million and "," Million "))
&amp;CHOOSE(MID(TEXT(J46,"000000000.00"),4,1)+1,,"One","Two","Three","Four","Five","Six","Seven","Eight","Nine")
&amp;IF(--MID(TEXT(J46,"000000000.00"),4,1)=0,,IF(AND(--MID(TEXT(J46,"000000000.00"),5,1)=0,--MID(TEXT(J46,"000000000.00"),6,1)=0)," Hundred"," Hundred and"))
&amp;CHOOSE(MID(TEXT(J46,"000000000.00"),5,1)+1,,," Twenty"," Thirty"," Forty"," Fifty"," Sixty"," Seventy"," Eighty"," Ninety")
&amp;IF(--MID(TEXT(J46,"000000000.00"),5,1)&lt;&gt;1,CHOOSE(MID(TEXT(J46,"000000000.00"),6,1)+1,," One"," Two"," Three"," Four"," Five"," Six"," Seven"," Eight"," Nine"),CHOOSE(MID(TEXT(J46,"000000000.00"),6,1)+1," Ten"," Eleven"," Twelve"," Thirteen"," Fourteen"," Fifteen"," Sixteen"," Seventeen"," Eighteen"," Nineteen"))
&amp;IF((--MID(TEXT(J46,"000000000.00"),4,1)+MID(TEXT(J46,"000000000.00"),5,1)+MID(TEXT(J46,"000000000.00"),6,1))=0,,IF(OR((--MID(TEXT(J46,"000000000.00"),7,1)+MID(TEXT(J46,"000000000.00"),8,1)+MID(TEXT(J46,"000000000.00"),9,1))=0,--MID(TEXT(J46,"000000000.00"),7,1)&lt;&gt;0)," Thousand "," Thousand and "))
&amp;CHOOSE(MID(TEXT(J46,"000000000.00"),7,1)+1,,"One","Two","Three","Four","Five","Six","Seven","Eight","Nine")
&amp;IF(--MID(TEXT(J46,"000000000.00"),7,1)=0,,IF(AND(--MID(TEXT(J46,"000000000.00"),8,1)=0,--MID(TEXT(J46,"000000000.00"),9,1)=0)," Hundred "," Hundred and "))&amp;
CHOOSE(MID(TEXT(J46,"000000000.00"),8,1)+1,,,"Twenty ","Thirty ","Forty ","Fifty ","Sixty ","Seventy ","Eighty ","Ninety ")
&amp;IF(--MID(TEXT(J46,"000000000.00"),8,1)&lt;&gt;1,CHOOSE(MID(TEXT(J46,"000000000.00"),9,1)+1,,"One","Two","Three","Four","Five","Six","Seven","Eight","Nine"),CHOOSE(MID(TEXT(J46,"000000000.00"),9,1)+1,"Ten","Eleven","Twelve","Thirteen","Fourteen","Fifteen","Sixteen","Seventeen","Eighteen","Nineteen"))
&amp;IF(RIGHT(TEXT(J46,"000000000.00"),2)&gt;"000000000.00"," &amp; "&amp;RIGHT(TEXT(J46,"000000000.00"),2)&amp;" Paise Only.","Only.")</f>
        <v>INRNine Hundred and Fifty Only.</v>
      </c>
      <c r="D48" s="105"/>
      <c r="E48" s="105"/>
      <c r="F48" s="105"/>
      <c r="G48" s="105"/>
      <c r="H48" s="105"/>
      <c r="I48" s="105"/>
      <c r="J48" s="133"/>
      <c r="K48" s="105"/>
    </row>
    <row r="49" ht="12.75" customHeight="1">
      <c r="A49" s="105"/>
      <c r="B49" s="132"/>
      <c r="C49" s="105"/>
      <c r="D49" s="105"/>
      <c r="E49" s="105"/>
      <c r="G49" s="105"/>
      <c r="H49" s="105"/>
      <c r="I49" s="105"/>
      <c r="J49" s="133"/>
      <c r="K49" s="105"/>
    </row>
    <row r="50" ht="12.75" customHeight="1">
      <c r="A50" s="105"/>
      <c r="B50" s="132" t="s">
        <v>48</v>
      </c>
      <c r="C50" s="105"/>
      <c r="D50" s="105"/>
      <c r="E50" s="105"/>
      <c r="F50" s="134" t="s">
        <v>49</v>
      </c>
      <c r="H50" s="134" t="s">
        <v>50</v>
      </c>
      <c r="I50" s="105"/>
      <c r="J50" s="133"/>
      <c r="K50" s="105"/>
    </row>
    <row r="51" ht="12.75" customHeight="1">
      <c r="A51" s="105"/>
      <c r="B51" s="132"/>
      <c r="C51" s="105"/>
      <c r="D51" s="105"/>
      <c r="E51" s="105"/>
      <c r="F51" s="134" t="s">
        <v>51</v>
      </c>
      <c r="H51" s="135">
        <v>3.9935045918E10</v>
      </c>
      <c r="I51" s="105"/>
      <c r="J51" s="133"/>
      <c r="K51" s="105"/>
    </row>
    <row r="52" ht="12.75" customHeight="1">
      <c r="A52" s="105"/>
      <c r="B52" s="132" t="s">
        <v>52</v>
      </c>
      <c r="C52" s="105" t="s">
        <v>53</v>
      </c>
      <c r="D52" s="105"/>
      <c r="E52" s="105"/>
      <c r="F52" s="134" t="s">
        <v>54</v>
      </c>
      <c r="H52" s="134" t="s">
        <v>55</v>
      </c>
      <c r="I52" s="105"/>
      <c r="J52" s="133"/>
      <c r="K52" s="105"/>
    </row>
    <row r="53" ht="12.75" customHeight="1">
      <c r="A53" s="105"/>
      <c r="B53" s="132" t="s">
        <v>56</v>
      </c>
      <c r="C53" s="105"/>
      <c r="D53" s="105"/>
      <c r="E53" s="105"/>
      <c r="F53" s="134"/>
      <c r="G53" s="105"/>
      <c r="H53" s="105"/>
      <c r="I53" s="105"/>
      <c r="J53" s="133"/>
      <c r="K53" s="105"/>
    </row>
    <row r="54" ht="12.75" customHeight="1">
      <c r="A54" s="136"/>
      <c r="B54" s="137" t="s">
        <v>57</v>
      </c>
      <c r="E54" s="42"/>
      <c r="F54" s="115"/>
      <c r="G54" s="138"/>
      <c r="H54" s="139" t="s">
        <v>58</v>
      </c>
      <c r="I54" s="138"/>
      <c r="J54" s="140"/>
      <c r="K54" s="114"/>
    </row>
    <row r="55" ht="12.75" customHeight="1">
      <c r="A55" s="136"/>
      <c r="B55" s="51"/>
      <c r="E55" s="42"/>
      <c r="F55" s="141"/>
      <c r="G55" s="114"/>
      <c r="H55" s="114"/>
      <c r="I55" s="114"/>
      <c r="J55" s="142"/>
      <c r="K55" s="114"/>
    </row>
    <row r="56" ht="12.75" customHeight="1">
      <c r="A56" s="136"/>
      <c r="B56" s="51"/>
      <c r="E56" s="42"/>
      <c r="F56" s="141"/>
      <c r="G56" s="114"/>
      <c r="H56" s="114"/>
      <c r="I56" s="114"/>
      <c r="J56" s="142"/>
      <c r="K56" s="114"/>
    </row>
    <row r="57" ht="12.75" customHeight="1">
      <c r="A57" s="136"/>
      <c r="B57" s="120"/>
      <c r="C57" s="23"/>
      <c r="D57" s="23"/>
      <c r="E57" s="18"/>
      <c r="F57" s="143"/>
      <c r="G57" s="144"/>
      <c r="H57" s="144" t="s">
        <v>59</v>
      </c>
      <c r="I57" s="144"/>
      <c r="J57" s="145"/>
      <c r="K57" s="114"/>
    </row>
    <row r="58" ht="12.75" customHeight="1">
      <c r="A58" s="114"/>
      <c r="B58" s="138" t="s">
        <v>60</v>
      </c>
      <c r="C58" s="5"/>
      <c r="D58" s="5"/>
      <c r="E58" s="5"/>
      <c r="F58" s="5"/>
      <c r="G58" s="5"/>
      <c r="H58" s="5"/>
      <c r="I58" s="5"/>
      <c r="J58" s="5"/>
      <c r="K58" s="114"/>
    </row>
    <row r="59" ht="12.75" customHeight="1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05"/>
    </row>
    <row r="60" ht="12.75" customHeight="1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</row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28">
    <mergeCell ref="B2:J2"/>
    <mergeCell ref="B4:E4"/>
    <mergeCell ref="I5:J5"/>
    <mergeCell ref="B7:D7"/>
    <mergeCell ref="F7:G7"/>
    <mergeCell ref="L8:M8"/>
    <mergeCell ref="F9:G9"/>
    <mergeCell ref="I9:J9"/>
    <mergeCell ref="I11:J11"/>
    <mergeCell ref="B12:E12"/>
    <mergeCell ref="B13:E15"/>
    <mergeCell ref="F16:H16"/>
    <mergeCell ref="I16:J16"/>
    <mergeCell ref="B22:E22"/>
    <mergeCell ref="B45:D45"/>
    <mergeCell ref="B46:D46"/>
    <mergeCell ref="F50:G50"/>
    <mergeCell ref="F51:G51"/>
    <mergeCell ref="F52:G52"/>
    <mergeCell ref="B54:E57"/>
    <mergeCell ref="B58:J58"/>
    <mergeCell ref="B23:E24"/>
    <mergeCell ref="C28:E28"/>
    <mergeCell ref="B43:D44"/>
    <mergeCell ref="E43:E44"/>
    <mergeCell ref="F43:G43"/>
    <mergeCell ref="H43:I43"/>
    <mergeCell ref="J43:J44"/>
  </mergeCells>
  <printOptions/>
  <pageMargins bottom="0.75" footer="0.0" header="0.0" left="0.7" right="0.7" top="0.75"/>
  <pageSetup paperSize="11" scale="5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showGridLines="0" workbookViewId="0"/>
  </sheetViews>
  <sheetFormatPr customHeight="1" defaultColWidth="12.63" defaultRowHeight="15.0"/>
  <cols>
    <col customWidth="1" min="1" max="1" width="2.0"/>
    <col customWidth="1" min="2" max="2" width="4.75"/>
    <col customWidth="1" min="3" max="3" width="10.5"/>
    <col customWidth="1" min="4" max="4" width="6.75"/>
    <col customWidth="1" min="5" max="5" width="10.38"/>
    <col customWidth="1" min="6" max="6" width="8.25"/>
    <col customWidth="1" min="7" max="7" width="7.63"/>
    <col customWidth="1" min="8" max="8" width="9.88"/>
    <col customWidth="1" min="9" max="9" width="8.88"/>
    <col customWidth="1" min="10" max="10" width="11.38"/>
    <col customWidth="1" min="11" max="27" width="10.0"/>
  </cols>
  <sheetData>
    <row r="1" ht="12.75" customHeight="1"/>
    <row r="2" ht="12.75" customHeight="1">
      <c r="A2" s="2"/>
      <c r="B2" s="2" t="s">
        <v>0</v>
      </c>
    </row>
    <row r="3" ht="12.75" customHeight="1"/>
    <row r="4" ht="12.75" customHeight="1">
      <c r="A4" s="3"/>
      <c r="B4" s="4" t="s">
        <v>1</v>
      </c>
      <c r="C4" s="5"/>
      <c r="D4" s="5"/>
      <c r="E4" s="6"/>
      <c r="F4" s="7" t="s">
        <v>2</v>
      </c>
      <c r="G4" s="8"/>
      <c r="H4" s="9"/>
      <c r="I4" s="8" t="s">
        <v>3</v>
      </c>
      <c r="J4" s="9"/>
      <c r="L4" s="11"/>
    </row>
    <row r="5" ht="12.75" customHeight="1">
      <c r="A5" s="10"/>
      <c r="B5" s="12" t="s">
        <v>4</v>
      </c>
      <c r="C5" s="10"/>
      <c r="D5" s="10"/>
      <c r="E5" s="13"/>
      <c r="F5" s="146">
        <f>IFERROR(VLOOKUP(F13,InvoiceDetails,11,FALSE)," ")</f>
        <v>416</v>
      </c>
      <c r="G5" s="15"/>
      <c r="H5" s="16"/>
      <c r="I5" s="17">
        <f>VLOOKUP(F13,InvoiceDetails,4,FALSE)</f>
        <v>46021</v>
      </c>
      <c r="J5" s="18"/>
    </row>
    <row r="6" ht="12.75" customHeight="1">
      <c r="A6" s="10"/>
      <c r="B6" s="12" t="s">
        <v>5</v>
      </c>
      <c r="C6" s="10"/>
      <c r="D6" s="10"/>
      <c r="E6" s="13"/>
      <c r="F6" s="7" t="s">
        <v>6</v>
      </c>
      <c r="G6" s="8"/>
      <c r="H6" s="9"/>
      <c r="I6" s="8" t="s">
        <v>7</v>
      </c>
      <c r="J6" s="9"/>
    </row>
    <row r="7" ht="12.75" customHeight="1">
      <c r="A7" s="20"/>
      <c r="B7" s="21">
        <v>8.550952303E9</v>
      </c>
      <c r="E7" s="13"/>
      <c r="F7" s="22" t="str">
        <f>IFERROR(VLOOKUP(F13,InvoiceDetails,5,FALSE)," ")</f>
        <v> - </v>
      </c>
      <c r="G7" s="23"/>
      <c r="H7" s="24"/>
      <c r="I7" s="147" t="str">
        <f>IFERROR(VLOOKUP(F13,InvoiceDetails,6,FALSE)," ")</f>
        <v> - </v>
      </c>
      <c r="J7" s="18"/>
    </row>
    <row r="8" ht="12.75" customHeight="1">
      <c r="A8" s="10"/>
      <c r="B8" s="12" t="s">
        <v>8</v>
      </c>
      <c r="C8" s="28" t="s">
        <v>9</v>
      </c>
      <c r="D8" s="10"/>
      <c r="E8" s="13"/>
      <c r="F8" s="7" t="s">
        <v>10</v>
      </c>
      <c r="G8" s="8"/>
      <c r="H8" s="9"/>
      <c r="I8" s="8" t="s">
        <v>11</v>
      </c>
      <c r="J8" s="9"/>
      <c r="K8" s="29"/>
      <c r="M8" s="30"/>
    </row>
    <row r="9" ht="12.75" customHeight="1">
      <c r="A9" s="10"/>
      <c r="B9" s="12" t="s">
        <v>12</v>
      </c>
      <c r="C9" s="10" t="s">
        <v>13</v>
      </c>
      <c r="D9" s="10"/>
      <c r="E9" s="31">
        <v>440034.0</v>
      </c>
      <c r="F9" s="22" t="str">
        <f>IFERROR(VLOOKUP(F13,InvoiceDetails,7,FALSE)," ")</f>
        <v>DM- 283</v>
      </c>
      <c r="G9" s="23"/>
      <c r="H9" s="32"/>
      <c r="I9" s="22" t="str">
        <f>IFERROR(VLOOKUP(F13,InvoiceDetails,8,FALSE)," ")</f>
        <v> - </v>
      </c>
      <c r="J9" s="18"/>
      <c r="L9" s="30"/>
    </row>
    <row r="10" ht="12.75" customHeight="1">
      <c r="A10" s="10"/>
      <c r="B10" s="34" t="s">
        <v>14</v>
      </c>
      <c r="C10" s="35" t="s">
        <v>15</v>
      </c>
      <c r="D10" s="35"/>
      <c r="E10" s="36"/>
      <c r="F10" s="7" t="s">
        <v>16</v>
      </c>
      <c r="G10" s="8"/>
      <c r="H10" s="9"/>
      <c r="I10" s="8" t="s">
        <v>3</v>
      </c>
      <c r="J10" s="9"/>
    </row>
    <row r="11" ht="12.75" customHeight="1">
      <c r="A11" s="30"/>
      <c r="B11" s="37" t="s">
        <v>17</v>
      </c>
      <c r="C11" s="38"/>
      <c r="D11" s="38"/>
      <c r="E11" s="39"/>
      <c r="F11" s="40" t="str">
        <f>IFERROR(VLOOKUP(F13,InvoiceDetails,9,FALSE)," ")</f>
        <v>-</v>
      </c>
      <c r="G11" s="35"/>
      <c r="H11" s="36"/>
      <c r="I11" s="22">
        <f>IFERROR(VLOOKUP(F13,InvoiceDetails,10,FALSE)," ")</f>
        <v>46021</v>
      </c>
      <c r="J11" s="18"/>
    </row>
    <row r="12" ht="12.75" customHeight="1">
      <c r="A12" s="43"/>
      <c r="B12" s="44" t="str">
        <f>VLOOKUP(F13,InvoiceDetails,2,FALSE)</f>
        <v>EXOTIC HOSPITALITY NAGPUR PVT LTD</v>
      </c>
      <c r="E12" s="42"/>
      <c r="F12" s="7" t="s">
        <v>61</v>
      </c>
      <c r="G12" s="8"/>
      <c r="H12" s="9"/>
      <c r="I12" s="8" t="s">
        <v>19</v>
      </c>
      <c r="J12" s="9"/>
    </row>
    <row r="13" ht="12.75" customHeight="1">
      <c r="A13" s="46"/>
      <c r="B13" s="148" t="str">
        <f>'CUSTOMER DETAILS'!C60</f>
        <v>TATHASTU PENCH PENCH TIGER RESERVE AWARGHANI TURIA SEONI</v>
      </c>
      <c r="E13" s="42"/>
      <c r="F13" s="48" t="s">
        <v>62</v>
      </c>
      <c r="G13" s="35"/>
      <c r="H13" s="32"/>
      <c r="I13" s="149" t="str">
        <f>IFERROR(VLOOKUP(F13,InvoiceDetails,12,FALSE)," ")</f>
        <v>-</v>
      </c>
      <c r="J13" s="36"/>
    </row>
    <row r="14" ht="12.75" customHeight="1">
      <c r="A14" s="46"/>
      <c r="B14" s="51"/>
      <c r="E14" s="42"/>
      <c r="F14" s="7" t="s">
        <v>21</v>
      </c>
      <c r="G14" s="8"/>
      <c r="H14" s="9"/>
      <c r="I14" s="8" t="s">
        <v>22</v>
      </c>
      <c r="J14" s="9"/>
    </row>
    <row r="15" ht="12.75" customHeight="1">
      <c r="A15" s="10"/>
      <c r="B15" s="12" t="s">
        <v>8</v>
      </c>
      <c r="C15" s="28" t="str">
        <f>'CUSTOMER DETAILS'!D60</f>
        <v>23AAACE8761B1Z0</v>
      </c>
      <c r="D15" s="10"/>
      <c r="E15" s="10"/>
      <c r="F15" s="52" t="str">
        <f>IFERROR(VLOOKUP(F13,InvoiceDetails,13,FALSE)," ")</f>
        <v>SELF PICKUP</v>
      </c>
      <c r="H15" s="42"/>
      <c r="I15" s="53" t="str">
        <f>IFERROR(VLOOKUP(F13,InvoiceDetails,14,FALSE)," ")</f>
        <v>SOENI M.P</v>
      </c>
      <c r="J15" s="42"/>
    </row>
    <row r="16" ht="12.75" customHeight="1">
      <c r="A16" s="10"/>
      <c r="B16" s="12" t="s">
        <v>12</v>
      </c>
      <c r="C16" s="10" t="str">
        <f>'CUSTOMER DETAILS'!E60</f>
        <v>MADHYA PRADESH</v>
      </c>
      <c r="D16" s="10"/>
      <c r="E16" s="56"/>
      <c r="F16" s="34"/>
      <c r="G16" s="35"/>
      <c r="H16" s="36"/>
      <c r="I16" s="35"/>
      <c r="J16" s="36"/>
    </row>
    <row r="17" ht="12.75" customHeight="1">
      <c r="A17" s="10"/>
      <c r="B17" s="12" t="s">
        <v>14</v>
      </c>
      <c r="C17" s="10" t="str">
        <f>'CUSTOMER DETAILS'!G60</f>
        <v>ravi@sandeepdwellers.com</v>
      </c>
      <c r="D17" s="10"/>
      <c r="E17" s="13"/>
      <c r="F17" s="7" t="s">
        <v>24</v>
      </c>
      <c r="G17" s="8"/>
      <c r="H17" s="9"/>
      <c r="I17" s="8" t="s">
        <v>25</v>
      </c>
      <c r="J17" s="9"/>
    </row>
    <row r="18" ht="12.75" customHeight="1">
      <c r="A18" s="10"/>
      <c r="B18" s="12"/>
      <c r="C18" s="10"/>
      <c r="D18" s="10"/>
      <c r="E18" s="13"/>
      <c r="F18" s="58" t="str">
        <f>IFERROR(VLOOKUP(F13,InvoiceDetails,15,FALSE)," ")</f>
        <v> - </v>
      </c>
      <c r="G18" s="10"/>
      <c r="H18" s="13"/>
      <c r="I18" s="52" t="str">
        <f>IFERROR(VLOOKUP(F13,InvoiceDetails,16,FALSE)," ")</f>
        <v>MH-49BZ-1179</v>
      </c>
      <c r="J18" s="42"/>
    </row>
    <row r="19" ht="12.75" customHeight="1">
      <c r="A19" s="10"/>
      <c r="B19" s="12"/>
      <c r="C19" s="10"/>
      <c r="D19" s="10"/>
      <c r="E19" s="36"/>
      <c r="F19" s="34"/>
      <c r="G19" s="35"/>
      <c r="H19" s="36"/>
      <c r="I19" s="35"/>
      <c r="J19" s="36"/>
    </row>
    <row r="20" ht="12.75" customHeight="1">
      <c r="A20" s="30"/>
      <c r="B20" s="37" t="s">
        <v>26</v>
      </c>
      <c r="C20" s="38"/>
      <c r="D20" s="38"/>
      <c r="E20" s="39"/>
      <c r="F20" s="62" t="s">
        <v>27</v>
      </c>
      <c r="G20" s="30"/>
      <c r="H20" s="30"/>
      <c r="I20" s="30"/>
      <c r="J20" s="63"/>
    </row>
    <row r="21" ht="12.75" customHeight="1">
      <c r="A21" s="43"/>
      <c r="B21" s="44" t="str">
        <f>VLOOKUP(F13,InvoiceDetails,2,FALSE)</f>
        <v>EXOTIC HOSPITALITY NAGPUR PVT LTD</v>
      </c>
      <c r="E21" s="42"/>
      <c r="F21" s="62"/>
      <c r="G21" s="30"/>
      <c r="H21" s="30"/>
      <c r="I21" s="30"/>
      <c r="J21" s="63"/>
    </row>
    <row r="22" ht="12.75" customHeight="1">
      <c r="A22" s="46"/>
      <c r="B22" s="47" t="str">
        <f>B13</f>
        <v>TATHASTU PENCH PENCH TIGER RESERVE AWARGHANI TURIA SEONI</v>
      </c>
      <c r="E22" s="42"/>
      <c r="F22" s="62"/>
      <c r="G22" s="30"/>
      <c r="H22" s="30"/>
      <c r="I22" s="30"/>
      <c r="J22" s="63"/>
    </row>
    <row r="23" ht="12.75" customHeight="1">
      <c r="A23" s="46"/>
      <c r="B23" s="51"/>
      <c r="E23" s="42"/>
      <c r="F23" s="62"/>
      <c r="G23" s="30"/>
      <c r="H23" s="30"/>
      <c r="I23" s="30"/>
      <c r="J23" s="63"/>
    </row>
    <row r="24" ht="12.75" customHeight="1">
      <c r="A24" s="10"/>
      <c r="B24" s="12" t="s">
        <v>8</v>
      </c>
      <c r="C24" s="54" t="str">
        <f t="shared" ref="C24:C26" si="1">C15</f>
        <v>23AAACE8761B1Z0</v>
      </c>
      <c r="D24" s="30"/>
      <c r="E24" s="63"/>
      <c r="F24" s="62"/>
      <c r="G24" s="30"/>
      <c r="H24" s="30"/>
      <c r="I24" s="30"/>
      <c r="J24" s="63"/>
    </row>
    <row r="25" ht="12.75" customHeight="1">
      <c r="A25" s="10"/>
      <c r="B25" s="12" t="s">
        <v>12</v>
      </c>
      <c r="C25" s="64" t="str">
        <f t="shared" si="1"/>
        <v>MADHYA PRADESH</v>
      </c>
      <c r="D25" s="30"/>
      <c r="E25" s="65"/>
      <c r="F25" s="62"/>
      <c r="G25" s="30"/>
      <c r="H25" s="30"/>
      <c r="I25" s="30"/>
      <c r="J25" s="63"/>
    </row>
    <row r="26" ht="12.75" customHeight="1">
      <c r="A26" s="10"/>
      <c r="B26" s="12" t="s">
        <v>14</v>
      </c>
      <c r="C26" s="20" t="str">
        <f t="shared" si="1"/>
        <v>ravi@sandeepdwellers.com</v>
      </c>
      <c r="D26" s="30"/>
      <c r="E26" s="63"/>
      <c r="F26" s="66"/>
      <c r="G26" s="15"/>
      <c r="H26" s="15"/>
      <c r="I26" s="15"/>
      <c r="J26" s="67"/>
    </row>
    <row r="27" ht="12.75" customHeight="1">
      <c r="A27" s="68"/>
      <c r="B27" s="69" t="s">
        <v>28</v>
      </c>
      <c r="C27" s="70" t="s">
        <v>29</v>
      </c>
      <c r="D27" s="71"/>
      <c r="E27" s="72"/>
      <c r="F27" s="73" t="s">
        <v>30</v>
      </c>
      <c r="G27" s="73" t="s">
        <v>31</v>
      </c>
      <c r="H27" s="73" t="s">
        <v>32</v>
      </c>
      <c r="I27" s="73" t="s">
        <v>33</v>
      </c>
      <c r="J27" s="73" t="s">
        <v>34</v>
      </c>
    </row>
    <row r="28" ht="12.75" customHeight="1">
      <c r="A28" s="74"/>
      <c r="B28" s="75">
        <v>1.0</v>
      </c>
      <c r="C28" s="76" t="str">
        <f>IFERROR(VLOOKUP(F13,InvoiceDetails,17,FALSE)," ")</f>
        <v>BIOMASS BRIQUETTE 90MM</v>
      </c>
      <c r="D28" s="77"/>
      <c r="E28" s="78"/>
      <c r="F28" s="79"/>
      <c r="G28" s="80">
        <f>IFERROR(VLOOKUP(F13,InvoiceDetails,19,FALSE)," ")</f>
        <v>2120</v>
      </c>
      <c r="H28" s="81">
        <f>IFERROR(VLOOKUP(F13,InvoiceDetails,20,FALSE)," ")</f>
        <v>8.15</v>
      </c>
      <c r="I28" s="82" t="str">
        <f>IFERROR(VLOOKUP(F13,InvoiceDetails,21,FALSE)," ")</f>
        <v>KG</v>
      </c>
      <c r="J28" s="83">
        <f>IFERROR(VLOOKUP(F13,InvoiceDetails,22,FALSE)," ")</f>
        <v>17278</v>
      </c>
    </row>
    <row r="29" ht="12.75" customHeight="1">
      <c r="A29" s="30"/>
      <c r="B29" s="85"/>
      <c r="C29" s="86"/>
      <c r="D29" s="87"/>
      <c r="E29" s="88"/>
      <c r="F29" s="85"/>
      <c r="G29" s="62"/>
      <c r="H29" s="62"/>
      <c r="I29" s="89"/>
      <c r="J29" s="90"/>
    </row>
    <row r="30" ht="12.75" customHeight="1">
      <c r="A30" s="30"/>
      <c r="B30" s="85"/>
      <c r="C30" s="86"/>
      <c r="D30" s="87"/>
      <c r="E30" s="95" t="s">
        <v>63</v>
      </c>
      <c r="F30" s="85"/>
      <c r="G30" s="62"/>
      <c r="H30" s="92">
        <f>IFERROR(VLOOKUP(F13,InvoiceDetails,25,FALSE)," ")</f>
        <v>0.05</v>
      </c>
      <c r="I30" s="89"/>
      <c r="J30" s="90">
        <f>IFERROR(VLOOKUP(F13,InvoiceDetails,32,FALSE)," ")</f>
        <v>863.9</v>
      </c>
    </row>
    <row r="31" ht="12.75" customHeight="1">
      <c r="A31" s="30"/>
      <c r="B31" s="85"/>
      <c r="C31" s="86"/>
      <c r="D31" s="87"/>
      <c r="E31" s="91"/>
      <c r="F31" s="85"/>
      <c r="G31" s="62"/>
      <c r="H31" s="92"/>
      <c r="I31" s="89"/>
      <c r="J31" s="90"/>
    </row>
    <row r="32" ht="12.75" customHeight="1">
      <c r="A32" s="30"/>
      <c r="B32" s="85"/>
      <c r="C32" s="86"/>
      <c r="D32" s="87"/>
      <c r="E32" s="91" t="s">
        <v>37</v>
      </c>
      <c r="F32" s="85"/>
      <c r="G32" s="62"/>
      <c r="H32" s="62"/>
      <c r="I32" s="89"/>
      <c r="J32" s="93">
        <f>IFERROR(VLOOKUP(F13,InvoiceDetails,27,FALSE)," ")</f>
        <v>0.1</v>
      </c>
    </row>
    <row r="33" ht="12.75" customHeight="1">
      <c r="A33" s="30"/>
      <c r="B33" s="85"/>
      <c r="C33" s="86"/>
      <c r="D33" s="87"/>
      <c r="E33" s="91"/>
      <c r="F33" s="85"/>
      <c r="G33" s="62"/>
      <c r="H33" s="62"/>
      <c r="I33" s="89"/>
      <c r="J33" s="90"/>
    </row>
    <row r="34" ht="12.75" customHeight="1">
      <c r="A34" s="30"/>
      <c r="B34" s="85"/>
      <c r="C34" s="86"/>
      <c r="D34" s="87"/>
      <c r="E34" s="95" t="s">
        <v>64</v>
      </c>
      <c r="F34" s="85"/>
      <c r="G34" s="62"/>
      <c r="H34" s="62"/>
      <c r="I34" s="89"/>
      <c r="J34" s="90" t="str">
        <f>IFERROR(VLOOKUP(F13,InvoiceDetails,28,FALSE)," ")</f>
        <v/>
      </c>
    </row>
    <row r="35" ht="12.75" customHeight="1">
      <c r="A35" s="30"/>
      <c r="B35" s="85"/>
      <c r="C35" s="86"/>
      <c r="D35" s="87"/>
      <c r="E35" s="88"/>
      <c r="F35" s="85"/>
      <c r="G35" s="62"/>
      <c r="H35" s="62"/>
      <c r="I35" s="89"/>
      <c r="J35" s="90"/>
    </row>
    <row r="36" ht="12.75" customHeight="1">
      <c r="A36" s="30"/>
      <c r="B36" s="85"/>
      <c r="C36" s="86"/>
      <c r="D36" s="87"/>
      <c r="E36" s="88"/>
      <c r="F36" s="85"/>
      <c r="G36" s="62"/>
      <c r="H36" s="62"/>
      <c r="I36" s="89"/>
      <c r="J36" s="90"/>
    </row>
    <row r="37" ht="12.75" customHeight="1">
      <c r="A37" s="30"/>
      <c r="B37" s="85"/>
      <c r="C37" s="86"/>
      <c r="D37" s="87"/>
      <c r="E37" s="88"/>
      <c r="F37" s="85"/>
      <c r="G37" s="62"/>
      <c r="H37" s="62"/>
      <c r="I37" s="89"/>
      <c r="J37" s="90"/>
    </row>
    <row r="38" ht="12.75" customHeight="1">
      <c r="A38" s="30"/>
      <c r="B38" s="85"/>
      <c r="C38" s="86"/>
      <c r="D38" s="87"/>
      <c r="E38" s="88"/>
      <c r="F38" s="85"/>
      <c r="G38" s="62"/>
      <c r="H38" s="62"/>
      <c r="I38" s="89"/>
      <c r="J38" s="90"/>
    </row>
    <row r="39" ht="12.75" customHeight="1">
      <c r="A39" s="30"/>
      <c r="B39" s="96"/>
      <c r="C39" s="97"/>
      <c r="D39" s="98"/>
      <c r="E39" s="99" t="s">
        <v>39</v>
      </c>
      <c r="F39" s="100"/>
      <c r="G39" s="101">
        <f>SUM(G28:G38)</f>
        <v>2120</v>
      </c>
      <c r="H39" s="102"/>
      <c r="I39" s="100"/>
      <c r="J39" s="103">
        <f>IFERROR(VLOOKUP(F13,InvoiceDetails,26,FALSE)," ")</f>
        <v>18142</v>
      </c>
    </row>
    <row r="40" ht="12.75" customHeight="1">
      <c r="A40" s="105"/>
      <c r="B40" s="106" t="s">
        <v>40</v>
      </c>
      <c r="C40" s="107"/>
      <c r="D40" s="107"/>
      <c r="E40" s="107"/>
      <c r="F40" s="107"/>
      <c r="G40" s="107"/>
      <c r="H40" s="107"/>
      <c r="I40" s="107"/>
      <c r="J40" s="108" t="s">
        <v>41</v>
      </c>
    </row>
    <row r="41" ht="12.75" customHeight="1">
      <c r="A41" s="105"/>
      <c r="B41" s="110" t="s">
        <v>42</v>
      </c>
      <c r="C41" s="111" t="str">
        <f>"INR"&amp;CHOOSE(LEFT(TEXT(J39,"000000000.00"))+1,,"One","Two","Three","Four","Five","Six","Seven","Eight","Nine")
&amp;IF(--LEFT(TEXT(J39,"000000000.00"))=0,,IF(AND(--MID(TEXT(J39,"000000000.00"),2,1)=0,--MID(TEXT(J39,"000000000.00"),3,1)=0)," Hundred"," Hundred and "))
&amp;CHOOSE(MID(TEXT(J39,"000000000.00"),2,1)+1,,,"Twenty ","Thirty ","Forty ","Fifty ","Sixty ","Seventy ","Eighty ","Ninety ")
&amp;IF(--MID(TEXT(J39,"000000000.00"),2,1)&lt;&gt;1,CHOOSE(MID(TEXT(J39,"000000000.00"),3,1)+1,,"One","Two","Three","Four","Five","Six","Seven","Eight","Nine"),
CHOOSE(MID(TEXT(J39,"000000000.00"),3,1)+1,"Ten","Eleven","Twelve","Thirteen","Fourteen","Fifteen","Sixteen","Seventeen","Eighteen","Nineteen"))
&amp;IF((--LEFT(TEXT(J39,"000000000.00"))+MID(TEXT(J39,"000000000.00"),2,1)+MID(TEXT(J39,"000000000.00"),3,1))=0,,IF(AND((--MID(TEXT(J39,"000000000.00"),4,1)+MID(TEXT(J39,"000000000.00"),5,1)+MID(TEXT(J39,"000000000.00"),6,1)+MID(TEXT(J39,"000000000.00"),7,1))=0,(--MID(TEXT(J39,"000000000.00"),8,1)+RIGHT(TEXT(J39,"000000000.00")))&gt;0)," Million and "," Million "))
&amp;CHOOSE(MID(TEXT(J39,"000000000.00"),4,1)+1,,"One","Two","Three","Four","Five","Six","Seven","Eight","Nine")
&amp;IF(--MID(TEXT(J39,"000000000.00"),4,1)=0,,IF(AND(--MID(TEXT(J39,"000000000.00"),5,1)=0,--MID(TEXT(J39,"000000000.00"),6,1)=0)," Hundred"," Hundred and"))
&amp;CHOOSE(MID(TEXT(J39,"000000000.00"),5,1)+1,,," Twenty"," Thirty"," Forty"," Fifty"," Sixty"," Seventy"," Eighty"," Ninety")
&amp;IF(--MID(TEXT(J39,"000000000.00"),5,1)&lt;&gt;1,CHOOSE(MID(TEXT(J39,"000000000.00"),6,1)+1,," One"," Two"," Three"," Four"," Five"," Six"," Seven"," Eight"," Nine"),CHOOSE(MID(TEXT(J39,"000000000.00"),6,1)+1," Ten"," Eleven"," Twelve"," Thirteen"," Fourteen"," Fifteen"," Sixteen"," Seventeen"," Eighteen"," Nineteen"))
&amp;IF((--MID(TEXT(J39,"000000000.00"),4,1)+MID(TEXT(J39,"000000000.00"),5,1)+MID(TEXT(J39,"000000000.00"),6,1))=0,,IF(OR((--MID(TEXT(J39,"000000000.00"),7,1)+MID(TEXT(J39,"000000000.00"),8,1)+MID(TEXT(J39,"000000000.00"),9,1))=0,--MID(TEXT(J39,"000000000.00"),7,1)&lt;&gt;0)," Thousand "," Thousand and "))
&amp;CHOOSE(MID(TEXT(J39,"000000000.00"),7,1)+1,,"One","Two","Three","Four","Five","Six","Seven","Eight","Nine")
&amp;IF(--MID(TEXT(J39,"000000000.00"),7,1)=0,,IF(AND(--MID(TEXT(J39,"000000000.00"),8,1)=0,--MID(TEXT(J39,"000000000.00"),9,1)=0)," Hundred "," Hundred and "))&amp;
CHOOSE(MID(TEXT(J39,"000000000.00"),8,1)+1,,,"Twenty ","Thirty ","Forty ","Fifty ","Sixty ","Seventy ","Eighty ","Ninety ")
&amp;IF(--MID(TEXT(J39,"000000000.00"),8,1)&lt;&gt;1,CHOOSE(MID(TEXT(J39,"000000000.00"),9,1)+1,,"One","Two","Three","Four","Five","Six","Seven","Eight","Nine"),CHOOSE(MID(TEXT(J39,"000000000.00"),9,1)+1,"Ten","Eleven","Twelve","Thirteen","Fourteen","Fifteen","Sixteen","Seventeen","Eighteen","Nineteen"))
&amp;IF(RIGHT(TEXT(J39,"000000000.00"),2)&gt;"000000000.00"," &amp; "&amp;RIGHT(TEXT(J39,"000000000.00"),2)&amp;" Paise Only.","Only.")</f>
        <v>INR Eighteen Thousand One Hundred and Forty TwoOnly.</v>
      </c>
      <c r="D41" s="112"/>
      <c r="E41" s="112"/>
      <c r="F41" s="112"/>
      <c r="G41" s="112"/>
      <c r="H41" s="112"/>
      <c r="I41" s="112"/>
      <c r="J41" s="113"/>
    </row>
    <row r="42" ht="12.75" customHeight="1">
      <c r="A42" s="114"/>
      <c r="B42" s="115" t="s">
        <v>30</v>
      </c>
      <c r="C42" s="5"/>
      <c r="D42" s="6"/>
      <c r="E42" s="116" t="s">
        <v>43</v>
      </c>
      <c r="F42" s="117" t="s">
        <v>44</v>
      </c>
      <c r="G42" s="18"/>
      <c r="H42" s="117" t="s">
        <v>45</v>
      </c>
      <c r="I42" s="18"/>
      <c r="J42" s="118" t="s">
        <v>46</v>
      </c>
    </row>
    <row r="43" ht="12.75" customHeight="1">
      <c r="A43" s="114"/>
      <c r="B43" s="120"/>
      <c r="C43" s="23"/>
      <c r="D43" s="18"/>
      <c r="E43" s="121"/>
      <c r="F43" s="110" t="s">
        <v>32</v>
      </c>
      <c r="G43" s="122" t="s">
        <v>34</v>
      </c>
      <c r="H43" s="122" t="s">
        <v>32</v>
      </c>
      <c r="I43" s="122" t="s">
        <v>34</v>
      </c>
      <c r="J43" s="121"/>
    </row>
    <row r="44" ht="12.75" customHeight="1">
      <c r="A44" s="123"/>
      <c r="B44" s="124">
        <f>IFERROR(VLOOKUP(F13,InvoiceDetails,18,FALSE)," ")</f>
        <v>44011090</v>
      </c>
      <c r="C44" s="71"/>
      <c r="D44" s="72"/>
      <c r="E44" s="125">
        <f>IFERROR(VLOOKUP(F13,InvoiceDetails,26,FALSE)," ")</f>
        <v>18142</v>
      </c>
      <c r="F44" s="126">
        <f>IFERROR(VLOOKUP(F13,InvoiceDetails,25,FALSE)," ")</f>
        <v>0.05</v>
      </c>
      <c r="G44" s="125">
        <f>IFERROR(VLOOKUP(F13,InvoiceDetails,32,FALSE)," ")</f>
        <v>863.9</v>
      </c>
      <c r="H44" s="150">
        <v>0.0</v>
      </c>
      <c r="I44" s="151">
        <v>0.0</v>
      </c>
      <c r="J44" s="125">
        <f>IFERROR(VLOOKUP(F13,InvoiceDetails,32,FALSE)," ")</f>
        <v>863.9</v>
      </c>
    </row>
    <row r="45" ht="12.75" customHeight="1">
      <c r="A45" s="128"/>
      <c r="B45" s="129" t="s">
        <v>39</v>
      </c>
      <c r="C45" s="71"/>
      <c r="D45" s="72"/>
      <c r="E45" s="130">
        <f>E44</f>
        <v>18142</v>
      </c>
      <c r="F45" s="130"/>
      <c r="G45" s="130">
        <f>G44</f>
        <v>863.9</v>
      </c>
      <c r="H45" s="130"/>
      <c r="I45" s="130">
        <f t="shared" ref="I45:J45" si="2">I44</f>
        <v>0</v>
      </c>
      <c r="J45" s="130">
        <f t="shared" si="2"/>
        <v>863.9</v>
      </c>
    </row>
    <row r="46" ht="12.75" customHeight="1">
      <c r="A46" s="105"/>
      <c r="B46" s="132" t="s">
        <v>47</v>
      </c>
      <c r="C46" s="105"/>
      <c r="D46" s="105"/>
      <c r="E46" s="105"/>
      <c r="F46" s="105"/>
      <c r="G46" s="105"/>
      <c r="H46" s="105"/>
      <c r="I46" s="105"/>
      <c r="J46" s="133"/>
    </row>
    <row r="47" ht="12.75" customHeight="1">
      <c r="A47" s="105"/>
      <c r="B47" s="132" t="s">
        <v>42</v>
      </c>
      <c r="C47" s="105" t="str">
        <f>"INR"&amp;CHOOSE(LEFT(TEXT(J45,"000000000.00"))+1,,"One","Two","Three","Four","Five","Six","Seven","Eight","Nine")
&amp;IF(--LEFT(TEXT(J45,"000000000.00"))=0,,IF(AND(--MID(TEXT(J45,"000000000.00"),2,1)=0,--MID(TEXT(J45,"000000000.00"),3,1)=0)," Hundred"," Hundred and "))
&amp;CHOOSE(MID(TEXT(J45,"000000000.00"),2,1)+1,,,"Twenty ","Thirty ","Forty ","Fifty ","Sixty ","Seventy ","Eighty ","Ninety ")
&amp;IF(--MID(TEXT(J45,"000000000.00"),2,1)&lt;&gt;1,CHOOSE(MID(TEXT(J45,"000000000.00"),3,1)+1,,"One","Two","Three","Four","Five","Six","Seven","Eight","Nine"),
CHOOSE(MID(TEXT(J45,"000000000.00"),3,1)+1,"Ten","Eleven","Twelve","Thirteen","Fourteen","Fifteen","Sixteen","Seventeen","Eighteen","Nineteen"))
&amp;IF((--LEFT(TEXT(J45,"000000000.00"))+MID(TEXT(J45,"000000000.00"),2,1)+MID(TEXT(J45,"000000000.00"),3,1))=0,,IF(AND((--MID(TEXT(J45,"000000000.00"),4,1)+MID(TEXT(J45,"000000000.00"),5,1)+MID(TEXT(J45,"000000000.00"),6,1)+MID(TEXT(J45,"000000000.00"),7,1))=0,(--MID(TEXT(J45,"000000000.00"),8,1)+RIGHT(TEXT(J45,"000000000.00")))&gt;0)," Million and "," Million "))
&amp;CHOOSE(MID(TEXT(J45,"000000000.00"),4,1)+1,,"One","Two","Three","Four","Five","Six","Seven","Eight","Nine")
&amp;IF(--MID(TEXT(J45,"000000000.00"),4,1)=0,,IF(AND(--MID(TEXT(J45,"000000000.00"),5,1)=0,--MID(TEXT(J45,"000000000.00"),6,1)=0)," Hundred"," Hundred and"))
&amp;CHOOSE(MID(TEXT(J45,"000000000.00"),5,1)+1,,," Twenty"," Thirty"," Forty"," Fifty"," Sixty"," Seventy"," Eighty"," Ninety")
&amp;IF(--MID(TEXT(J45,"000000000.00"),5,1)&lt;&gt;1,CHOOSE(MID(TEXT(J45,"000000000.00"),6,1)+1,," One"," Two"," Three"," Four"," Five"," Six"," Seven"," Eight"," Nine"),CHOOSE(MID(TEXT(J45,"000000000.00"),6,1)+1," Ten"," Eleven"," Twelve"," Thirteen"," Fourteen"," Fifteen"," Sixteen"," Seventeen"," Eighteen"," Nineteen"))
&amp;IF((--MID(TEXT(J45,"000000000.00"),4,1)+MID(TEXT(J45,"000000000.00"),5,1)+MID(TEXT(J45,"000000000.00"),6,1))=0,,IF(OR((--MID(TEXT(J45,"000000000.00"),7,1)+MID(TEXT(J45,"000000000.00"),8,1)+MID(TEXT(J45,"000000000.00"),9,1))=0,--MID(TEXT(J45,"000000000.00"),7,1)&lt;&gt;0)," Thousand "," Thousand and "))
&amp;CHOOSE(MID(TEXT(J45,"000000000.00"),7,1)+1,,"One","Two","Three","Four","Five","Six","Seven","Eight","Nine")
&amp;IF(--MID(TEXT(J45,"000000000.00"),7,1)=0,,IF(AND(--MID(TEXT(J45,"000000000.00"),8,1)=0,--MID(TEXT(J45,"000000000.00"),9,1)=0)," Hundred "," Hundred and "))&amp;
CHOOSE(MID(TEXT(J45,"000000000.00"),8,1)+1,,,"Twenty ","Thirty ","Forty ","Fifty ","Sixty ","Seventy ","Eighty ","Ninety ")
&amp;IF(--MID(TEXT(J45,"000000000.00"),8,1)&lt;&gt;1,CHOOSE(MID(TEXT(J45,"000000000.00"),9,1)+1,,"One","Two","Three","Four","Five","Six","Seven","Eight","Nine"),CHOOSE(MID(TEXT(J45,"000000000.00"),9,1)+1,"Ten","Eleven","Twelve","Thirteen","Fourteen","Fifteen","Sixteen","Seventeen","Eighteen","Nineteen"))
&amp;IF(RIGHT(TEXT(J45,"000000000.00"),2)&gt;"000000000.00"," &amp; "&amp;RIGHT(TEXT(J45,"000000000.00"),2)&amp;" Paise Only.","Only.")</f>
        <v>INREight Hundred and Sixty Three &amp; 90 Paise Only.</v>
      </c>
      <c r="D47" s="105"/>
      <c r="E47" s="105"/>
      <c r="F47" s="105"/>
      <c r="G47" s="105"/>
      <c r="H47" s="105"/>
      <c r="I47" s="105"/>
      <c r="J47" s="133"/>
    </row>
    <row r="48" ht="12.75" customHeight="1">
      <c r="A48" s="105"/>
      <c r="B48" s="132"/>
      <c r="C48" s="105"/>
      <c r="D48" s="105"/>
      <c r="E48" s="105"/>
      <c r="G48" s="105"/>
      <c r="H48" s="105"/>
      <c r="I48" s="105"/>
      <c r="J48" s="133"/>
    </row>
    <row r="49" ht="12.75" customHeight="1">
      <c r="A49" s="105"/>
      <c r="B49" s="132" t="s">
        <v>48</v>
      </c>
      <c r="C49" s="105"/>
      <c r="D49" s="105"/>
      <c r="E49" s="105"/>
      <c r="F49" s="134" t="s">
        <v>49</v>
      </c>
      <c r="H49" s="134" t="s">
        <v>50</v>
      </c>
      <c r="I49" s="105"/>
      <c r="J49" s="133"/>
    </row>
    <row r="50" ht="12.75" customHeight="1">
      <c r="A50" s="105"/>
      <c r="B50" s="132"/>
      <c r="C50" s="105"/>
      <c r="D50" s="105"/>
      <c r="E50" s="105"/>
      <c r="F50" s="134" t="s">
        <v>65</v>
      </c>
      <c r="H50" s="135">
        <v>3.9935045918E10</v>
      </c>
      <c r="I50" s="105"/>
      <c r="J50" s="133"/>
    </row>
    <row r="51" ht="12.75" customHeight="1">
      <c r="A51" s="105"/>
      <c r="B51" s="132" t="s">
        <v>52</v>
      </c>
      <c r="C51" s="105" t="s">
        <v>53</v>
      </c>
      <c r="D51" s="105"/>
      <c r="E51" s="105"/>
      <c r="F51" s="134" t="s">
        <v>54</v>
      </c>
      <c r="H51" s="134" t="s">
        <v>55</v>
      </c>
      <c r="I51" s="105"/>
      <c r="J51" s="133"/>
    </row>
    <row r="52" ht="12.75" customHeight="1">
      <c r="A52" s="105"/>
      <c r="B52" s="132" t="s">
        <v>56</v>
      </c>
      <c r="C52" s="105"/>
      <c r="D52" s="105"/>
      <c r="E52" s="105"/>
      <c r="F52" s="134"/>
      <c r="G52" s="105"/>
      <c r="H52" s="105"/>
      <c r="I52" s="105"/>
      <c r="J52" s="133"/>
    </row>
    <row r="53" ht="12.75" customHeight="1">
      <c r="A53" s="136"/>
      <c r="B53" s="137" t="s">
        <v>57</v>
      </c>
      <c r="E53" s="42"/>
      <c r="F53" s="115"/>
      <c r="G53" s="138"/>
      <c r="H53" s="139" t="s">
        <v>66</v>
      </c>
      <c r="I53" s="138"/>
      <c r="J53" s="140"/>
    </row>
    <row r="54" ht="12.75" customHeight="1">
      <c r="A54" s="136"/>
      <c r="B54" s="51"/>
      <c r="E54" s="42"/>
      <c r="F54" s="141"/>
      <c r="G54" s="114"/>
      <c r="H54" s="114"/>
      <c r="I54" s="114"/>
      <c r="J54" s="142"/>
    </row>
    <row r="55" ht="12.75" customHeight="1">
      <c r="A55" s="136"/>
      <c r="B55" s="51"/>
      <c r="E55" s="42"/>
      <c r="F55" s="141"/>
      <c r="G55" s="114"/>
      <c r="H55" s="114"/>
      <c r="I55" s="114"/>
      <c r="J55" s="142"/>
    </row>
    <row r="56" ht="12.75" customHeight="1">
      <c r="A56" s="136"/>
      <c r="B56" s="120"/>
      <c r="C56" s="23"/>
      <c r="D56" s="23"/>
      <c r="E56" s="18"/>
      <c r="F56" s="143"/>
      <c r="G56" s="144"/>
      <c r="H56" s="144" t="s">
        <v>59</v>
      </c>
      <c r="I56" s="144"/>
      <c r="J56" s="145"/>
    </row>
    <row r="57" ht="12.75" customHeight="1">
      <c r="A57" s="114"/>
      <c r="B57" s="138" t="s">
        <v>60</v>
      </c>
      <c r="C57" s="5"/>
      <c r="D57" s="5"/>
      <c r="E57" s="5"/>
      <c r="F57" s="5"/>
      <c r="G57" s="5"/>
      <c r="H57" s="5"/>
      <c r="I57" s="5"/>
      <c r="J57" s="5"/>
    </row>
    <row r="58" ht="12.75" customHeight="1">
      <c r="A58" s="105"/>
      <c r="B58" s="105"/>
      <c r="C58" s="105"/>
      <c r="D58" s="105"/>
      <c r="E58" s="105"/>
      <c r="F58" s="105"/>
      <c r="G58" s="105"/>
      <c r="H58" s="105"/>
      <c r="I58" s="105"/>
      <c r="J58" s="105"/>
    </row>
    <row r="59" ht="12.75" customHeight="1">
      <c r="A59" s="105"/>
      <c r="B59" s="105"/>
      <c r="C59" s="105"/>
      <c r="D59" s="105"/>
      <c r="E59" s="105"/>
      <c r="F59" s="105"/>
      <c r="G59" s="105"/>
      <c r="H59" s="105"/>
      <c r="I59" s="105"/>
      <c r="J59" s="105"/>
    </row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0">
    <mergeCell ref="B2:J2"/>
    <mergeCell ref="B4:E4"/>
    <mergeCell ref="I5:J5"/>
    <mergeCell ref="B7:D7"/>
    <mergeCell ref="F7:G7"/>
    <mergeCell ref="I7:J7"/>
    <mergeCell ref="K8:L8"/>
    <mergeCell ref="F9:G9"/>
    <mergeCell ref="I9:J9"/>
    <mergeCell ref="I11:J11"/>
    <mergeCell ref="B12:E12"/>
    <mergeCell ref="F15:H15"/>
    <mergeCell ref="I15:J15"/>
    <mergeCell ref="I18:J18"/>
    <mergeCell ref="H42:I42"/>
    <mergeCell ref="J42:J43"/>
    <mergeCell ref="B44:D44"/>
    <mergeCell ref="B45:D45"/>
    <mergeCell ref="F49:G49"/>
    <mergeCell ref="F50:G50"/>
    <mergeCell ref="F51:G51"/>
    <mergeCell ref="B53:E56"/>
    <mergeCell ref="B57:J57"/>
    <mergeCell ref="B13:E14"/>
    <mergeCell ref="B21:E21"/>
    <mergeCell ref="B22:E23"/>
    <mergeCell ref="C27:E27"/>
    <mergeCell ref="B42:D43"/>
    <mergeCell ref="E42:E43"/>
    <mergeCell ref="F42:G4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showGridLines="0" workbookViewId="0"/>
  </sheetViews>
  <sheetFormatPr customHeight="1" defaultColWidth="12.63" defaultRowHeight="15.0"/>
  <cols>
    <col customWidth="1" min="1" max="1" width="2.0"/>
    <col customWidth="1" min="2" max="2" width="4.75"/>
    <col customWidth="1" min="3" max="3" width="10.5"/>
    <col customWidth="1" min="4" max="4" width="6.75"/>
    <col customWidth="1" min="5" max="5" width="10.38"/>
    <col customWidth="1" min="6" max="6" width="8.25"/>
    <col customWidth="1" min="7" max="7" width="7.63"/>
    <col customWidth="1" min="8" max="8" width="9.88"/>
    <col customWidth="1" min="9" max="9" width="8.88"/>
    <col customWidth="1" min="10" max="10" width="11.38"/>
    <col customWidth="1" min="11" max="27" width="10.0"/>
  </cols>
  <sheetData>
    <row r="1" ht="12.75" customHeight="1"/>
    <row r="2" ht="12.75" customHeight="1">
      <c r="A2" s="2"/>
      <c r="B2" s="152" t="s">
        <v>67</v>
      </c>
    </row>
    <row r="3" ht="12.75" customHeight="1"/>
    <row r="4" ht="12.75" customHeight="1">
      <c r="A4" s="3"/>
      <c r="B4" s="4" t="s">
        <v>1</v>
      </c>
      <c r="C4" s="5"/>
      <c r="D4" s="5"/>
      <c r="E4" s="6"/>
      <c r="F4" s="7" t="s">
        <v>2</v>
      </c>
      <c r="G4" s="8"/>
      <c r="H4" s="9"/>
      <c r="I4" s="8" t="s">
        <v>3</v>
      </c>
      <c r="J4" s="9"/>
      <c r="L4" s="11"/>
    </row>
    <row r="5" ht="12.75" customHeight="1">
      <c r="A5" s="10"/>
      <c r="B5" s="12" t="s">
        <v>4</v>
      </c>
      <c r="C5" s="10"/>
      <c r="D5" s="10"/>
      <c r="E5" s="13"/>
      <c r="F5" s="146" t="str">
        <f>IFERROR(VLOOKUP(F13,InvoiceDetails,11,FALSE)," ")</f>
        <v/>
      </c>
      <c r="G5" s="15"/>
      <c r="H5" s="16"/>
      <c r="I5" s="17">
        <f>VLOOKUP(F13,InvoiceDetails,4,FALSE)</f>
        <v>45757</v>
      </c>
      <c r="J5" s="18"/>
    </row>
    <row r="6" ht="12.75" customHeight="1">
      <c r="A6" s="10"/>
      <c r="B6" s="12" t="s">
        <v>5</v>
      </c>
      <c r="C6" s="10"/>
      <c r="D6" s="10"/>
      <c r="E6" s="13"/>
      <c r="F6" s="7" t="s">
        <v>6</v>
      </c>
      <c r="G6" s="8"/>
      <c r="H6" s="9"/>
      <c r="I6" s="8" t="s">
        <v>7</v>
      </c>
      <c r="J6" s="9"/>
    </row>
    <row r="7" ht="12.75" customHeight="1">
      <c r="A7" s="20"/>
      <c r="B7" s="21">
        <v>8.550952303E9</v>
      </c>
      <c r="E7" s="13"/>
      <c r="F7" s="22" t="str">
        <f>IFERROR(VLOOKUP(F13,InvoiceDetails,5,FALSE)," ")</f>
        <v> - </v>
      </c>
      <c r="G7" s="23"/>
      <c r="H7" s="24"/>
      <c r="I7" s="147" t="str">
        <f>IFERROR(VLOOKUP(F13,InvoiceDetails,6,FALSE)," ")</f>
        <v> - </v>
      </c>
      <c r="J7" s="18"/>
    </row>
    <row r="8" ht="12.75" customHeight="1">
      <c r="A8" s="10"/>
      <c r="B8" s="12" t="s">
        <v>8</v>
      </c>
      <c r="C8" s="28" t="s">
        <v>9</v>
      </c>
      <c r="D8" s="10"/>
      <c r="E8" s="13"/>
      <c r="F8" s="7" t="s">
        <v>10</v>
      </c>
      <c r="G8" s="8"/>
      <c r="H8" s="9"/>
      <c r="I8" s="8" t="s">
        <v>11</v>
      </c>
      <c r="J8" s="9"/>
      <c r="K8" s="29"/>
      <c r="M8" s="30"/>
    </row>
    <row r="9" ht="12.75" customHeight="1">
      <c r="A9" s="10"/>
      <c r="B9" s="12" t="s">
        <v>12</v>
      </c>
      <c r="C9" s="10" t="s">
        <v>13</v>
      </c>
      <c r="D9" s="10"/>
      <c r="E9" s="31">
        <v>440034.0</v>
      </c>
      <c r="F9" s="22" t="str">
        <f>IFERROR(VLOOKUP(F13,InvoiceDetails,7,FALSE)," ")</f>
        <v> - </v>
      </c>
      <c r="G9" s="23"/>
      <c r="H9" s="32"/>
      <c r="I9" s="22" t="str">
        <f>IFERROR(VLOOKUP(F13,InvoiceDetails,8,FALSE)," ")</f>
        <v>PO NO 25-26/001</v>
      </c>
      <c r="J9" s="18"/>
      <c r="L9" s="30"/>
    </row>
    <row r="10" ht="12.75" customHeight="1">
      <c r="A10" s="10"/>
      <c r="B10" s="34" t="s">
        <v>14</v>
      </c>
      <c r="C10" s="35" t="s">
        <v>15</v>
      </c>
      <c r="D10" s="35"/>
      <c r="E10" s="36"/>
      <c r="F10" s="7" t="s">
        <v>16</v>
      </c>
      <c r="G10" s="8"/>
      <c r="H10" s="9"/>
      <c r="I10" s="8" t="s">
        <v>3</v>
      </c>
      <c r="J10" s="9"/>
    </row>
    <row r="11" ht="12.75" customHeight="1">
      <c r="A11" s="30"/>
      <c r="B11" s="37" t="s">
        <v>17</v>
      </c>
      <c r="C11" s="38"/>
      <c r="D11" s="38"/>
      <c r="E11" s="39"/>
      <c r="F11" s="40" t="str">
        <f>IFERROR(VLOOKUP(F13,InvoiceDetails,9,FALSE)," ")</f>
        <v>-</v>
      </c>
      <c r="G11" s="35"/>
      <c r="H11" s="36"/>
      <c r="I11" s="22">
        <f>IFERROR(VLOOKUP(F13,InvoiceDetails,10,FALSE)," ")</f>
        <v>45757</v>
      </c>
      <c r="J11" s="18"/>
    </row>
    <row r="12" ht="12.75" customHeight="1">
      <c r="A12" s="43"/>
      <c r="B12" s="44" t="str">
        <f>VLOOKUP(F13,InvoiceDetails,2,FALSE)</f>
        <v>Sankalp Industries</v>
      </c>
      <c r="E12" s="42"/>
      <c r="F12" s="7" t="s">
        <v>61</v>
      </c>
      <c r="G12" s="8"/>
      <c r="H12" s="9"/>
      <c r="I12" s="8" t="s">
        <v>19</v>
      </c>
      <c r="J12" s="9"/>
    </row>
    <row r="13" ht="12.75" customHeight="1">
      <c r="A13" s="46"/>
      <c r="B13" s="47" t="str">
        <f>VLOOKUP(B12,CustDetail1,2,FALSE)</f>
        <v>Nimbhora Lahe, Badnera Amravati</v>
      </c>
      <c r="E13" s="42"/>
      <c r="F13" s="48" t="s">
        <v>68</v>
      </c>
      <c r="G13" s="35"/>
      <c r="H13" s="32"/>
      <c r="I13" s="149" t="str">
        <f>IFERROR(VLOOKUP(F13,InvoiceDetails,12,FALSE)," ")</f>
        <v>-</v>
      </c>
      <c r="J13" s="36"/>
    </row>
    <row r="14" ht="12.75" customHeight="1">
      <c r="A14" s="46"/>
      <c r="B14" s="51"/>
      <c r="E14" s="42"/>
      <c r="F14" s="7" t="s">
        <v>21</v>
      </c>
      <c r="G14" s="8"/>
      <c r="H14" s="9"/>
      <c r="I14" s="8" t="s">
        <v>22</v>
      </c>
      <c r="J14" s="9"/>
    </row>
    <row r="15" ht="12.75" customHeight="1">
      <c r="A15" s="10"/>
      <c r="B15" s="12" t="s">
        <v>8</v>
      </c>
      <c r="C15" s="28" t="str">
        <f>VLOOKUP(B12,CustDetail1,3,FALSE)</f>
        <v>27ACLFS7336L1ZF</v>
      </c>
      <c r="D15" s="10"/>
      <c r="E15" s="10"/>
      <c r="F15" s="52" t="str">
        <f>IFERROR(VLOOKUP(F13,InvoiceDetails,13,FALSE)," ")</f>
        <v/>
      </c>
      <c r="H15" s="42"/>
      <c r="I15" s="53" t="str">
        <f>IFERROR(VLOOKUP(F13,InvoiceDetails,14,FALSE)," ")</f>
        <v/>
      </c>
      <c r="J15" s="42"/>
    </row>
    <row r="16" ht="12.75" customHeight="1">
      <c r="A16" s="10"/>
      <c r="B16" s="12" t="s">
        <v>12</v>
      </c>
      <c r="C16" s="10" t="str">
        <f>VLOOKUP(B12,CustDetail1,4,FALSE)</f>
        <v>MAHARASHTRA</v>
      </c>
      <c r="D16" s="10"/>
      <c r="E16" s="56">
        <f>VLOOKUP(B12,CustDetail1,5,FALSE)</f>
        <v>444601</v>
      </c>
      <c r="F16" s="34"/>
      <c r="G16" s="35"/>
      <c r="H16" s="36"/>
      <c r="I16" s="35"/>
      <c r="J16" s="36"/>
    </row>
    <row r="17" ht="12.75" customHeight="1">
      <c r="A17" s="10"/>
      <c r="B17" s="12" t="s">
        <v>14</v>
      </c>
      <c r="C17" s="10" t="str">
        <f>VLOOKUP(B12,CustDetail1,6,FALSE)</f>
        <v/>
      </c>
      <c r="D17" s="10"/>
      <c r="E17" s="13"/>
      <c r="F17" s="7" t="s">
        <v>24</v>
      </c>
      <c r="G17" s="8"/>
      <c r="H17" s="9"/>
      <c r="I17" s="8" t="s">
        <v>25</v>
      </c>
      <c r="J17" s="9"/>
    </row>
    <row r="18" ht="12.75" customHeight="1">
      <c r="A18" s="10"/>
      <c r="B18" s="12"/>
      <c r="C18" s="10"/>
      <c r="D18" s="10"/>
      <c r="E18" s="13"/>
      <c r="F18" s="58" t="str">
        <f>IFERROR(VLOOKUP(F13,InvoiceDetails,15,FALSE)," ")</f>
        <v> - </v>
      </c>
      <c r="G18" s="10"/>
      <c r="H18" s="13"/>
      <c r="I18" s="52" t="str">
        <f>IFERROR(VLOOKUP(F13,InvoiceDetails,16,FALSE)," ")</f>
        <v/>
      </c>
      <c r="J18" s="42"/>
    </row>
    <row r="19" ht="12.75" customHeight="1">
      <c r="A19" s="10"/>
      <c r="B19" s="12"/>
      <c r="C19" s="10"/>
      <c r="D19" s="10"/>
      <c r="E19" s="36"/>
      <c r="F19" s="34"/>
      <c r="G19" s="35"/>
      <c r="H19" s="36"/>
      <c r="I19" s="35"/>
      <c r="J19" s="36"/>
    </row>
    <row r="20" ht="12.75" customHeight="1">
      <c r="A20" s="30"/>
      <c r="B20" s="37" t="s">
        <v>26</v>
      </c>
      <c r="C20" s="38"/>
      <c r="D20" s="38"/>
      <c r="E20" s="39"/>
      <c r="F20" s="153"/>
      <c r="G20" s="30"/>
      <c r="H20" s="30"/>
      <c r="I20" s="30"/>
      <c r="J20" s="63"/>
    </row>
    <row r="21" ht="12.75" customHeight="1">
      <c r="A21" s="43"/>
      <c r="B21" s="44" t="str">
        <f>VLOOKUP(F13,InvoiceDetails,2,FALSE)</f>
        <v>Sankalp Industries</v>
      </c>
      <c r="E21" s="42"/>
      <c r="F21" s="62"/>
      <c r="G21" s="30"/>
      <c r="H21" s="30"/>
      <c r="I21" s="30"/>
      <c r="J21" s="63"/>
    </row>
    <row r="22" ht="12.75" customHeight="1">
      <c r="A22" s="46"/>
      <c r="B22" s="47" t="str">
        <f>VLOOKUP(B21,CustDetail1,2,FALSE)</f>
        <v>Nimbhora Lahe, Badnera Amravati</v>
      </c>
      <c r="E22" s="42"/>
      <c r="F22" s="62"/>
      <c r="G22" s="30"/>
      <c r="H22" s="30"/>
      <c r="I22" s="30"/>
      <c r="J22" s="63"/>
    </row>
    <row r="23" ht="12.75" customHeight="1">
      <c r="A23" s="46"/>
      <c r="B23" s="51"/>
      <c r="E23" s="42"/>
      <c r="F23" s="62"/>
      <c r="G23" s="30"/>
      <c r="H23" s="30"/>
      <c r="I23" s="30"/>
      <c r="J23" s="63"/>
    </row>
    <row r="24" ht="12.75" customHeight="1">
      <c r="A24" s="10"/>
      <c r="B24" s="12" t="s">
        <v>8</v>
      </c>
      <c r="C24" s="54" t="str">
        <f>VLOOKUP(B12,CustDetail1,3,FALSE)</f>
        <v>27ACLFS7336L1ZF</v>
      </c>
      <c r="D24" s="30"/>
      <c r="E24" s="63"/>
      <c r="F24" s="62"/>
      <c r="G24" s="30"/>
      <c r="H24" s="30"/>
      <c r="I24" s="30"/>
      <c r="J24" s="63"/>
    </row>
    <row r="25" ht="12.75" customHeight="1">
      <c r="A25" s="10"/>
      <c r="B25" s="12" t="s">
        <v>12</v>
      </c>
      <c r="C25" s="64" t="str">
        <f>VLOOKUP(B12,CustDetail1,4,FALSE)</f>
        <v>MAHARASHTRA</v>
      </c>
      <c r="D25" s="30"/>
      <c r="E25" s="65">
        <f>VLOOKUP(B12,CustDetail1,5,FALSE)</f>
        <v>444601</v>
      </c>
      <c r="F25" s="62"/>
      <c r="G25" s="30"/>
      <c r="H25" s="30"/>
      <c r="I25" s="30"/>
      <c r="J25" s="63"/>
    </row>
    <row r="26" ht="12.75" customHeight="1">
      <c r="A26" s="10"/>
      <c r="B26" s="12" t="s">
        <v>14</v>
      </c>
      <c r="C26" s="20" t="str">
        <f>VLOOKUP(B12,CustDetail1,6,FALSE)</f>
        <v/>
      </c>
      <c r="D26" s="30"/>
      <c r="E26" s="63"/>
      <c r="F26" s="66"/>
      <c r="G26" s="15"/>
      <c r="H26" s="15"/>
      <c r="I26" s="15"/>
      <c r="J26" s="67"/>
    </row>
    <row r="27" ht="12.75" customHeight="1">
      <c r="A27" s="68"/>
      <c r="B27" s="69" t="s">
        <v>28</v>
      </c>
      <c r="C27" s="70" t="s">
        <v>29</v>
      </c>
      <c r="D27" s="71"/>
      <c r="E27" s="72"/>
      <c r="F27" s="73" t="s">
        <v>30</v>
      </c>
      <c r="G27" s="73" t="s">
        <v>31</v>
      </c>
      <c r="H27" s="73" t="s">
        <v>32</v>
      </c>
      <c r="I27" s="73" t="s">
        <v>33</v>
      </c>
      <c r="J27" s="73" t="s">
        <v>34</v>
      </c>
    </row>
    <row r="28" ht="12.75" customHeight="1">
      <c r="A28" s="74"/>
      <c r="B28" s="75">
        <v>1.0</v>
      </c>
      <c r="C28" s="76" t="str">
        <f>IFERROR(VLOOKUP(F13,InvoiceDetails,17,FALSE)," ")</f>
        <v>BIOMASS BRIQUETTE 90MM</v>
      </c>
      <c r="D28" s="77"/>
      <c r="E28" s="78"/>
      <c r="F28" s="79">
        <f>IFERROR(VLOOKUP(F13,InvoiceDetails,18,FALSE)," ")</f>
        <v>44011090</v>
      </c>
      <c r="G28" s="80">
        <f>IFERROR(VLOOKUP(F13,InvoiceDetails,19,FALSE)," ")</f>
        <v>50000</v>
      </c>
      <c r="H28" s="81">
        <f>IFERROR(VLOOKUP(F13,InvoiceDetails,20,FALSE)," ")</f>
        <v>6.1</v>
      </c>
      <c r="I28" s="82" t="str">
        <f>IFERROR(VLOOKUP(F13,InvoiceDetails,21,FALSE)," ")</f>
        <v>KG</v>
      </c>
      <c r="J28" s="83">
        <f>IFERROR(VLOOKUP(F13,InvoiceDetails,22,FALSE)," ")</f>
        <v>305000</v>
      </c>
    </row>
    <row r="29" ht="12.75" customHeight="1">
      <c r="A29" s="30"/>
      <c r="B29" s="85"/>
      <c r="C29" s="86"/>
      <c r="D29" s="87"/>
      <c r="E29" s="88"/>
      <c r="F29" s="85"/>
      <c r="G29" s="62"/>
      <c r="H29" s="62"/>
      <c r="I29" s="89"/>
      <c r="J29" s="90"/>
    </row>
    <row r="30" ht="12.75" customHeight="1">
      <c r="A30" s="30"/>
      <c r="B30" s="85"/>
      <c r="C30" s="86"/>
      <c r="D30" s="87"/>
      <c r="E30" s="95" t="s">
        <v>63</v>
      </c>
      <c r="F30" s="85"/>
      <c r="G30" s="62"/>
      <c r="H30" s="92" t="str">
        <f>IFERROR(VLOOKUP(F13,InvoiceDetails,25,FALSE)," ")</f>
        <v/>
      </c>
      <c r="I30" s="89"/>
      <c r="J30" s="90">
        <f>IFERROR(VLOOKUP(F13,InvoiceDetails,32,FALSE)," ")</f>
        <v>0</v>
      </c>
    </row>
    <row r="31" ht="12.75" customHeight="1">
      <c r="A31" s="30"/>
      <c r="B31" s="85"/>
      <c r="C31" s="86"/>
      <c r="D31" s="87"/>
      <c r="E31" s="91"/>
      <c r="F31" s="85"/>
      <c r="G31" s="62"/>
      <c r="H31" s="92"/>
      <c r="I31" s="89"/>
      <c r="J31" s="90"/>
    </row>
    <row r="32" ht="12.75" customHeight="1">
      <c r="A32" s="30"/>
      <c r="B32" s="85"/>
      <c r="C32" s="86"/>
      <c r="D32" s="87"/>
      <c r="E32" s="91" t="s">
        <v>37</v>
      </c>
      <c r="F32" s="85"/>
      <c r="G32" s="62"/>
      <c r="H32" s="62"/>
      <c r="I32" s="89"/>
      <c r="J32" s="93">
        <f>IFERROR(VLOOKUP(F13,InvoiceDetails,27,FALSE)," ")</f>
        <v>0</v>
      </c>
    </row>
    <row r="33" ht="12.75" customHeight="1">
      <c r="A33" s="30"/>
      <c r="B33" s="85"/>
      <c r="C33" s="86"/>
      <c r="D33" s="87"/>
      <c r="E33" s="91"/>
      <c r="F33" s="85"/>
      <c r="G33" s="62"/>
      <c r="H33" s="62"/>
      <c r="I33" s="89"/>
      <c r="J33" s="90"/>
    </row>
    <row r="34" ht="12.75" customHeight="1">
      <c r="A34" s="30"/>
      <c r="B34" s="85"/>
      <c r="C34" s="86"/>
      <c r="D34" s="87"/>
      <c r="E34" s="95" t="s">
        <v>64</v>
      </c>
      <c r="F34" s="85"/>
      <c r="G34" s="62"/>
      <c r="H34" s="62"/>
      <c r="I34" s="89"/>
      <c r="J34" s="90" t="str">
        <f>IFERROR(VLOOKUP(F13,InvoiceDetails,28,FALSE)," ")</f>
        <v/>
      </c>
    </row>
    <row r="35" ht="12.75" customHeight="1">
      <c r="A35" s="30"/>
      <c r="B35" s="85"/>
      <c r="C35" s="86"/>
      <c r="D35" s="87"/>
      <c r="E35" s="88"/>
      <c r="F35" s="85"/>
      <c r="G35" s="62"/>
      <c r="H35" s="62"/>
      <c r="I35" s="89"/>
      <c r="J35" s="90"/>
    </row>
    <row r="36" ht="12.75" customHeight="1">
      <c r="A36" s="30"/>
      <c r="B36" s="85"/>
      <c r="C36" s="86"/>
      <c r="D36" s="87"/>
      <c r="E36" s="88"/>
      <c r="F36" s="85"/>
      <c r="G36" s="62"/>
      <c r="H36" s="62"/>
      <c r="I36" s="89"/>
      <c r="J36" s="90"/>
    </row>
    <row r="37" ht="12.75" customHeight="1">
      <c r="A37" s="30"/>
      <c r="B37" s="85"/>
      <c r="C37" s="86"/>
      <c r="D37" s="87"/>
      <c r="E37" s="88"/>
      <c r="F37" s="85"/>
      <c r="G37" s="62"/>
      <c r="H37" s="62"/>
      <c r="I37" s="89"/>
      <c r="J37" s="90"/>
    </row>
    <row r="38" ht="12.75" customHeight="1">
      <c r="A38" s="30"/>
      <c r="B38" s="85"/>
      <c r="C38" s="86"/>
      <c r="D38" s="87"/>
      <c r="E38" s="88"/>
      <c r="F38" s="85"/>
      <c r="G38" s="62"/>
      <c r="H38" s="62"/>
      <c r="I38" s="89"/>
      <c r="J38" s="90"/>
    </row>
    <row r="39" ht="12.75" customHeight="1">
      <c r="A39" s="30"/>
      <c r="B39" s="96"/>
      <c r="C39" s="97"/>
      <c r="D39" s="98"/>
      <c r="E39" s="99" t="s">
        <v>39</v>
      </c>
      <c r="F39" s="100"/>
      <c r="G39" s="101">
        <f>SUM(G28:G38)</f>
        <v>50000</v>
      </c>
      <c r="H39" s="102"/>
      <c r="I39" s="100"/>
      <c r="J39" s="103">
        <f>IFERROR(VLOOKUP(F13,InvoiceDetails,26,FALSE)," ")</f>
        <v>320250</v>
      </c>
    </row>
    <row r="40" ht="12.75" customHeight="1">
      <c r="A40" s="105"/>
      <c r="B40" s="106" t="s">
        <v>40</v>
      </c>
      <c r="C40" s="107"/>
      <c r="D40" s="107"/>
      <c r="E40" s="107"/>
      <c r="F40" s="107"/>
      <c r="G40" s="107"/>
      <c r="H40" s="107"/>
      <c r="I40" s="107"/>
      <c r="J40" s="108" t="s">
        <v>41</v>
      </c>
    </row>
    <row r="41" ht="12.75" customHeight="1">
      <c r="A41" s="105"/>
      <c r="B41" s="110" t="s">
        <v>42</v>
      </c>
      <c r="C41" s="111" t="str">
        <f>"INR"&amp;CHOOSE(LEFT(TEXT(J39,"000000000.00"))+1,,"One","Two","Three","Four","Five","Six","Seven","Eight","Nine")
&amp;IF(--LEFT(TEXT(J39,"000000000.00"))=0,,IF(AND(--MID(TEXT(J39,"000000000.00"),2,1)=0,--MID(TEXT(J39,"000000000.00"),3,1)=0)," Hundred"," Hundred and "))
&amp;CHOOSE(MID(TEXT(J39,"000000000.00"),2,1)+1,,,"Twenty ","Thirty ","Forty ","Fifty ","Sixty ","Seventy ","Eighty ","Ninety ")
&amp;IF(--MID(TEXT(J39,"000000000.00"),2,1)&lt;&gt;1,CHOOSE(MID(TEXT(J39,"000000000.00"),3,1)+1,,"One","Two","Three","Four","Five","Six","Seven","Eight","Nine"),
CHOOSE(MID(TEXT(J39,"000000000.00"),3,1)+1,"Ten","Eleven","Twelve","Thirteen","Fourteen","Fifteen","Sixteen","Seventeen","Eighteen","Nineteen"))
&amp;IF((--LEFT(TEXT(J39,"000000000.00"))+MID(TEXT(J39,"000000000.00"),2,1)+MID(TEXT(J39,"000000000.00"),3,1))=0,,IF(AND((--MID(TEXT(J39,"000000000.00"),4,1)+MID(TEXT(J39,"000000000.00"),5,1)+MID(TEXT(J39,"000000000.00"),6,1)+MID(TEXT(J39,"000000000.00"),7,1))=0,(--MID(TEXT(J39,"000000000.00"),8,1)+RIGHT(TEXT(J39,"000000000.00")))&gt;0)," Million and "," Million "))
&amp;CHOOSE(MID(TEXT(J39,"000000000.00"),4,1)+1,,"One","Two","Three","Four","Five","Six","Seven","Eight","Nine")
&amp;IF(--MID(TEXT(J39,"000000000.00"),4,1)=0,,IF(AND(--MID(TEXT(J39,"000000000.00"),5,1)=0,--MID(TEXT(J39,"000000000.00"),6,1)=0)," Hundred"," Hundred and"))
&amp;CHOOSE(MID(TEXT(J39,"000000000.00"),5,1)+1,,," Twenty"," Thirty"," Forty"," Fifty"," Sixty"," Seventy"," Eighty"," Ninety")
&amp;IF(--MID(TEXT(J39,"000000000.00"),5,1)&lt;&gt;1,CHOOSE(MID(TEXT(J39,"000000000.00"),6,1)+1,," One"," Two"," Three"," Four"," Five"," Six"," Seven"," Eight"," Nine"),CHOOSE(MID(TEXT(J39,"000000000.00"),6,1)+1," Ten"," Eleven"," Twelve"," Thirteen"," Fourteen"," Fifteen"," Sixteen"," Seventeen"," Eighteen"," Nineteen"))
&amp;IF((--MID(TEXT(J39,"000000000.00"),4,1)+MID(TEXT(J39,"000000000.00"),5,1)+MID(TEXT(J39,"000000000.00"),6,1))=0,,IF(OR((--MID(TEXT(J39,"000000000.00"),7,1)+MID(TEXT(J39,"000000000.00"),8,1)+MID(TEXT(J39,"000000000.00"),9,1))=0,--MID(TEXT(J39,"000000000.00"),7,1)&lt;&gt;0)," Thousand "," Thousand and "))
&amp;CHOOSE(MID(TEXT(J39,"000000000.00"),7,1)+1,,"One","Two","Three","Four","Five","Six","Seven","Eight","Nine")
&amp;IF(--MID(TEXT(J39,"000000000.00"),7,1)=0,,IF(AND(--MID(TEXT(J39,"000000000.00"),8,1)=0,--MID(TEXT(J39,"000000000.00"),9,1)=0)," Hundred "," Hundred and "))&amp;
CHOOSE(MID(TEXT(J39,"000000000.00"),8,1)+1,,,"Twenty ","Thirty ","Forty ","Fifty ","Sixty ","Seventy ","Eighty ","Ninety ")
&amp;IF(--MID(TEXT(J39,"000000000.00"),8,1)&lt;&gt;1,CHOOSE(MID(TEXT(J39,"000000000.00"),9,1)+1,,"One","Two","Three","Four","Five","Six","Seven","Eight","Nine"),CHOOSE(MID(TEXT(J39,"000000000.00"),9,1)+1,"Ten","Eleven","Twelve","Thirteen","Fourteen","Fifteen","Sixteen","Seventeen","Eighteen","Nineteen"))
&amp;IF(RIGHT(TEXT(J39,"000000000.00"),2)&gt;"000000000.00"," &amp; "&amp;RIGHT(TEXT(J39,"000000000.00"),2)&amp;" Paise Only.","Only.")</f>
        <v>INRThree Hundred and Twenty Thousand Two Hundred and Fifty Only.</v>
      </c>
      <c r="D41" s="112"/>
      <c r="E41" s="112"/>
      <c r="F41" s="112"/>
      <c r="G41" s="112"/>
      <c r="H41" s="112"/>
      <c r="I41" s="112"/>
      <c r="J41" s="113"/>
    </row>
    <row r="42" ht="12.75" customHeight="1">
      <c r="A42" s="114"/>
      <c r="B42" s="115" t="s">
        <v>30</v>
      </c>
      <c r="C42" s="5"/>
      <c r="D42" s="6"/>
      <c r="E42" s="116" t="s">
        <v>43</v>
      </c>
      <c r="F42" s="117" t="s">
        <v>44</v>
      </c>
      <c r="G42" s="18"/>
      <c r="H42" s="117" t="s">
        <v>45</v>
      </c>
      <c r="I42" s="18"/>
      <c r="J42" s="118" t="s">
        <v>46</v>
      </c>
    </row>
    <row r="43" ht="12.75" customHeight="1">
      <c r="A43" s="114"/>
      <c r="B43" s="120"/>
      <c r="C43" s="23"/>
      <c r="D43" s="18"/>
      <c r="E43" s="121"/>
      <c r="F43" s="110" t="s">
        <v>32</v>
      </c>
      <c r="G43" s="122" t="s">
        <v>34</v>
      </c>
      <c r="H43" s="122" t="s">
        <v>32</v>
      </c>
      <c r="I43" s="122" t="s">
        <v>34</v>
      </c>
      <c r="J43" s="121"/>
    </row>
    <row r="44" ht="12.75" customHeight="1">
      <c r="A44" s="123"/>
      <c r="B44" s="124">
        <f>IFERROR(VLOOKUP(F13,InvoiceDetails,18,FALSE)," ")</f>
        <v>44011090</v>
      </c>
      <c r="C44" s="71"/>
      <c r="D44" s="72"/>
      <c r="E44" s="125">
        <f>IFERROR(VLOOKUP(F13,InvoiceDetails,26,FALSE)," ")</f>
        <v>320250</v>
      </c>
      <c r="F44" s="126" t="str">
        <f>IFERROR(VLOOKUP(F13,InvoiceDetails,25,FALSE)," ")</f>
        <v/>
      </c>
      <c r="G44" s="125">
        <f>IFERROR(VLOOKUP(F13,InvoiceDetails,32,FALSE)," ")</f>
        <v>0</v>
      </c>
      <c r="H44" s="150">
        <v>0.0</v>
      </c>
      <c r="I44" s="151">
        <v>0.0</v>
      </c>
      <c r="J44" s="125">
        <f>IFERROR(VLOOKUP(F13,InvoiceDetails,32,FALSE)," ")</f>
        <v>0</v>
      </c>
    </row>
    <row r="45" ht="12.75" customHeight="1">
      <c r="A45" s="128"/>
      <c r="B45" s="129" t="s">
        <v>39</v>
      </c>
      <c r="C45" s="71"/>
      <c r="D45" s="72"/>
      <c r="E45" s="130">
        <f>E44</f>
        <v>320250</v>
      </c>
      <c r="F45" s="130"/>
      <c r="G45" s="130">
        <f>G44</f>
        <v>0</v>
      </c>
      <c r="H45" s="130"/>
      <c r="I45" s="130">
        <f t="shared" ref="I45:J45" si="1">I44</f>
        <v>0</v>
      </c>
      <c r="J45" s="130">
        <f t="shared" si="1"/>
        <v>0</v>
      </c>
    </row>
    <row r="46" ht="12.75" customHeight="1">
      <c r="A46" s="105"/>
      <c r="B46" s="132" t="s">
        <v>47</v>
      </c>
      <c r="C46" s="105"/>
      <c r="D46" s="105"/>
      <c r="E46" s="105"/>
      <c r="F46" s="105"/>
      <c r="G46" s="105"/>
      <c r="H46" s="105"/>
      <c r="I46" s="105"/>
      <c r="J46" s="133"/>
    </row>
    <row r="47" ht="12.75" customHeight="1">
      <c r="A47" s="105"/>
      <c r="B47" s="132" t="s">
        <v>42</v>
      </c>
      <c r="C47" s="105" t="str">
        <f>"INR"&amp;CHOOSE(LEFT(TEXT(J45,"000000000.00"))+1,,"One","Two","Three","Four","Five","Six","Seven","Eight","Nine")
&amp;IF(--LEFT(TEXT(J45,"000000000.00"))=0,,IF(AND(--MID(TEXT(J45,"000000000.00"),2,1)=0,--MID(TEXT(J45,"000000000.00"),3,1)=0)," Hundred"," Hundred and "))
&amp;CHOOSE(MID(TEXT(J45,"000000000.00"),2,1)+1,,,"Twenty ","Thirty ","Forty ","Fifty ","Sixty ","Seventy ","Eighty ","Ninety ")
&amp;IF(--MID(TEXT(J45,"000000000.00"),2,1)&lt;&gt;1,CHOOSE(MID(TEXT(J45,"000000000.00"),3,1)+1,,"One","Two","Three","Four","Five","Six","Seven","Eight","Nine"),
CHOOSE(MID(TEXT(J45,"000000000.00"),3,1)+1,"Ten","Eleven","Twelve","Thirteen","Fourteen","Fifteen","Sixteen","Seventeen","Eighteen","Nineteen"))
&amp;IF((--LEFT(TEXT(J45,"000000000.00"))+MID(TEXT(J45,"000000000.00"),2,1)+MID(TEXT(J45,"000000000.00"),3,1))=0,,IF(AND((--MID(TEXT(J45,"000000000.00"),4,1)+MID(TEXT(J45,"000000000.00"),5,1)+MID(TEXT(J45,"000000000.00"),6,1)+MID(TEXT(J45,"000000000.00"),7,1))=0,(--MID(TEXT(J45,"000000000.00"),8,1)+RIGHT(TEXT(J45,"000000000.00")))&gt;0)," Million and "," Million "))
&amp;CHOOSE(MID(TEXT(J45,"000000000.00"),4,1)+1,,"One","Two","Three","Four","Five","Six","Seven","Eight","Nine")
&amp;IF(--MID(TEXT(J45,"000000000.00"),4,1)=0,,IF(AND(--MID(TEXT(J45,"000000000.00"),5,1)=0,--MID(TEXT(J45,"000000000.00"),6,1)=0)," Hundred"," Hundred and"))
&amp;CHOOSE(MID(TEXT(J45,"000000000.00"),5,1)+1,,," Twenty"," Thirty"," Forty"," Fifty"," Sixty"," Seventy"," Eighty"," Ninety")
&amp;IF(--MID(TEXT(J45,"000000000.00"),5,1)&lt;&gt;1,CHOOSE(MID(TEXT(J45,"000000000.00"),6,1)+1,," One"," Two"," Three"," Four"," Five"," Six"," Seven"," Eight"," Nine"),CHOOSE(MID(TEXT(J45,"000000000.00"),6,1)+1," Ten"," Eleven"," Twelve"," Thirteen"," Fourteen"," Fifteen"," Sixteen"," Seventeen"," Eighteen"," Nineteen"))
&amp;IF((--MID(TEXT(J45,"000000000.00"),4,1)+MID(TEXT(J45,"000000000.00"),5,1)+MID(TEXT(J45,"000000000.00"),6,1))=0,,IF(OR((--MID(TEXT(J45,"000000000.00"),7,1)+MID(TEXT(J45,"000000000.00"),8,1)+MID(TEXT(J45,"000000000.00"),9,1))=0,--MID(TEXT(J45,"000000000.00"),7,1)&lt;&gt;0)," Thousand "," Thousand and "))
&amp;CHOOSE(MID(TEXT(J45,"000000000.00"),7,1)+1,,"One","Two","Three","Four","Five","Six","Seven","Eight","Nine")
&amp;IF(--MID(TEXT(J45,"000000000.00"),7,1)=0,,IF(AND(--MID(TEXT(J45,"000000000.00"),8,1)=0,--MID(TEXT(J45,"000000000.00"),9,1)=0)," Hundred "," Hundred and "))&amp;
CHOOSE(MID(TEXT(J45,"000000000.00"),8,1)+1,,,"Twenty ","Thirty ","Forty ","Fifty ","Sixty ","Seventy ","Eighty ","Ninety ")
&amp;IF(--MID(TEXT(J45,"000000000.00"),8,1)&lt;&gt;1,CHOOSE(MID(TEXT(J45,"000000000.00"),9,1)+1,,"One","Two","Three","Four","Five","Six","Seven","Eight","Nine"),CHOOSE(MID(TEXT(J45,"000000000.00"),9,1)+1,"Ten","Eleven","Twelve","Thirteen","Fourteen","Fifteen","Sixteen","Seventeen","Eighteen","Nineteen"))
&amp;IF(RIGHT(TEXT(J45,"000000000.00"),2)&gt;"000000000.00"," &amp; "&amp;RIGHT(TEXT(J45,"000000000.00"),2)&amp;" Paise Only.","Only.")</f>
        <v>INROnly.</v>
      </c>
      <c r="D47" s="105"/>
      <c r="E47" s="105"/>
      <c r="F47" s="105"/>
      <c r="G47" s="105"/>
      <c r="H47" s="105"/>
      <c r="I47" s="105"/>
      <c r="J47" s="133"/>
    </row>
    <row r="48" ht="12.75" customHeight="1">
      <c r="A48" s="105"/>
      <c r="B48" s="132"/>
      <c r="C48" s="105"/>
      <c r="D48" s="105"/>
      <c r="E48" s="105"/>
      <c r="G48" s="105"/>
      <c r="H48" s="105"/>
      <c r="I48" s="105"/>
      <c r="J48" s="133"/>
    </row>
    <row r="49" ht="12.75" customHeight="1">
      <c r="A49" s="105"/>
      <c r="B49" s="132" t="s">
        <v>48</v>
      </c>
      <c r="C49" s="105"/>
      <c r="D49" s="105"/>
      <c r="E49" s="105"/>
      <c r="F49" s="134" t="s">
        <v>49</v>
      </c>
      <c r="H49" s="134" t="s">
        <v>50</v>
      </c>
      <c r="I49" s="105"/>
      <c r="J49" s="133"/>
    </row>
    <row r="50" ht="12.75" customHeight="1">
      <c r="A50" s="105"/>
      <c r="B50" s="132"/>
      <c r="C50" s="105"/>
      <c r="D50" s="105"/>
      <c r="E50" s="105"/>
      <c r="F50" s="134" t="s">
        <v>65</v>
      </c>
      <c r="H50" s="135">
        <v>3.9935045918E10</v>
      </c>
      <c r="I50" s="105"/>
      <c r="J50" s="133"/>
    </row>
    <row r="51" ht="12.75" customHeight="1">
      <c r="A51" s="105"/>
      <c r="B51" s="132" t="s">
        <v>52</v>
      </c>
      <c r="C51" s="105" t="s">
        <v>53</v>
      </c>
      <c r="D51" s="105"/>
      <c r="E51" s="105"/>
      <c r="F51" s="134" t="s">
        <v>54</v>
      </c>
      <c r="H51" s="134" t="s">
        <v>55</v>
      </c>
      <c r="I51" s="105"/>
      <c r="J51" s="133"/>
    </row>
    <row r="52" ht="12.75" customHeight="1">
      <c r="A52" s="105"/>
      <c r="B52" s="132" t="s">
        <v>56</v>
      </c>
      <c r="C52" s="105"/>
      <c r="D52" s="105"/>
      <c r="E52" s="105"/>
      <c r="F52" s="134"/>
      <c r="G52" s="105"/>
      <c r="H52" s="105"/>
      <c r="I52" s="105"/>
      <c r="J52" s="133"/>
    </row>
    <row r="53" ht="12.75" customHeight="1">
      <c r="A53" s="136"/>
      <c r="B53" s="137" t="s">
        <v>57</v>
      </c>
      <c r="E53" s="42"/>
      <c r="F53" s="115"/>
      <c r="G53" s="138"/>
      <c r="H53" s="139" t="s">
        <v>69</v>
      </c>
      <c r="I53" s="138"/>
      <c r="J53" s="140"/>
    </row>
    <row r="54" ht="12.75" customHeight="1">
      <c r="A54" s="136"/>
      <c r="B54" s="51"/>
      <c r="E54" s="42"/>
      <c r="F54" s="141"/>
      <c r="G54" s="114"/>
      <c r="H54" s="114"/>
      <c r="I54" s="114"/>
      <c r="J54" s="142"/>
    </row>
    <row r="55" ht="12.75" customHeight="1">
      <c r="A55" s="136"/>
      <c r="B55" s="51"/>
      <c r="E55" s="42"/>
      <c r="F55" s="141"/>
      <c r="G55" s="114"/>
      <c r="H55" s="114"/>
      <c r="I55" s="114"/>
      <c r="J55" s="142"/>
    </row>
    <row r="56" ht="12.75" customHeight="1">
      <c r="A56" s="136"/>
      <c r="B56" s="120"/>
      <c r="C56" s="23"/>
      <c r="D56" s="23"/>
      <c r="E56" s="18"/>
      <c r="F56" s="143"/>
      <c r="G56" s="144"/>
      <c r="H56" s="144" t="s">
        <v>59</v>
      </c>
      <c r="I56" s="144"/>
      <c r="J56" s="145"/>
    </row>
    <row r="57" ht="12.75" customHeight="1">
      <c r="A57" s="114"/>
      <c r="B57" s="138" t="s">
        <v>60</v>
      </c>
      <c r="C57" s="5"/>
      <c r="D57" s="5"/>
      <c r="E57" s="5"/>
      <c r="F57" s="5"/>
      <c r="G57" s="5"/>
      <c r="H57" s="5"/>
      <c r="I57" s="5"/>
      <c r="J57" s="5"/>
    </row>
    <row r="58" ht="12.75" customHeight="1">
      <c r="A58" s="105"/>
      <c r="B58" s="105"/>
      <c r="C58" s="105"/>
      <c r="D58" s="105"/>
      <c r="E58" s="105"/>
      <c r="F58" s="105"/>
      <c r="G58" s="105"/>
      <c r="H58" s="105"/>
      <c r="I58" s="105"/>
      <c r="J58" s="105"/>
    </row>
    <row r="59" ht="12.75" customHeight="1">
      <c r="A59" s="105"/>
      <c r="B59" s="105"/>
      <c r="C59" s="105"/>
      <c r="D59" s="105"/>
      <c r="E59" s="105"/>
      <c r="F59" s="105"/>
      <c r="G59" s="105"/>
      <c r="H59" s="105"/>
      <c r="I59" s="105"/>
      <c r="J59" s="105"/>
    </row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0">
    <mergeCell ref="B2:J2"/>
    <mergeCell ref="B4:E4"/>
    <mergeCell ref="I5:J5"/>
    <mergeCell ref="B7:D7"/>
    <mergeCell ref="F7:G7"/>
    <mergeCell ref="I7:J7"/>
    <mergeCell ref="K8:L8"/>
    <mergeCell ref="F9:G9"/>
    <mergeCell ref="I9:J9"/>
    <mergeCell ref="I11:J11"/>
    <mergeCell ref="B12:E12"/>
    <mergeCell ref="F15:H15"/>
    <mergeCell ref="I15:J15"/>
    <mergeCell ref="I18:J18"/>
    <mergeCell ref="H42:I42"/>
    <mergeCell ref="J42:J43"/>
    <mergeCell ref="B44:D44"/>
    <mergeCell ref="B45:D45"/>
    <mergeCell ref="F49:G49"/>
    <mergeCell ref="F50:G50"/>
    <mergeCell ref="F51:G51"/>
    <mergeCell ref="B53:E56"/>
    <mergeCell ref="B57:J57"/>
    <mergeCell ref="B13:E14"/>
    <mergeCell ref="B21:E21"/>
    <mergeCell ref="B22:E23"/>
    <mergeCell ref="C27:E27"/>
    <mergeCell ref="B42:D43"/>
    <mergeCell ref="E42:E43"/>
    <mergeCell ref="F42:G4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13"/>
    <col customWidth="1" min="2" max="2" width="40.0"/>
    <col customWidth="1" min="3" max="3" width="5.75"/>
    <col customWidth="1" min="4" max="4" width="11.25"/>
    <col customWidth="1" min="5" max="5" width="9.88"/>
    <col customWidth="1" min="6" max="6" width="11.5"/>
    <col customWidth="1" min="7" max="7" width="9.75"/>
    <col customWidth="1" min="8" max="8" width="12.13"/>
    <col customWidth="1" min="9" max="9" width="10.25"/>
    <col customWidth="1" min="10" max="10" width="13.25"/>
    <col customWidth="1" min="11" max="11" width="17.63"/>
    <col customWidth="1" min="12" max="12" width="13.5"/>
    <col customWidth="1" min="13" max="13" width="14.88"/>
    <col customWidth="1" min="14" max="14" width="11.13"/>
    <col customWidth="1" min="15" max="15" width="8.88"/>
    <col customWidth="1" min="16" max="16" width="13.38"/>
    <col customWidth="1" min="17" max="17" width="19.13"/>
    <col customWidth="1" min="18" max="18" width="9.0"/>
    <col customWidth="1" min="19" max="19" width="6.0"/>
    <col customWidth="1" min="20" max="20" width="7.38"/>
    <col customWidth="1" min="21" max="21" width="6.38"/>
    <col customWidth="1" min="22" max="22" width="8.25"/>
    <col customWidth="1" min="23" max="25" width="5.38"/>
    <col customWidth="1" min="26" max="27" width="9.75"/>
    <col customWidth="1" min="28" max="29" width="10.75"/>
    <col customWidth="1" min="30" max="32" width="8.5"/>
    <col customWidth="1" min="33" max="35" width="7.25"/>
  </cols>
  <sheetData>
    <row r="1" ht="50.25" customHeight="1">
      <c r="A1" s="154" t="s">
        <v>70</v>
      </c>
      <c r="B1" s="155" t="s">
        <v>71</v>
      </c>
      <c r="C1" s="155" t="s">
        <v>72</v>
      </c>
      <c r="D1" s="154" t="s">
        <v>3</v>
      </c>
      <c r="E1" s="155" t="s">
        <v>6</v>
      </c>
      <c r="F1" s="154" t="s">
        <v>7</v>
      </c>
      <c r="G1" s="154" t="s">
        <v>10</v>
      </c>
      <c r="H1" s="154" t="s">
        <v>11</v>
      </c>
      <c r="I1" s="154" t="s">
        <v>16</v>
      </c>
      <c r="J1" s="154" t="s">
        <v>73</v>
      </c>
      <c r="K1" s="154" t="s">
        <v>61</v>
      </c>
      <c r="L1" s="154" t="s">
        <v>19</v>
      </c>
      <c r="M1" s="154" t="s">
        <v>74</v>
      </c>
      <c r="N1" s="154" t="s">
        <v>22</v>
      </c>
      <c r="O1" s="154" t="s">
        <v>24</v>
      </c>
      <c r="P1" s="154" t="s">
        <v>25</v>
      </c>
      <c r="Q1" s="154" t="s">
        <v>75</v>
      </c>
      <c r="R1" s="155" t="s">
        <v>30</v>
      </c>
      <c r="S1" s="154" t="s">
        <v>76</v>
      </c>
      <c r="T1" s="154" t="s">
        <v>32</v>
      </c>
      <c r="U1" s="154" t="s">
        <v>77</v>
      </c>
      <c r="V1" s="155" t="s">
        <v>34</v>
      </c>
      <c r="W1" s="154" t="s">
        <v>78</v>
      </c>
      <c r="X1" s="154" t="s">
        <v>79</v>
      </c>
      <c r="Y1" s="154" t="s">
        <v>80</v>
      </c>
      <c r="Z1" s="156" t="s">
        <v>39</v>
      </c>
      <c r="AA1" s="155" t="s">
        <v>81</v>
      </c>
      <c r="AB1" s="157" t="s">
        <v>82</v>
      </c>
      <c r="AC1" s="155" t="s">
        <v>43</v>
      </c>
      <c r="AD1" s="155" t="s">
        <v>83</v>
      </c>
      <c r="AE1" s="155" t="s">
        <v>84</v>
      </c>
      <c r="AF1" s="155" t="s">
        <v>80</v>
      </c>
      <c r="AG1" s="155" t="s">
        <v>85</v>
      </c>
      <c r="AH1" s="158" t="s">
        <v>86</v>
      </c>
      <c r="AI1" s="159" t="s">
        <v>87</v>
      </c>
    </row>
    <row r="2" ht="12.75" customHeight="1">
      <c r="A2" s="30" t="s">
        <v>88</v>
      </c>
      <c r="B2" s="160" t="str">
        <f>VLOOKUP((LEFT(A2,6)),CUSTOMER_DETAILS,2,FALSE)</f>
        <v>JEEVIKA YUGCHEM PVT LTD.</v>
      </c>
      <c r="C2" s="161" t="s">
        <v>89</v>
      </c>
      <c r="D2" s="162">
        <v>44220.0</v>
      </c>
      <c r="E2" s="161" t="s">
        <v>89</v>
      </c>
      <c r="F2" s="30" t="s">
        <v>89</v>
      </c>
      <c r="G2" s="30" t="s">
        <v>89</v>
      </c>
      <c r="H2" s="30" t="s">
        <v>89</v>
      </c>
      <c r="I2" s="30" t="s">
        <v>90</v>
      </c>
      <c r="J2" s="163">
        <v>44217.0</v>
      </c>
      <c r="K2" s="30">
        <v>1.0</v>
      </c>
      <c r="L2" s="30" t="s">
        <v>89</v>
      </c>
      <c r="M2" s="30" t="s">
        <v>91</v>
      </c>
      <c r="N2" s="30" t="s">
        <v>92</v>
      </c>
      <c r="O2" s="30" t="s">
        <v>89</v>
      </c>
      <c r="P2" s="30" t="s">
        <v>93</v>
      </c>
      <c r="Q2" s="164" t="s">
        <v>94</v>
      </c>
      <c r="R2" s="161">
        <f>VLOOKUP(Q2,'PRODUCT TABLE'!$A$2:$B$26,2,FALSE)</f>
        <v>44011090</v>
      </c>
      <c r="S2" s="165">
        <v>10900.0</v>
      </c>
      <c r="T2" s="166">
        <v>5.05</v>
      </c>
      <c r="U2" s="164" t="s">
        <v>95</v>
      </c>
      <c r="V2" s="167">
        <f t="shared" ref="V2:V310" si="1">S2*T2</f>
        <v>55045</v>
      </c>
      <c r="W2" s="168">
        <v>0.025</v>
      </c>
      <c r="X2" s="168">
        <v>0.025</v>
      </c>
      <c r="Y2" s="168">
        <v>0.0</v>
      </c>
      <c r="Z2" s="169">
        <f t="shared" ref="Z2:Z1137" si="2">IF(((ROUNDUP((AG2+V2),0))-(AG2+V2))&gt;0.49,ROUNDdown((AG2+V2),0),ROUNDup((AG2+V2),0)) + AB2</f>
        <v>57797</v>
      </c>
      <c r="AA2" s="167">
        <f t="shared" ref="AA2:AA1137" si="3">Z2-(V2+AG2 + AB2)</f>
        <v>-0.25</v>
      </c>
      <c r="AB2" s="167"/>
      <c r="AC2" s="167">
        <f t="shared" ref="AC2:AC1137" si="4">V2</f>
        <v>55045</v>
      </c>
      <c r="AD2" s="167">
        <f t="shared" ref="AD2:AD1137" si="5">AC2*W2</f>
        <v>1376.125</v>
      </c>
      <c r="AE2" s="167">
        <f t="shared" ref="AE2:AE1137" si="6">AC2*X2</f>
        <v>1376.125</v>
      </c>
      <c r="AF2" s="167">
        <f t="shared" ref="AF2:AF1137" si="7">AC2*Y2</f>
        <v>0</v>
      </c>
      <c r="AG2" s="167">
        <f t="shared" ref="AG2:AG1137" si="8">SUM(AD2:AF2)</f>
        <v>2752.25</v>
      </c>
      <c r="AH2" s="158">
        <f t="shared" ref="AH2:AH235" si="9">IFERROR(MONTH(D2)," ")</f>
        <v>1</v>
      </c>
      <c r="AI2" s="158">
        <f t="shared" ref="AI2:AI310" si="10">YEAR(D2)</f>
        <v>2021</v>
      </c>
    </row>
    <row r="3" ht="12.75" customHeight="1">
      <c r="A3" s="30" t="s">
        <v>96</v>
      </c>
      <c r="B3" s="160" t="str">
        <f>VLOOKUP((LEFT(A3,6)),CUSTOMER_DETAILS,2,FALSE)</f>
        <v>JEEVIKA YUGCHEM PVT LTD.</v>
      </c>
      <c r="C3" s="161" t="s">
        <v>89</v>
      </c>
      <c r="D3" s="162">
        <v>44231.0</v>
      </c>
      <c r="E3" s="161" t="s">
        <v>89</v>
      </c>
      <c r="F3" s="30" t="s">
        <v>89</v>
      </c>
      <c r="G3" s="30" t="s">
        <v>89</v>
      </c>
      <c r="H3" s="30" t="s">
        <v>89</v>
      </c>
      <c r="I3" s="30" t="s">
        <v>97</v>
      </c>
      <c r="J3" s="163">
        <v>44217.0</v>
      </c>
      <c r="K3" s="170">
        <v>2.0</v>
      </c>
      <c r="L3" s="30" t="s">
        <v>89</v>
      </c>
      <c r="M3" s="30" t="s">
        <v>91</v>
      </c>
      <c r="N3" s="30" t="s">
        <v>92</v>
      </c>
      <c r="O3" s="30" t="s">
        <v>89</v>
      </c>
      <c r="P3" s="30" t="s">
        <v>98</v>
      </c>
      <c r="Q3" s="164" t="s">
        <v>94</v>
      </c>
      <c r="R3" s="161">
        <f>VLOOKUP(Q3,'PRODUCT TABLE'!$A$2:$B$26,2,FALSE)</f>
        <v>44011090</v>
      </c>
      <c r="S3" s="171">
        <v>9430.0</v>
      </c>
      <c r="T3" s="166">
        <v>5.05</v>
      </c>
      <c r="U3" s="164" t="s">
        <v>95</v>
      </c>
      <c r="V3" s="167">
        <f t="shared" si="1"/>
        <v>47621.5</v>
      </c>
      <c r="W3" s="168">
        <v>0.025</v>
      </c>
      <c r="X3" s="168">
        <v>0.025</v>
      </c>
      <c r="Y3" s="168">
        <v>0.0</v>
      </c>
      <c r="Z3" s="169">
        <f t="shared" si="2"/>
        <v>50003</v>
      </c>
      <c r="AA3" s="167">
        <f t="shared" si="3"/>
        <v>0.425</v>
      </c>
      <c r="AB3" s="167"/>
      <c r="AC3" s="167">
        <f t="shared" si="4"/>
        <v>47621.5</v>
      </c>
      <c r="AD3" s="167">
        <f t="shared" si="5"/>
        <v>1190.5375</v>
      </c>
      <c r="AE3" s="167">
        <f t="shared" si="6"/>
        <v>1190.5375</v>
      </c>
      <c r="AF3" s="167">
        <f t="shared" si="7"/>
        <v>0</v>
      </c>
      <c r="AG3" s="167">
        <f t="shared" si="8"/>
        <v>2381.075</v>
      </c>
      <c r="AH3" s="158">
        <f t="shared" si="9"/>
        <v>2</v>
      </c>
      <c r="AI3" s="158">
        <f t="shared" si="10"/>
        <v>2021</v>
      </c>
    </row>
    <row r="4" ht="12.75" customHeight="1">
      <c r="A4" s="30" t="s">
        <v>99</v>
      </c>
      <c r="B4" s="160" t="str">
        <f>VLOOKUP((LEFT(A4,6)),CUSTOMER_DETAILS,2,FALSE)</f>
        <v>JEEVIKA YUGCHEM PVT LTD.</v>
      </c>
      <c r="C4" s="161" t="s">
        <v>89</v>
      </c>
      <c r="D4" s="162">
        <v>44243.0</v>
      </c>
      <c r="E4" s="161" t="s">
        <v>89</v>
      </c>
      <c r="F4" s="30" t="s">
        <v>89</v>
      </c>
      <c r="G4" s="30" t="s">
        <v>89</v>
      </c>
      <c r="H4" s="30" t="s">
        <v>89</v>
      </c>
      <c r="I4" s="30" t="s">
        <v>97</v>
      </c>
      <c r="J4" s="163">
        <v>44217.0</v>
      </c>
      <c r="K4" s="170">
        <v>3.0</v>
      </c>
      <c r="L4" s="30" t="s">
        <v>89</v>
      </c>
      <c r="M4" s="30" t="s">
        <v>91</v>
      </c>
      <c r="N4" s="30" t="s">
        <v>92</v>
      </c>
      <c r="O4" s="30" t="s">
        <v>89</v>
      </c>
      <c r="P4" s="170" t="s">
        <v>100</v>
      </c>
      <c r="Q4" s="164" t="s">
        <v>94</v>
      </c>
      <c r="R4" s="161">
        <f>VLOOKUP(Q4,'PRODUCT TABLE'!$A$2:$B$26,2,FALSE)</f>
        <v>44011090</v>
      </c>
      <c r="S4" s="171">
        <v>9365.0</v>
      </c>
      <c r="T4" s="166">
        <v>5.05</v>
      </c>
      <c r="U4" s="164" t="s">
        <v>95</v>
      </c>
      <c r="V4" s="161">
        <f t="shared" si="1"/>
        <v>47293.25</v>
      </c>
      <c r="W4" s="168">
        <v>0.025</v>
      </c>
      <c r="X4" s="168">
        <v>0.025</v>
      </c>
      <c r="Y4" s="168">
        <v>0.0</v>
      </c>
      <c r="Z4" s="169">
        <f t="shared" si="2"/>
        <v>49658</v>
      </c>
      <c r="AA4" s="167">
        <f t="shared" si="3"/>
        <v>0.0875</v>
      </c>
      <c r="AB4" s="161"/>
      <c r="AC4" s="161">
        <f t="shared" si="4"/>
        <v>47293.25</v>
      </c>
      <c r="AD4" s="161">
        <f t="shared" si="5"/>
        <v>1182.33125</v>
      </c>
      <c r="AE4" s="161">
        <f t="shared" si="6"/>
        <v>1182.33125</v>
      </c>
      <c r="AF4" s="167">
        <f t="shared" si="7"/>
        <v>0</v>
      </c>
      <c r="AG4" s="167">
        <f t="shared" si="8"/>
        <v>2364.6625</v>
      </c>
      <c r="AH4" s="158">
        <f t="shared" si="9"/>
        <v>2</v>
      </c>
      <c r="AI4" s="158">
        <f t="shared" si="10"/>
        <v>2021</v>
      </c>
    </row>
    <row r="5" ht="12.75" customHeight="1">
      <c r="A5" s="30" t="s">
        <v>101</v>
      </c>
      <c r="B5" s="160" t="str">
        <f>VLOOKUP((LEFT(A5,6)),CUSTOMER_DETAILS,2,FALSE)</f>
        <v>JEEVIKA YUGCHEM PVT LTD.</v>
      </c>
      <c r="C5" s="161" t="s">
        <v>89</v>
      </c>
      <c r="D5" s="162">
        <v>44253.0</v>
      </c>
      <c r="E5" s="161" t="s">
        <v>89</v>
      </c>
      <c r="F5" s="30" t="s">
        <v>89</v>
      </c>
      <c r="G5" s="30" t="s">
        <v>89</v>
      </c>
      <c r="H5" s="30" t="s">
        <v>89</v>
      </c>
      <c r="I5" s="30" t="s">
        <v>97</v>
      </c>
      <c r="J5" s="163">
        <v>44253.0</v>
      </c>
      <c r="K5" s="170">
        <v>4.0</v>
      </c>
      <c r="L5" s="30" t="s">
        <v>89</v>
      </c>
      <c r="M5" s="30" t="s">
        <v>91</v>
      </c>
      <c r="N5" s="30" t="s">
        <v>92</v>
      </c>
      <c r="O5" s="30" t="s">
        <v>89</v>
      </c>
      <c r="P5" s="170" t="s">
        <v>102</v>
      </c>
      <c r="Q5" s="164" t="s">
        <v>94</v>
      </c>
      <c r="R5" s="161">
        <f>VLOOKUP(Q5,'PRODUCT TABLE'!$A$2:$B$26,2,FALSE)</f>
        <v>44011090</v>
      </c>
      <c r="S5" s="171">
        <v>10030.0</v>
      </c>
      <c r="T5" s="166">
        <v>5.05</v>
      </c>
      <c r="U5" s="164" t="s">
        <v>95</v>
      </c>
      <c r="V5" s="161">
        <f t="shared" si="1"/>
        <v>50651.5</v>
      </c>
      <c r="W5" s="168">
        <v>0.025</v>
      </c>
      <c r="X5" s="168">
        <v>0.025</v>
      </c>
      <c r="Y5" s="168">
        <v>0.0</v>
      </c>
      <c r="Z5" s="169">
        <f t="shared" si="2"/>
        <v>53184</v>
      </c>
      <c r="AA5" s="167">
        <f t="shared" si="3"/>
        <v>-0.075</v>
      </c>
      <c r="AB5" s="161"/>
      <c r="AC5" s="161">
        <f t="shared" si="4"/>
        <v>50651.5</v>
      </c>
      <c r="AD5" s="161">
        <f t="shared" si="5"/>
        <v>1266.2875</v>
      </c>
      <c r="AE5" s="161">
        <f t="shared" si="6"/>
        <v>1266.2875</v>
      </c>
      <c r="AF5" s="167">
        <f t="shared" si="7"/>
        <v>0</v>
      </c>
      <c r="AG5" s="167">
        <f t="shared" si="8"/>
        <v>2532.575</v>
      </c>
      <c r="AH5" s="158">
        <f t="shared" si="9"/>
        <v>2</v>
      </c>
      <c r="AI5" s="158">
        <f t="shared" si="10"/>
        <v>2021</v>
      </c>
    </row>
    <row r="6" ht="12.75" customHeight="1">
      <c r="A6" s="30" t="s">
        <v>103</v>
      </c>
      <c r="B6" s="160" t="str">
        <f>VLOOKUP((LEFT(A6,6)),CUSTOMER_DETAILS,2,FALSE)</f>
        <v>JEEVIKA YUGCHEM PVT LTD.</v>
      </c>
      <c r="C6" s="161" t="s">
        <v>89</v>
      </c>
      <c r="D6" s="162">
        <v>44277.0</v>
      </c>
      <c r="E6" s="161" t="s">
        <v>89</v>
      </c>
      <c r="F6" s="30" t="s">
        <v>89</v>
      </c>
      <c r="G6" s="30" t="s">
        <v>89</v>
      </c>
      <c r="H6" s="30" t="s">
        <v>89</v>
      </c>
      <c r="I6" s="30" t="s">
        <v>97</v>
      </c>
      <c r="J6" s="163">
        <v>44277.0</v>
      </c>
      <c r="K6" s="170">
        <v>5.0</v>
      </c>
      <c r="L6" s="30" t="s">
        <v>89</v>
      </c>
      <c r="M6" s="30" t="s">
        <v>91</v>
      </c>
      <c r="N6" s="30" t="s">
        <v>92</v>
      </c>
      <c r="O6" s="30" t="s">
        <v>89</v>
      </c>
      <c r="P6" s="30" t="s">
        <v>104</v>
      </c>
      <c r="Q6" s="164" t="s">
        <v>94</v>
      </c>
      <c r="R6" s="161">
        <f>VLOOKUP(Q6,'PRODUCT TABLE'!$A$2:$B$26,2,FALSE)</f>
        <v>44011090</v>
      </c>
      <c r="S6" s="171">
        <v>10640.0</v>
      </c>
      <c r="T6" s="166">
        <v>5.05</v>
      </c>
      <c r="U6" s="164" t="s">
        <v>95</v>
      </c>
      <c r="V6" s="161">
        <f t="shared" si="1"/>
        <v>53732</v>
      </c>
      <c r="W6" s="168">
        <v>0.025</v>
      </c>
      <c r="X6" s="168">
        <v>0.025</v>
      </c>
      <c r="Y6" s="168">
        <v>0.0</v>
      </c>
      <c r="Z6" s="169">
        <f t="shared" si="2"/>
        <v>56419</v>
      </c>
      <c r="AA6" s="167">
        <f t="shared" si="3"/>
        <v>0.4</v>
      </c>
      <c r="AB6" s="161"/>
      <c r="AC6" s="161">
        <f t="shared" si="4"/>
        <v>53732</v>
      </c>
      <c r="AD6" s="161">
        <f t="shared" si="5"/>
        <v>1343.3</v>
      </c>
      <c r="AE6" s="161">
        <f t="shared" si="6"/>
        <v>1343.3</v>
      </c>
      <c r="AF6" s="167">
        <f t="shared" si="7"/>
        <v>0</v>
      </c>
      <c r="AG6" s="167">
        <f t="shared" si="8"/>
        <v>2686.6</v>
      </c>
      <c r="AH6" s="158">
        <f t="shared" si="9"/>
        <v>3</v>
      </c>
      <c r="AI6" s="158">
        <f t="shared" si="10"/>
        <v>2021</v>
      </c>
    </row>
    <row r="7" ht="12.75" customHeight="1">
      <c r="A7" s="30" t="s">
        <v>105</v>
      </c>
      <c r="B7" s="160" t="str">
        <f>VLOOKUP((LEFT(A7,6)),CUSTOMER_DETAILS,2,FALSE)</f>
        <v>JEEVIKA YUGCHEM PVT LTD.</v>
      </c>
      <c r="C7" s="161" t="s">
        <v>89</v>
      </c>
      <c r="D7" s="162">
        <v>44305.0</v>
      </c>
      <c r="E7" s="161" t="s">
        <v>89</v>
      </c>
      <c r="F7" s="30" t="s">
        <v>89</v>
      </c>
      <c r="G7" s="30" t="s">
        <v>89</v>
      </c>
      <c r="H7" s="30" t="s">
        <v>89</v>
      </c>
      <c r="I7" s="30" t="s">
        <v>97</v>
      </c>
      <c r="J7" s="163">
        <f>D7</f>
        <v>44305</v>
      </c>
      <c r="K7" s="170">
        <v>6.0</v>
      </c>
      <c r="L7" s="30" t="s">
        <v>89</v>
      </c>
      <c r="M7" s="30" t="s">
        <v>91</v>
      </c>
      <c r="N7" s="30" t="s">
        <v>92</v>
      </c>
      <c r="O7" s="30" t="s">
        <v>89</v>
      </c>
      <c r="P7" s="30" t="s">
        <v>106</v>
      </c>
      <c r="Q7" s="164" t="s">
        <v>94</v>
      </c>
      <c r="R7" s="161">
        <f>VLOOKUP(Q7,'PRODUCT TABLE'!$A$2:$B$26,2,FALSE)</f>
        <v>44011090</v>
      </c>
      <c r="S7" s="171">
        <v>11120.0</v>
      </c>
      <c r="T7" s="166">
        <v>5.05</v>
      </c>
      <c r="U7" s="164" t="s">
        <v>95</v>
      </c>
      <c r="V7" s="161">
        <f t="shared" si="1"/>
        <v>56156</v>
      </c>
      <c r="W7" s="168">
        <v>0.025</v>
      </c>
      <c r="X7" s="168">
        <v>0.025</v>
      </c>
      <c r="Y7" s="168">
        <v>0.0</v>
      </c>
      <c r="Z7" s="169">
        <f t="shared" si="2"/>
        <v>58964</v>
      </c>
      <c r="AA7" s="167">
        <f t="shared" si="3"/>
        <v>0.2</v>
      </c>
      <c r="AB7" s="161"/>
      <c r="AC7" s="161">
        <f t="shared" si="4"/>
        <v>56156</v>
      </c>
      <c r="AD7" s="161">
        <f t="shared" si="5"/>
        <v>1403.9</v>
      </c>
      <c r="AE7" s="161">
        <f t="shared" si="6"/>
        <v>1403.9</v>
      </c>
      <c r="AF7" s="167">
        <f t="shared" si="7"/>
        <v>0</v>
      </c>
      <c r="AG7" s="167">
        <f t="shared" si="8"/>
        <v>2807.8</v>
      </c>
      <c r="AH7" s="158">
        <f t="shared" si="9"/>
        <v>4</v>
      </c>
      <c r="AI7" s="158">
        <f t="shared" si="10"/>
        <v>2021</v>
      </c>
    </row>
    <row r="8" ht="12.75" customHeight="1">
      <c r="A8" s="164" t="s">
        <v>107</v>
      </c>
      <c r="B8" s="160" t="str">
        <f>VLOOKUP((LEFT(A8,6)),CUSTOMER_DETAILS,2,FALSE)</f>
        <v>PDDR MEDICAL PRODUCTS &amp; SERVICES PVT LTD</v>
      </c>
      <c r="C8" s="161" t="s">
        <v>89</v>
      </c>
      <c r="D8" s="162">
        <v>44317.0</v>
      </c>
      <c r="E8" s="161" t="s">
        <v>89</v>
      </c>
      <c r="F8" s="30" t="s">
        <v>89</v>
      </c>
      <c r="G8" s="30" t="s">
        <v>89</v>
      </c>
      <c r="H8" s="30" t="s">
        <v>89</v>
      </c>
      <c r="I8" s="164" t="s">
        <v>108</v>
      </c>
      <c r="J8" s="172">
        <v>44317.0</v>
      </c>
      <c r="K8" s="48">
        <v>7.0</v>
      </c>
      <c r="L8" s="30" t="s">
        <v>89</v>
      </c>
      <c r="M8" s="30" t="s">
        <v>91</v>
      </c>
      <c r="N8" s="164" t="s">
        <v>109</v>
      </c>
      <c r="O8" s="30" t="s">
        <v>89</v>
      </c>
      <c r="P8" s="48" t="s">
        <v>110</v>
      </c>
      <c r="Q8" s="164" t="s">
        <v>94</v>
      </c>
      <c r="R8" s="161">
        <f>VLOOKUP(Q8,'PRODUCT TABLE'!$A$2:$B$26,2,FALSE)</f>
        <v>44011090</v>
      </c>
      <c r="S8" s="48">
        <v>10100.0</v>
      </c>
      <c r="T8" s="166">
        <v>5.05</v>
      </c>
      <c r="U8" s="164" t="s">
        <v>95</v>
      </c>
      <c r="V8" s="161">
        <f t="shared" si="1"/>
        <v>51005</v>
      </c>
      <c r="W8" s="168">
        <v>0.025</v>
      </c>
      <c r="X8" s="168">
        <v>0.025</v>
      </c>
      <c r="Y8" s="168">
        <v>0.0</v>
      </c>
      <c r="Z8" s="169">
        <f t="shared" si="2"/>
        <v>53555</v>
      </c>
      <c r="AA8" s="167">
        <f t="shared" si="3"/>
        <v>-0.25</v>
      </c>
      <c r="AB8" s="161"/>
      <c r="AC8" s="161">
        <f t="shared" si="4"/>
        <v>51005</v>
      </c>
      <c r="AD8" s="161">
        <f t="shared" si="5"/>
        <v>1275.125</v>
      </c>
      <c r="AE8" s="161">
        <f t="shared" si="6"/>
        <v>1275.125</v>
      </c>
      <c r="AF8" s="167">
        <f t="shared" si="7"/>
        <v>0</v>
      </c>
      <c r="AG8" s="167">
        <f t="shared" si="8"/>
        <v>2550.25</v>
      </c>
      <c r="AH8" s="158">
        <f t="shared" si="9"/>
        <v>5</v>
      </c>
      <c r="AI8" s="158">
        <f t="shared" si="10"/>
        <v>2021</v>
      </c>
    </row>
    <row r="9" ht="12.75" customHeight="1">
      <c r="A9" s="164" t="s">
        <v>111</v>
      </c>
      <c r="B9" s="160" t="str">
        <f>VLOOKUP((LEFT(A9,6)),CUSTOMER_DETAILS,2,FALSE)</f>
        <v>PDDR MEDICAL PRODUCTS &amp; SERVICES PVT LTD</v>
      </c>
      <c r="C9" s="161" t="s">
        <v>89</v>
      </c>
      <c r="D9" s="162">
        <v>44348.0</v>
      </c>
      <c r="E9" s="161" t="s">
        <v>89</v>
      </c>
      <c r="F9" s="30" t="s">
        <v>89</v>
      </c>
      <c r="G9" s="30" t="s">
        <v>89</v>
      </c>
      <c r="H9" s="30" t="s">
        <v>89</v>
      </c>
      <c r="I9" s="48" t="s">
        <v>108</v>
      </c>
      <c r="J9" s="172">
        <v>44348.0</v>
      </c>
      <c r="K9" s="48">
        <v>8.0</v>
      </c>
      <c r="L9" s="48" t="s">
        <v>108</v>
      </c>
      <c r="M9" s="30" t="s">
        <v>91</v>
      </c>
      <c r="N9" s="164" t="s">
        <v>109</v>
      </c>
      <c r="O9" s="30" t="s">
        <v>89</v>
      </c>
      <c r="P9" s="48" t="s">
        <v>112</v>
      </c>
      <c r="Q9" s="164" t="s">
        <v>94</v>
      </c>
      <c r="R9" s="161">
        <f>VLOOKUP(Q9,'PRODUCT TABLE'!$A$2:$B$26,2,FALSE)</f>
        <v>44011090</v>
      </c>
      <c r="S9" s="48">
        <v>7760.0</v>
      </c>
      <c r="T9" s="166">
        <v>5.05</v>
      </c>
      <c r="U9" s="164" t="s">
        <v>95</v>
      </c>
      <c r="V9" s="161">
        <f t="shared" si="1"/>
        <v>39188</v>
      </c>
      <c r="W9" s="168">
        <v>0.025</v>
      </c>
      <c r="X9" s="168">
        <v>0.025</v>
      </c>
      <c r="Y9" s="168">
        <v>0.0</v>
      </c>
      <c r="Z9" s="169">
        <f t="shared" si="2"/>
        <v>41147</v>
      </c>
      <c r="AA9" s="167">
        <f t="shared" si="3"/>
        <v>-0.4</v>
      </c>
      <c r="AB9" s="161"/>
      <c r="AC9" s="161">
        <f t="shared" si="4"/>
        <v>39188</v>
      </c>
      <c r="AD9" s="161">
        <f t="shared" si="5"/>
        <v>979.7</v>
      </c>
      <c r="AE9" s="161">
        <f t="shared" si="6"/>
        <v>979.7</v>
      </c>
      <c r="AF9" s="167">
        <f t="shared" si="7"/>
        <v>0</v>
      </c>
      <c r="AG9" s="167">
        <f t="shared" si="8"/>
        <v>1959.4</v>
      </c>
      <c r="AH9" s="158">
        <f t="shared" si="9"/>
        <v>6</v>
      </c>
      <c r="AI9" s="158">
        <f t="shared" si="10"/>
        <v>2021</v>
      </c>
    </row>
    <row r="10" ht="12.75" customHeight="1">
      <c r="A10" s="48" t="s">
        <v>113</v>
      </c>
      <c r="B10" s="160" t="str">
        <f>VLOOKUP((LEFT(A10,6)),CUSTOMER_DETAILS,2,FALSE)</f>
        <v>SHREE GAYATRI PACKAGING</v>
      </c>
      <c r="C10" s="161" t="s">
        <v>89</v>
      </c>
      <c r="D10" s="162">
        <v>44373.0</v>
      </c>
      <c r="E10" s="161" t="s">
        <v>89</v>
      </c>
      <c r="F10" s="30" t="s">
        <v>89</v>
      </c>
      <c r="G10" s="30" t="s">
        <v>89</v>
      </c>
      <c r="H10" s="30" t="s">
        <v>89</v>
      </c>
      <c r="I10" s="48" t="s">
        <v>108</v>
      </c>
      <c r="J10" s="173">
        <v>44373.0</v>
      </c>
      <c r="K10" s="48">
        <v>9.0</v>
      </c>
      <c r="L10" s="48" t="s">
        <v>108</v>
      </c>
      <c r="M10" s="48" t="s">
        <v>114</v>
      </c>
      <c r="N10" s="48" t="s">
        <v>115</v>
      </c>
      <c r="O10" s="30" t="s">
        <v>89</v>
      </c>
      <c r="P10" s="48" t="s">
        <v>116</v>
      </c>
      <c r="Q10" s="164" t="s">
        <v>117</v>
      </c>
      <c r="R10" s="161">
        <f>VLOOKUP(Q10,'PRODUCT TABLE'!$A$2:$B$26,2,FALSE)</f>
        <v>44011090</v>
      </c>
      <c r="S10" s="48">
        <v>630.0</v>
      </c>
      <c r="T10" s="48">
        <v>10.8</v>
      </c>
      <c r="U10" s="164" t="s">
        <v>95</v>
      </c>
      <c r="V10" s="161">
        <f t="shared" si="1"/>
        <v>6804</v>
      </c>
      <c r="W10" s="168">
        <v>0.025</v>
      </c>
      <c r="X10" s="168">
        <v>0.025</v>
      </c>
      <c r="Y10" s="168">
        <v>0.0</v>
      </c>
      <c r="Z10" s="169">
        <f t="shared" si="2"/>
        <v>7144</v>
      </c>
      <c r="AA10" s="167">
        <f t="shared" si="3"/>
        <v>-0.2</v>
      </c>
      <c r="AB10" s="161"/>
      <c r="AC10" s="161">
        <f t="shared" si="4"/>
        <v>6804</v>
      </c>
      <c r="AD10" s="161">
        <f t="shared" si="5"/>
        <v>170.1</v>
      </c>
      <c r="AE10" s="161">
        <f t="shared" si="6"/>
        <v>170.1</v>
      </c>
      <c r="AF10" s="167">
        <f t="shared" si="7"/>
        <v>0</v>
      </c>
      <c r="AG10" s="167">
        <f t="shared" si="8"/>
        <v>340.2</v>
      </c>
      <c r="AH10" s="158">
        <f t="shared" si="9"/>
        <v>6</v>
      </c>
      <c r="AI10" s="158">
        <f t="shared" si="10"/>
        <v>2021</v>
      </c>
    </row>
    <row r="11" ht="12.75" customHeight="1">
      <c r="A11" s="164" t="s">
        <v>118</v>
      </c>
      <c r="B11" s="160" t="str">
        <f>VLOOKUP((LEFT(A11,6)),CUSTOMER_DETAILS,2,FALSE)</f>
        <v>PDDR MEDICAL PRODUCTS &amp; SERVICES PVT LTD</v>
      </c>
      <c r="C11" s="161" t="s">
        <v>89</v>
      </c>
      <c r="D11" s="162">
        <v>44367.0</v>
      </c>
      <c r="E11" s="161" t="s">
        <v>89</v>
      </c>
      <c r="F11" s="30" t="s">
        <v>89</v>
      </c>
      <c r="G11" s="30" t="s">
        <v>89</v>
      </c>
      <c r="H11" s="30" t="s">
        <v>89</v>
      </c>
      <c r="I11" s="48" t="s">
        <v>108</v>
      </c>
      <c r="J11" s="174">
        <v>44367.0</v>
      </c>
      <c r="K11" s="48">
        <v>10.0</v>
      </c>
      <c r="L11" s="48" t="s">
        <v>108</v>
      </c>
      <c r="M11" s="30" t="s">
        <v>91</v>
      </c>
      <c r="N11" s="164" t="s">
        <v>109</v>
      </c>
      <c r="O11" s="30" t="s">
        <v>89</v>
      </c>
      <c r="Q11" s="164" t="s">
        <v>94</v>
      </c>
      <c r="R11" s="161">
        <f>VLOOKUP(Q11,'PRODUCT TABLE'!$A$2:$B$26,2,FALSE)</f>
        <v>44011090</v>
      </c>
      <c r="S11" s="48">
        <v>7560.0</v>
      </c>
      <c r="T11" s="166">
        <v>5.15</v>
      </c>
      <c r="U11" s="164" t="s">
        <v>95</v>
      </c>
      <c r="V11" s="161">
        <f t="shared" si="1"/>
        <v>38934</v>
      </c>
      <c r="W11" s="168">
        <v>0.025</v>
      </c>
      <c r="X11" s="168">
        <v>0.025</v>
      </c>
      <c r="Y11" s="168">
        <v>0.0</v>
      </c>
      <c r="Z11" s="169">
        <f t="shared" si="2"/>
        <v>40881</v>
      </c>
      <c r="AA11" s="167">
        <f t="shared" si="3"/>
        <v>0.3</v>
      </c>
      <c r="AB11" s="161"/>
      <c r="AC11" s="161">
        <f t="shared" si="4"/>
        <v>38934</v>
      </c>
      <c r="AD11" s="161">
        <f t="shared" si="5"/>
        <v>973.35</v>
      </c>
      <c r="AE11" s="161">
        <f t="shared" si="6"/>
        <v>973.35</v>
      </c>
      <c r="AF11" s="167">
        <f t="shared" si="7"/>
        <v>0</v>
      </c>
      <c r="AG11" s="167">
        <f t="shared" si="8"/>
        <v>1946.7</v>
      </c>
      <c r="AH11" s="158">
        <f t="shared" si="9"/>
        <v>6</v>
      </c>
      <c r="AI11" s="158">
        <f t="shared" si="10"/>
        <v>2021</v>
      </c>
    </row>
    <row r="12" ht="12.75" customHeight="1">
      <c r="A12" s="164" t="s">
        <v>119</v>
      </c>
      <c r="B12" s="160" t="str">
        <f>VLOOKUP((LEFT(A12,6)),CUSTOMER_DETAILS,2,FALSE)</f>
        <v>PDDR MEDICAL PRODUCTS &amp; SERVICES PVT LTD</v>
      </c>
      <c r="C12" s="161" t="s">
        <v>89</v>
      </c>
      <c r="D12" s="162">
        <v>44387.0</v>
      </c>
      <c r="E12" s="161" t="s">
        <v>89</v>
      </c>
      <c r="F12" s="30" t="s">
        <v>89</v>
      </c>
      <c r="G12" s="30" t="s">
        <v>89</v>
      </c>
      <c r="H12" s="30" t="s">
        <v>89</v>
      </c>
      <c r="I12" s="48" t="s">
        <v>108</v>
      </c>
      <c r="J12" s="174">
        <v>44389.0</v>
      </c>
      <c r="K12" s="48">
        <v>11.0</v>
      </c>
      <c r="L12" s="48" t="s">
        <v>108</v>
      </c>
      <c r="M12" s="30" t="s">
        <v>91</v>
      </c>
      <c r="N12" s="164" t="s">
        <v>109</v>
      </c>
      <c r="O12" s="30" t="s">
        <v>89</v>
      </c>
      <c r="P12" s="48" t="s">
        <v>120</v>
      </c>
      <c r="Q12" s="164" t="s">
        <v>94</v>
      </c>
      <c r="R12" s="161">
        <f>VLOOKUP(Q12,'PRODUCT TABLE'!$A$2:$B$26,2,FALSE)</f>
        <v>44011090</v>
      </c>
      <c r="S12" s="48">
        <v>7420.0</v>
      </c>
      <c r="T12" s="166">
        <v>5.5</v>
      </c>
      <c r="U12" s="164" t="s">
        <v>95</v>
      </c>
      <c r="V12" s="161">
        <f t="shared" si="1"/>
        <v>40810</v>
      </c>
      <c r="W12" s="168">
        <v>0.025</v>
      </c>
      <c r="X12" s="168">
        <v>0.025</v>
      </c>
      <c r="Y12" s="168">
        <v>0.0</v>
      </c>
      <c r="Z12" s="169">
        <f t="shared" si="2"/>
        <v>42850</v>
      </c>
      <c r="AA12" s="167">
        <f t="shared" si="3"/>
        <v>-0.5</v>
      </c>
      <c r="AB12" s="161"/>
      <c r="AC12" s="161">
        <f t="shared" si="4"/>
        <v>40810</v>
      </c>
      <c r="AD12" s="161">
        <f t="shared" si="5"/>
        <v>1020.25</v>
      </c>
      <c r="AE12" s="161">
        <f t="shared" si="6"/>
        <v>1020.25</v>
      </c>
      <c r="AF12" s="167">
        <f t="shared" si="7"/>
        <v>0</v>
      </c>
      <c r="AG12" s="167">
        <f t="shared" si="8"/>
        <v>2040.5</v>
      </c>
      <c r="AH12" s="158">
        <f t="shared" si="9"/>
        <v>7</v>
      </c>
      <c r="AI12" s="158">
        <f t="shared" si="10"/>
        <v>2021</v>
      </c>
    </row>
    <row r="13" ht="12.75" customHeight="1">
      <c r="A13" s="48" t="s">
        <v>121</v>
      </c>
      <c r="B13" s="160" t="str">
        <f>iferror(VLOOKUP((LEFT(A13,6)),CUSTOMER_DETAILS,2,FALSE),"-")</f>
        <v>SHREE GAYATRI PACKAGING</v>
      </c>
      <c r="C13" s="161" t="s">
        <v>89</v>
      </c>
      <c r="D13" s="162">
        <v>44403.0</v>
      </c>
      <c r="E13" s="161" t="s">
        <v>89</v>
      </c>
      <c r="F13" s="30" t="s">
        <v>89</v>
      </c>
      <c r="G13" s="30" t="s">
        <v>89</v>
      </c>
      <c r="H13" s="30" t="s">
        <v>89</v>
      </c>
      <c r="I13" s="48" t="s">
        <v>108</v>
      </c>
      <c r="J13" s="174">
        <f t="shared" ref="J13:J207" si="11">D13</f>
        <v>44403</v>
      </c>
      <c r="K13" s="48">
        <v>12.0</v>
      </c>
      <c r="L13" s="48" t="s">
        <v>108</v>
      </c>
      <c r="M13" s="30" t="s">
        <v>91</v>
      </c>
      <c r="N13" s="48" t="s">
        <v>122</v>
      </c>
      <c r="O13" s="30" t="s">
        <v>89</v>
      </c>
      <c r="P13" s="48"/>
      <c r="Q13" s="164" t="s">
        <v>117</v>
      </c>
      <c r="R13" s="161">
        <f>IFERROR(VLOOKUP(Q13,'PRODUCT TABLE'!$A$2:$B$26,2,FALSE),"-")</f>
        <v>44011090</v>
      </c>
      <c r="S13" s="48">
        <v>900.0</v>
      </c>
      <c r="T13" s="48">
        <v>10.8</v>
      </c>
      <c r="U13" s="164" t="s">
        <v>95</v>
      </c>
      <c r="V13" s="161">
        <f t="shared" si="1"/>
        <v>9720</v>
      </c>
      <c r="W13" s="168">
        <v>0.025</v>
      </c>
      <c r="X13" s="168">
        <v>0.025</v>
      </c>
      <c r="Y13" s="168">
        <v>0.0</v>
      </c>
      <c r="Z13" s="169">
        <f t="shared" si="2"/>
        <v>10206</v>
      </c>
      <c r="AA13" s="167">
        <f t="shared" si="3"/>
        <v>0</v>
      </c>
      <c r="AB13" s="161"/>
      <c r="AC13" s="161">
        <f t="shared" si="4"/>
        <v>9720</v>
      </c>
      <c r="AD13" s="161">
        <f t="shared" si="5"/>
        <v>243</v>
      </c>
      <c r="AE13" s="161">
        <f t="shared" si="6"/>
        <v>243</v>
      </c>
      <c r="AF13" s="167">
        <f t="shared" si="7"/>
        <v>0</v>
      </c>
      <c r="AG13" s="167">
        <f t="shared" si="8"/>
        <v>486</v>
      </c>
      <c r="AH13" s="158">
        <f t="shared" si="9"/>
        <v>7</v>
      </c>
      <c r="AI13" s="158">
        <f t="shared" si="10"/>
        <v>2021</v>
      </c>
    </row>
    <row r="14" ht="12.75" customHeight="1">
      <c r="A14" s="48" t="s">
        <v>123</v>
      </c>
      <c r="B14" s="160" t="str">
        <f>iferror(VLOOKUP((LEFT(A14,6)),CUSTOMER_DETAILS,2,FALSE),"-")</f>
        <v>SHREE GAYATRI PACKAGING</v>
      </c>
      <c r="C14" s="161" t="s">
        <v>89</v>
      </c>
      <c r="D14" s="162">
        <v>44416.0</v>
      </c>
      <c r="E14" s="161" t="s">
        <v>89</v>
      </c>
      <c r="F14" s="30" t="s">
        <v>89</v>
      </c>
      <c r="G14" s="30" t="s">
        <v>89</v>
      </c>
      <c r="H14" s="30" t="s">
        <v>89</v>
      </c>
      <c r="I14" s="48" t="s">
        <v>108</v>
      </c>
      <c r="J14" s="174">
        <f t="shared" si="11"/>
        <v>44416</v>
      </c>
      <c r="K14" s="48">
        <v>15.0</v>
      </c>
      <c r="L14" s="48" t="s">
        <v>108</v>
      </c>
      <c r="M14" s="30" t="s">
        <v>91</v>
      </c>
      <c r="N14" s="48" t="s">
        <v>122</v>
      </c>
      <c r="O14" s="30" t="s">
        <v>89</v>
      </c>
      <c r="P14" s="48"/>
      <c r="Q14" s="164" t="s">
        <v>117</v>
      </c>
      <c r="R14" s="161">
        <f>IFERROR(VLOOKUP(Q14,'PRODUCT TABLE'!$A$2:$B$26,2,FALSE),"-")</f>
        <v>44011090</v>
      </c>
      <c r="S14" s="48">
        <v>1000.0</v>
      </c>
      <c r="T14" s="48">
        <v>10.8</v>
      </c>
      <c r="U14" s="164" t="s">
        <v>95</v>
      </c>
      <c r="V14" s="161">
        <f t="shared" si="1"/>
        <v>10800</v>
      </c>
      <c r="W14" s="168">
        <v>0.025</v>
      </c>
      <c r="X14" s="168">
        <v>0.025</v>
      </c>
      <c r="Y14" s="168">
        <v>0.0</v>
      </c>
      <c r="Z14" s="169">
        <f t="shared" si="2"/>
        <v>11340</v>
      </c>
      <c r="AA14" s="167">
        <f t="shared" si="3"/>
        <v>0</v>
      </c>
      <c r="AB14" s="161"/>
      <c r="AC14" s="161">
        <f t="shared" si="4"/>
        <v>10800</v>
      </c>
      <c r="AD14" s="161">
        <f t="shared" si="5"/>
        <v>270</v>
      </c>
      <c r="AE14" s="161">
        <f t="shared" si="6"/>
        <v>270</v>
      </c>
      <c r="AF14" s="167">
        <f t="shared" si="7"/>
        <v>0</v>
      </c>
      <c r="AG14" s="167">
        <f t="shared" si="8"/>
        <v>540</v>
      </c>
      <c r="AH14" s="158">
        <f t="shared" si="9"/>
        <v>8</v>
      </c>
      <c r="AI14" s="158">
        <f t="shared" si="10"/>
        <v>2021</v>
      </c>
    </row>
    <row r="15" ht="12.75" customHeight="1">
      <c r="A15" s="48" t="s">
        <v>123</v>
      </c>
      <c r="B15" s="160" t="str">
        <f>iferror(VLOOKUP((LEFT(A15,6)),CUSTOMER_DETAILS,2,FALSE),"-")</f>
        <v>SHREE GAYATRI PACKAGING</v>
      </c>
      <c r="C15" s="161" t="s">
        <v>89</v>
      </c>
      <c r="D15" s="162">
        <v>44438.0</v>
      </c>
      <c r="E15" s="161" t="s">
        <v>89</v>
      </c>
      <c r="F15" s="30" t="s">
        <v>89</v>
      </c>
      <c r="G15" s="30" t="s">
        <v>89</v>
      </c>
      <c r="H15" s="30" t="s">
        <v>89</v>
      </c>
      <c r="I15" s="48" t="s">
        <v>108</v>
      </c>
      <c r="J15" s="174">
        <f t="shared" si="11"/>
        <v>44438</v>
      </c>
      <c r="K15" s="48">
        <v>16.0</v>
      </c>
      <c r="L15" s="48" t="s">
        <v>108</v>
      </c>
      <c r="M15" s="30" t="s">
        <v>91</v>
      </c>
      <c r="N15" s="48" t="s">
        <v>122</v>
      </c>
      <c r="O15" s="30" t="s">
        <v>89</v>
      </c>
      <c r="P15" s="48"/>
      <c r="Q15" s="164" t="s">
        <v>117</v>
      </c>
      <c r="R15" s="161">
        <f>IFERROR(VLOOKUP(Q15,'PRODUCT TABLE'!$A$2:$B$26,2,FALSE),"-")</f>
        <v>44011090</v>
      </c>
      <c r="S15" s="48">
        <v>1625.0</v>
      </c>
      <c r="T15" s="48">
        <v>10.8</v>
      </c>
      <c r="U15" s="164" t="s">
        <v>95</v>
      </c>
      <c r="V15" s="161">
        <f t="shared" si="1"/>
        <v>17550</v>
      </c>
      <c r="W15" s="168">
        <v>0.025</v>
      </c>
      <c r="X15" s="168">
        <v>0.025</v>
      </c>
      <c r="Y15" s="168">
        <v>0.0</v>
      </c>
      <c r="Z15" s="169">
        <f t="shared" si="2"/>
        <v>18427</v>
      </c>
      <c r="AA15" s="167">
        <f t="shared" si="3"/>
        <v>-0.5</v>
      </c>
      <c r="AB15" s="161"/>
      <c r="AC15" s="161">
        <f t="shared" si="4"/>
        <v>17550</v>
      </c>
      <c r="AD15" s="161">
        <f t="shared" si="5"/>
        <v>438.75</v>
      </c>
      <c r="AE15" s="161">
        <f t="shared" si="6"/>
        <v>438.75</v>
      </c>
      <c r="AF15" s="167">
        <f t="shared" si="7"/>
        <v>0</v>
      </c>
      <c r="AG15" s="167">
        <f t="shared" si="8"/>
        <v>877.5</v>
      </c>
      <c r="AH15" s="158">
        <f t="shared" si="9"/>
        <v>8</v>
      </c>
      <c r="AI15" s="158">
        <f t="shared" si="10"/>
        <v>2021</v>
      </c>
    </row>
    <row r="16" ht="12.75" customHeight="1">
      <c r="A16" s="48" t="s">
        <v>123</v>
      </c>
      <c r="B16" s="160" t="str">
        <f>iferror(VLOOKUP((LEFT(A16,6)),CUSTOMER_DETAILS,2,FALSE),"-")</f>
        <v>SHREE GAYATRI PACKAGING</v>
      </c>
      <c r="C16" s="161" t="s">
        <v>89</v>
      </c>
      <c r="D16" s="162">
        <v>44482.0</v>
      </c>
      <c r="E16" s="161" t="s">
        <v>89</v>
      </c>
      <c r="F16" s="30" t="s">
        <v>89</v>
      </c>
      <c r="G16" s="30" t="s">
        <v>89</v>
      </c>
      <c r="H16" s="30" t="s">
        <v>89</v>
      </c>
      <c r="I16" s="48" t="s">
        <v>108</v>
      </c>
      <c r="J16" s="174">
        <f t="shared" si="11"/>
        <v>44482</v>
      </c>
      <c r="K16" s="48">
        <v>17.0</v>
      </c>
      <c r="L16" s="48" t="s">
        <v>108</v>
      </c>
      <c r="M16" s="30" t="s">
        <v>91</v>
      </c>
      <c r="N16" s="48" t="s">
        <v>122</v>
      </c>
      <c r="O16" s="30" t="s">
        <v>89</v>
      </c>
      <c r="P16" s="48"/>
      <c r="Q16" s="164" t="s">
        <v>117</v>
      </c>
      <c r="R16" s="161">
        <f>IFERROR(VLOOKUP(Q16,'PRODUCT TABLE'!$A$2:$B$26,2,FALSE),"-")</f>
        <v>44011090</v>
      </c>
      <c r="S16" s="48">
        <v>1000.0</v>
      </c>
      <c r="T16" s="48">
        <v>10.3</v>
      </c>
      <c r="U16" s="164" t="s">
        <v>95</v>
      </c>
      <c r="V16" s="161">
        <f t="shared" si="1"/>
        <v>10300</v>
      </c>
      <c r="W16" s="168">
        <v>0.025</v>
      </c>
      <c r="X16" s="168">
        <v>0.025</v>
      </c>
      <c r="Y16" s="168">
        <v>0.0</v>
      </c>
      <c r="Z16" s="169">
        <f t="shared" si="2"/>
        <v>10815</v>
      </c>
      <c r="AA16" s="167">
        <f t="shared" si="3"/>
        <v>0</v>
      </c>
      <c r="AB16" s="161"/>
      <c r="AC16" s="161">
        <f t="shared" si="4"/>
        <v>10300</v>
      </c>
      <c r="AD16" s="161">
        <f t="shared" si="5"/>
        <v>257.5</v>
      </c>
      <c r="AE16" s="161">
        <f t="shared" si="6"/>
        <v>257.5</v>
      </c>
      <c r="AF16" s="167">
        <f t="shared" si="7"/>
        <v>0</v>
      </c>
      <c r="AG16" s="167">
        <f t="shared" si="8"/>
        <v>515</v>
      </c>
      <c r="AH16" s="158">
        <f t="shared" si="9"/>
        <v>10</v>
      </c>
      <c r="AI16" s="158">
        <f t="shared" si="10"/>
        <v>2021</v>
      </c>
    </row>
    <row r="17" ht="12.75" customHeight="1">
      <c r="A17" s="48" t="s">
        <v>123</v>
      </c>
      <c r="B17" s="160" t="str">
        <f>iferror(VLOOKUP((LEFT(A17,6)),CUSTOMER_DETAILS,2,FALSE),"-")</f>
        <v>SHREE GAYATRI PACKAGING</v>
      </c>
      <c r="C17" s="161" t="s">
        <v>89</v>
      </c>
      <c r="D17" s="162">
        <v>44518.0</v>
      </c>
      <c r="E17" s="161" t="s">
        <v>89</v>
      </c>
      <c r="F17" s="30" t="s">
        <v>89</v>
      </c>
      <c r="G17" s="30" t="s">
        <v>89</v>
      </c>
      <c r="H17" s="30" t="s">
        <v>89</v>
      </c>
      <c r="I17" s="48" t="s">
        <v>108</v>
      </c>
      <c r="J17" s="174">
        <f t="shared" si="11"/>
        <v>44518</v>
      </c>
      <c r="K17" s="48">
        <v>18.0</v>
      </c>
      <c r="L17" s="48" t="s">
        <v>108</v>
      </c>
      <c r="M17" s="30" t="s">
        <v>91</v>
      </c>
      <c r="N17" s="48" t="s">
        <v>122</v>
      </c>
      <c r="O17" s="30" t="s">
        <v>89</v>
      </c>
      <c r="P17" s="48"/>
      <c r="Q17" s="164" t="s">
        <v>117</v>
      </c>
      <c r="R17" s="161">
        <f>IFERROR(VLOOKUP(Q17,'PRODUCT TABLE'!$A$2:$B$26,2,FALSE),"-")</f>
        <v>44011090</v>
      </c>
      <c r="S17" s="48">
        <v>300.0</v>
      </c>
      <c r="T17" s="48">
        <v>10.3</v>
      </c>
      <c r="U17" s="164" t="s">
        <v>95</v>
      </c>
      <c r="V17" s="161">
        <f t="shared" si="1"/>
        <v>3090</v>
      </c>
      <c r="W17" s="168">
        <v>0.025</v>
      </c>
      <c r="X17" s="168">
        <v>0.025</v>
      </c>
      <c r="Y17" s="168">
        <v>0.0</v>
      </c>
      <c r="Z17" s="169">
        <f t="shared" si="2"/>
        <v>3244</v>
      </c>
      <c r="AA17" s="167">
        <f t="shared" si="3"/>
        <v>-0.5</v>
      </c>
      <c r="AB17" s="161"/>
      <c r="AC17" s="161">
        <f t="shared" si="4"/>
        <v>3090</v>
      </c>
      <c r="AD17" s="161">
        <f t="shared" si="5"/>
        <v>77.25</v>
      </c>
      <c r="AE17" s="161">
        <f t="shared" si="6"/>
        <v>77.25</v>
      </c>
      <c r="AF17" s="167">
        <f t="shared" si="7"/>
        <v>0</v>
      </c>
      <c r="AG17" s="167">
        <f t="shared" si="8"/>
        <v>154.5</v>
      </c>
      <c r="AH17" s="158">
        <f t="shared" si="9"/>
        <v>11</v>
      </c>
      <c r="AI17" s="158">
        <f t="shared" si="10"/>
        <v>2021</v>
      </c>
    </row>
    <row r="18" ht="12.75" customHeight="1">
      <c r="A18" s="48" t="s">
        <v>124</v>
      </c>
      <c r="B18" s="160" t="str">
        <f>iferror(VLOOKUP((LEFT(A18,6)),CUSTOMER_DETAILS,2,FALSE),"-")</f>
        <v>KRISHNA ENTERPRISES</v>
      </c>
      <c r="C18" s="161" t="s">
        <v>89</v>
      </c>
      <c r="D18" s="162">
        <v>44536.0</v>
      </c>
      <c r="E18" s="161" t="s">
        <v>89</v>
      </c>
      <c r="F18" s="30" t="s">
        <v>89</v>
      </c>
      <c r="G18" s="30" t="s">
        <v>89</v>
      </c>
      <c r="H18" s="30" t="s">
        <v>89</v>
      </c>
      <c r="I18" s="48" t="s">
        <v>108</v>
      </c>
      <c r="J18" s="174">
        <f t="shared" si="11"/>
        <v>44536</v>
      </c>
      <c r="K18" s="48">
        <v>19.0</v>
      </c>
      <c r="L18" s="48" t="s">
        <v>108</v>
      </c>
      <c r="M18" s="30" t="s">
        <v>91</v>
      </c>
      <c r="N18" s="48" t="s">
        <v>125</v>
      </c>
      <c r="O18" s="30" t="s">
        <v>89</v>
      </c>
      <c r="P18" s="48"/>
      <c r="Q18" s="164" t="s">
        <v>117</v>
      </c>
      <c r="R18" s="161">
        <f>IFERROR(VLOOKUP(Q18,'PRODUCT TABLE'!$A$2:$B$26,2,FALSE),"-")</f>
        <v>44011090</v>
      </c>
      <c r="S18" s="48">
        <v>1360.0</v>
      </c>
      <c r="T18" s="48">
        <v>11.0</v>
      </c>
      <c r="U18" s="164" t="s">
        <v>95</v>
      </c>
      <c r="V18" s="161">
        <f t="shared" si="1"/>
        <v>14960</v>
      </c>
      <c r="W18" s="168">
        <v>0.025</v>
      </c>
      <c r="X18" s="168">
        <v>0.025</v>
      </c>
      <c r="Y18" s="168">
        <v>0.0</v>
      </c>
      <c r="Z18" s="169">
        <f t="shared" si="2"/>
        <v>15708</v>
      </c>
      <c r="AA18" s="167">
        <f t="shared" si="3"/>
        <v>0</v>
      </c>
      <c r="AB18" s="161"/>
      <c r="AC18" s="161">
        <f t="shared" si="4"/>
        <v>14960</v>
      </c>
      <c r="AD18" s="161">
        <f t="shared" si="5"/>
        <v>374</v>
      </c>
      <c r="AE18" s="161">
        <f t="shared" si="6"/>
        <v>374</v>
      </c>
      <c r="AF18" s="167">
        <f t="shared" si="7"/>
        <v>0</v>
      </c>
      <c r="AG18" s="167">
        <f t="shared" si="8"/>
        <v>748</v>
      </c>
      <c r="AH18" s="158">
        <f t="shared" si="9"/>
        <v>12</v>
      </c>
      <c r="AI18" s="158">
        <f t="shared" si="10"/>
        <v>2021</v>
      </c>
    </row>
    <row r="19" ht="12.75" customHeight="1">
      <c r="A19" s="48" t="s">
        <v>123</v>
      </c>
      <c r="B19" s="160" t="str">
        <f>iferror(VLOOKUP((LEFT(A19,6)),CUSTOMER_DETAILS,2,FALSE),"-")</f>
        <v>SHREE GAYATRI PACKAGING</v>
      </c>
      <c r="C19" s="161" t="s">
        <v>89</v>
      </c>
      <c r="D19" s="162">
        <v>44545.0</v>
      </c>
      <c r="E19" s="161" t="s">
        <v>89</v>
      </c>
      <c r="F19" s="30" t="s">
        <v>89</v>
      </c>
      <c r="G19" s="30" t="s">
        <v>89</v>
      </c>
      <c r="H19" s="30" t="s">
        <v>89</v>
      </c>
      <c r="I19" s="48" t="s">
        <v>108</v>
      </c>
      <c r="J19" s="174">
        <f t="shared" si="11"/>
        <v>44545</v>
      </c>
      <c r="K19" s="48">
        <v>20.0</v>
      </c>
      <c r="L19" s="48" t="s">
        <v>108</v>
      </c>
      <c r="M19" s="30" t="s">
        <v>91</v>
      </c>
      <c r="N19" s="48" t="s">
        <v>122</v>
      </c>
      <c r="O19" s="30" t="s">
        <v>89</v>
      </c>
      <c r="P19" s="48"/>
      <c r="Q19" s="164" t="s">
        <v>117</v>
      </c>
      <c r="R19" s="161">
        <f>IFERROR(VLOOKUP(Q19,'PRODUCT TABLE'!$A$2:$B$26,2,FALSE),"-")</f>
        <v>44011090</v>
      </c>
      <c r="S19" s="48">
        <v>1115.0</v>
      </c>
      <c r="T19" s="48">
        <v>10.5</v>
      </c>
      <c r="U19" s="164" t="s">
        <v>95</v>
      </c>
      <c r="V19" s="161">
        <f t="shared" si="1"/>
        <v>11707.5</v>
      </c>
      <c r="W19" s="168">
        <v>0.025</v>
      </c>
      <c r="X19" s="168">
        <v>0.025</v>
      </c>
      <c r="Y19" s="168">
        <v>0.0</v>
      </c>
      <c r="Z19" s="169">
        <f t="shared" si="2"/>
        <v>12293</v>
      </c>
      <c r="AA19" s="167">
        <f t="shared" si="3"/>
        <v>0.125</v>
      </c>
      <c r="AB19" s="161"/>
      <c r="AC19" s="161">
        <f t="shared" si="4"/>
        <v>11707.5</v>
      </c>
      <c r="AD19" s="161">
        <f t="shared" si="5"/>
        <v>292.6875</v>
      </c>
      <c r="AE19" s="161">
        <f t="shared" si="6"/>
        <v>292.6875</v>
      </c>
      <c r="AF19" s="167">
        <f t="shared" si="7"/>
        <v>0</v>
      </c>
      <c r="AG19" s="167">
        <f t="shared" si="8"/>
        <v>585.375</v>
      </c>
      <c r="AH19" s="158">
        <f t="shared" si="9"/>
        <v>12</v>
      </c>
      <c r="AI19" s="158">
        <f t="shared" si="10"/>
        <v>2021</v>
      </c>
    </row>
    <row r="20" ht="12.75" customHeight="1">
      <c r="A20" s="48" t="s">
        <v>124</v>
      </c>
      <c r="B20" s="160" t="str">
        <f>iferror(VLOOKUP((LEFT(A20,6)),CUSTOMER_DETAILS,2,FALSE),"-")</f>
        <v>KRISHNA ENTERPRISES</v>
      </c>
      <c r="C20" s="175" t="s">
        <v>108</v>
      </c>
      <c r="D20" s="162">
        <v>44544.0</v>
      </c>
      <c r="E20" s="161" t="s">
        <v>89</v>
      </c>
      <c r="F20" s="30" t="s">
        <v>89</v>
      </c>
      <c r="G20" s="30" t="s">
        <v>89</v>
      </c>
      <c r="H20" s="30" t="s">
        <v>89</v>
      </c>
      <c r="I20" s="48" t="s">
        <v>108</v>
      </c>
      <c r="J20" s="174">
        <f t="shared" si="11"/>
        <v>44544</v>
      </c>
      <c r="K20" s="48">
        <v>21.0</v>
      </c>
      <c r="L20" s="48" t="s">
        <v>108</v>
      </c>
      <c r="M20" s="30" t="s">
        <v>91</v>
      </c>
      <c r="N20" s="48" t="s">
        <v>122</v>
      </c>
      <c r="O20" s="30" t="s">
        <v>89</v>
      </c>
      <c r="P20" s="48"/>
      <c r="Q20" s="164" t="s">
        <v>117</v>
      </c>
      <c r="R20" s="161">
        <f>IFERROR(VLOOKUP(Q20,'PRODUCT TABLE'!$A$2:$B$26,2,FALSE),"-")</f>
        <v>44011090</v>
      </c>
      <c r="S20" s="48">
        <v>2000.0</v>
      </c>
      <c r="T20" s="48">
        <v>10.3</v>
      </c>
      <c r="U20" s="164" t="s">
        <v>95</v>
      </c>
      <c r="V20" s="161">
        <f t="shared" si="1"/>
        <v>20600</v>
      </c>
      <c r="W20" s="168">
        <v>0.025</v>
      </c>
      <c r="X20" s="168">
        <v>0.025</v>
      </c>
      <c r="Y20" s="168">
        <v>0.0</v>
      </c>
      <c r="Z20" s="169">
        <f t="shared" si="2"/>
        <v>21630</v>
      </c>
      <c r="AA20" s="167">
        <f t="shared" si="3"/>
        <v>0</v>
      </c>
      <c r="AB20" s="161"/>
      <c r="AC20" s="161">
        <f t="shared" si="4"/>
        <v>20600</v>
      </c>
      <c r="AD20" s="161">
        <f t="shared" si="5"/>
        <v>515</v>
      </c>
      <c r="AE20" s="161">
        <f t="shared" si="6"/>
        <v>515</v>
      </c>
      <c r="AF20" s="167">
        <f t="shared" si="7"/>
        <v>0</v>
      </c>
      <c r="AG20" s="167">
        <f t="shared" si="8"/>
        <v>1030</v>
      </c>
      <c r="AH20" s="158">
        <f t="shared" si="9"/>
        <v>12</v>
      </c>
      <c r="AI20" s="158">
        <f t="shared" si="10"/>
        <v>2021</v>
      </c>
    </row>
    <row r="21" ht="12.75" customHeight="1">
      <c r="A21" s="48" t="s">
        <v>123</v>
      </c>
      <c r="B21" s="160" t="str">
        <f>iferror(VLOOKUP((LEFT(A21,6)),CUSTOMER_DETAILS,2,FALSE),"-")</f>
        <v>SHREE GAYATRI PACKAGING</v>
      </c>
      <c r="C21" s="161" t="s">
        <v>89</v>
      </c>
      <c r="D21" s="162">
        <v>44551.0</v>
      </c>
      <c r="E21" s="161" t="s">
        <v>89</v>
      </c>
      <c r="F21" s="30" t="s">
        <v>89</v>
      </c>
      <c r="G21" s="30" t="s">
        <v>89</v>
      </c>
      <c r="H21" s="30" t="s">
        <v>89</v>
      </c>
      <c r="I21" s="48" t="s">
        <v>108</v>
      </c>
      <c r="J21" s="174">
        <f t="shared" si="11"/>
        <v>44551</v>
      </c>
      <c r="K21" s="48">
        <v>22.0</v>
      </c>
      <c r="L21" s="48" t="s">
        <v>108</v>
      </c>
      <c r="M21" s="30" t="s">
        <v>91</v>
      </c>
      <c r="N21" s="48" t="s">
        <v>122</v>
      </c>
      <c r="O21" s="30" t="s">
        <v>89</v>
      </c>
      <c r="P21" s="48"/>
      <c r="Q21" s="164" t="s">
        <v>117</v>
      </c>
      <c r="R21" s="161">
        <f>IFERROR(VLOOKUP(Q21,'PRODUCT TABLE'!$A$2:$B$26,2,FALSE),"-")</f>
        <v>44011090</v>
      </c>
      <c r="S21" s="48">
        <v>1000.0</v>
      </c>
      <c r="T21" s="48">
        <v>10.5</v>
      </c>
      <c r="U21" s="164" t="s">
        <v>95</v>
      </c>
      <c r="V21" s="161">
        <f t="shared" si="1"/>
        <v>10500</v>
      </c>
      <c r="W21" s="168">
        <v>0.025</v>
      </c>
      <c r="X21" s="168">
        <v>0.025</v>
      </c>
      <c r="Y21" s="168">
        <v>0.0</v>
      </c>
      <c r="Z21" s="169">
        <f t="shared" si="2"/>
        <v>11025</v>
      </c>
      <c r="AA21" s="167">
        <f t="shared" si="3"/>
        <v>0</v>
      </c>
      <c r="AB21" s="161"/>
      <c r="AC21" s="161">
        <f t="shared" si="4"/>
        <v>10500</v>
      </c>
      <c r="AD21" s="161">
        <f t="shared" si="5"/>
        <v>262.5</v>
      </c>
      <c r="AE21" s="161">
        <f t="shared" si="6"/>
        <v>262.5</v>
      </c>
      <c r="AF21" s="167">
        <f t="shared" si="7"/>
        <v>0</v>
      </c>
      <c r="AG21" s="167">
        <f t="shared" si="8"/>
        <v>525</v>
      </c>
      <c r="AH21" s="158">
        <f t="shared" si="9"/>
        <v>12</v>
      </c>
      <c r="AI21" s="158">
        <f t="shared" si="10"/>
        <v>2021</v>
      </c>
    </row>
    <row r="22" ht="12.75" customHeight="1">
      <c r="A22" s="48" t="s">
        <v>124</v>
      </c>
      <c r="B22" s="160" t="str">
        <f>iferror(VLOOKUP((LEFT(A22,6)),CUSTOMER_DETAILS,2,FALSE),"-")</f>
        <v>KRISHNA ENTERPRISES</v>
      </c>
      <c r="C22" s="161" t="s">
        <v>89</v>
      </c>
      <c r="D22" s="162">
        <v>44563.0</v>
      </c>
      <c r="E22" s="161" t="s">
        <v>89</v>
      </c>
      <c r="F22" s="30" t="s">
        <v>89</v>
      </c>
      <c r="G22" s="30" t="s">
        <v>89</v>
      </c>
      <c r="H22" s="30" t="s">
        <v>89</v>
      </c>
      <c r="I22" s="48" t="s">
        <v>108</v>
      </c>
      <c r="J22" s="174">
        <f t="shared" si="11"/>
        <v>44563</v>
      </c>
      <c r="K22" s="48">
        <v>23.0</v>
      </c>
      <c r="L22" s="48" t="s">
        <v>108</v>
      </c>
      <c r="M22" s="30" t="s">
        <v>91</v>
      </c>
      <c r="N22" s="48" t="s">
        <v>125</v>
      </c>
      <c r="O22" s="30" t="s">
        <v>89</v>
      </c>
      <c r="P22" s="48"/>
      <c r="Q22" s="164" t="s">
        <v>117</v>
      </c>
      <c r="R22" s="161">
        <f>IFERROR(VLOOKUP(Q22,'PRODUCT TABLE'!$A$2:$B$26,2,FALSE),"-")</f>
        <v>44011090</v>
      </c>
      <c r="S22" s="48">
        <v>2100.0</v>
      </c>
      <c r="T22" s="48">
        <v>10.5</v>
      </c>
      <c r="U22" s="164" t="s">
        <v>95</v>
      </c>
      <c r="V22" s="161">
        <f t="shared" si="1"/>
        <v>22050</v>
      </c>
      <c r="W22" s="168">
        <v>0.025</v>
      </c>
      <c r="X22" s="168">
        <v>0.025</v>
      </c>
      <c r="Y22" s="168">
        <v>0.0</v>
      </c>
      <c r="Z22" s="169">
        <f t="shared" si="2"/>
        <v>23152</v>
      </c>
      <c r="AA22" s="167">
        <f t="shared" si="3"/>
        <v>-0.5</v>
      </c>
      <c r="AB22" s="161"/>
      <c r="AC22" s="161">
        <f t="shared" si="4"/>
        <v>22050</v>
      </c>
      <c r="AD22" s="161">
        <f t="shared" si="5"/>
        <v>551.25</v>
      </c>
      <c r="AE22" s="161">
        <f t="shared" si="6"/>
        <v>551.25</v>
      </c>
      <c r="AF22" s="167">
        <f t="shared" si="7"/>
        <v>0</v>
      </c>
      <c r="AG22" s="167">
        <f t="shared" si="8"/>
        <v>1102.5</v>
      </c>
      <c r="AH22" s="158">
        <f t="shared" si="9"/>
        <v>1</v>
      </c>
      <c r="AI22" s="158">
        <f t="shared" si="10"/>
        <v>2022</v>
      </c>
    </row>
    <row r="23" ht="12.75" customHeight="1">
      <c r="A23" s="48" t="s">
        <v>124</v>
      </c>
      <c r="B23" s="160" t="str">
        <f>iferror(VLOOKUP((LEFT(A23,6)),CUSTOMER_DETAILS,2,FALSE),"-")</f>
        <v>KRISHNA ENTERPRISES</v>
      </c>
      <c r="C23" s="161" t="s">
        <v>89</v>
      </c>
      <c r="D23" s="162">
        <v>44563.0</v>
      </c>
      <c r="E23" s="161" t="s">
        <v>89</v>
      </c>
      <c r="F23" s="30" t="s">
        <v>89</v>
      </c>
      <c r="G23" s="30" t="s">
        <v>89</v>
      </c>
      <c r="H23" s="30" t="s">
        <v>89</v>
      </c>
      <c r="I23" s="48" t="s">
        <v>108</v>
      </c>
      <c r="J23" s="174">
        <f t="shared" si="11"/>
        <v>44563</v>
      </c>
      <c r="K23" s="48">
        <v>24.0</v>
      </c>
      <c r="L23" s="48" t="s">
        <v>108</v>
      </c>
      <c r="M23" s="30" t="s">
        <v>91</v>
      </c>
      <c r="N23" s="48" t="s">
        <v>125</v>
      </c>
      <c r="O23" s="30" t="s">
        <v>89</v>
      </c>
      <c r="P23" s="48"/>
      <c r="Q23" s="164" t="s">
        <v>117</v>
      </c>
      <c r="R23" s="161">
        <f>IFERROR(VLOOKUP(Q23,'PRODUCT TABLE'!$A$2:$B$26,2,FALSE),"-")</f>
        <v>44011090</v>
      </c>
      <c r="S23" s="48">
        <v>5550.0</v>
      </c>
      <c r="T23" s="48">
        <v>7.3</v>
      </c>
      <c r="U23" s="164" t="s">
        <v>95</v>
      </c>
      <c r="V23" s="161">
        <f t="shared" si="1"/>
        <v>40515</v>
      </c>
      <c r="W23" s="168">
        <v>0.025</v>
      </c>
      <c r="X23" s="168">
        <v>0.025</v>
      </c>
      <c r="Y23" s="168">
        <v>0.0</v>
      </c>
      <c r="Z23" s="169">
        <f t="shared" si="2"/>
        <v>42541</v>
      </c>
      <c r="AA23" s="167">
        <f t="shared" si="3"/>
        <v>0.25</v>
      </c>
      <c r="AB23" s="161"/>
      <c r="AC23" s="161">
        <f t="shared" si="4"/>
        <v>40515</v>
      </c>
      <c r="AD23" s="161">
        <f t="shared" si="5"/>
        <v>1012.875</v>
      </c>
      <c r="AE23" s="161">
        <f t="shared" si="6"/>
        <v>1012.875</v>
      </c>
      <c r="AF23" s="167">
        <f t="shared" si="7"/>
        <v>0</v>
      </c>
      <c r="AG23" s="167">
        <f t="shared" si="8"/>
        <v>2025.75</v>
      </c>
      <c r="AH23" s="158">
        <f t="shared" si="9"/>
        <v>1</v>
      </c>
      <c r="AI23" s="158">
        <f t="shared" si="10"/>
        <v>2022</v>
      </c>
    </row>
    <row r="24" ht="12.75" customHeight="1">
      <c r="A24" s="48" t="s">
        <v>126</v>
      </c>
      <c r="B24" s="176" t="s">
        <v>127</v>
      </c>
      <c r="C24" s="161" t="s">
        <v>89</v>
      </c>
      <c r="D24" s="162">
        <v>44570.0</v>
      </c>
      <c r="E24" s="161" t="s">
        <v>89</v>
      </c>
      <c r="F24" s="30" t="s">
        <v>89</v>
      </c>
      <c r="G24" s="30" t="s">
        <v>89</v>
      </c>
      <c r="H24" s="30" t="s">
        <v>89</v>
      </c>
      <c r="I24" s="48" t="s">
        <v>108</v>
      </c>
      <c r="J24" s="174">
        <f t="shared" si="11"/>
        <v>44570</v>
      </c>
      <c r="K24" s="48">
        <v>25.0</v>
      </c>
      <c r="L24" s="48" t="s">
        <v>108</v>
      </c>
      <c r="M24" s="30" t="s">
        <v>91</v>
      </c>
      <c r="N24" s="48" t="s">
        <v>128</v>
      </c>
      <c r="O24" s="30" t="s">
        <v>89</v>
      </c>
      <c r="P24" s="48"/>
      <c r="Q24" s="164" t="s">
        <v>117</v>
      </c>
      <c r="R24" s="161">
        <f>IFERROR(VLOOKUP(Q24,'PRODUCT TABLE'!$A$2:$B$26,2,FALSE),"-")</f>
        <v>44011090</v>
      </c>
      <c r="S24" s="48">
        <v>210.0</v>
      </c>
      <c r="T24" s="48">
        <v>11.5</v>
      </c>
      <c r="U24" s="164" t="s">
        <v>95</v>
      </c>
      <c r="V24" s="161">
        <f t="shared" si="1"/>
        <v>2415</v>
      </c>
      <c r="W24" s="168">
        <v>0.025</v>
      </c>
      <c r="X24" s="168">
        <v>0.025</v>
      </c>
      <c r="Y24" s="168">
        <v>0.0</v>
      </c>
      <c r="Z24" s="169">
        <f t="shared" si="2"/>
        <v>2536</v>
      </c>
      <c r="AA24" s="167">
        <f t="shared" si="3"/>
        <v>0.25</v>
      </c>
      <c r="AB24" s="161"/>
      <c r="AC24" s="161">
        <f t="shared" si="4"/>
        <v>2415</v>
      </c>
      <c r="AD24" s="161">
        <f t="shared" si="5"/>
        <v>60.375</v>
      </c>
      <c r="AE24" s="161">
        <f t="shared" si="6"/>
        <v>60.375</v>
      </c>
      <c r="AF24" s="167">
        <f t="shared" si="7"/>
        <v>0</v>
      </c>
      <c r="AG24" s="167">
        <f t="shared" si="8"/>
        <v>120.75</v>
      </c>
      <c r="AH24" s="158">
        <f t="shared" si="9"/>
        <v>1</v>
      </c>
      <c r="AI24" s="158">
        <f t="shared" si="10"/>
        <v>2022</v>
      </c>
    </row>
    <row r="25" ht="12.75" customHeight="1">
      <c r="A25" s="48" t="s">
        <v>126</v>
      </c>
      <c r="B25" s="176" t="s">
        <v>127</v>
      </c>
      <c r="C25" s="161" t="s">
        <v>89</v>
      </c>
      <c r="D25" s="162">
        <v>44577.0</v>
      </c>
      <c r="E25" s="161" t="s">
        <v>89</v>
      </c>
      <c r="F25" s="30" t="s">
        <v>89</v>
      </c>
      <c r="G25" s="30" t="s">
        <v>89</v>
      </c>
      <c r="H25" s="30" t="s">
        <v>89</v>
      </c>
      <c r="I25" s="48" t="s">
        <v>108</v>
      </c>
      <c r="J25" s="174">
        <f t="shared" si="11"/>
        <v>44577</v>
      </c>
      <c r="K25" s="48">
        <v>26.0</v>
      </c>
      <c r="L25" s="48" t="s">
        <v>108</v>
      </c>
      <c r="M25" s="30" t="s">
        <v>91</v>
      </c>
      <c r="N25" s="48" t="s">
        <v>128</v>
      </c>
      <c r="O25" s="30" t="s">
        <v>89</v>
      </c>
      <c r="P25" s="48"/>
      <c r="Q25" s="164" t="s">
        <v>117</v>
      </c>
      <c r="R25" s="161">
        <f>IFERROR(VLOOKUP(Q25,'PRODUCT TABLE'!$A$2:$B$26,2,FALSE),"-")</f>
        <v>44011090</v>
      </c>
      <c r="S25" s="48">
        <v>1020.0</v>
      </c>
      <c r="T25" s="48">
        <v>11.0</v>
      </c>
      <c r="U25" s="164" t="s">
        <v>95</v>
      </c>
      <c r="V25" s="161">
        <f t="shared" si="1"/>
        <v>11220</v>
      </c>
      <c r="W25" s="168">
        <v>0.025</v>
      </c>
      <c r="X25" s="168">
        <v>0.025</v>
      </c>
      <c r="Y25" s="168">
        <v>0.0</v>
      </c>
      <c r="Z25" s="169">
        <f t="shared" si="2"/>
        <v>11781</v>
      </c>
      <c r="AA25" s="167">
        <f t="shared" si="3"/>
        <v>0</v>
      </c>
      <c r="AB25" s="161"/>
      <c r="AC25" s="161">
        <f t="shared" si="4"/>
        <v>11220</v>
      </c>
      <c r="AD25" s="161">
        <f t="shared" si="5"/>
        <v>280.5</v>
      </c>
      <c r="AE25" s="161">
        <f t="shared" si="6"/>
        <v>280.5</v>
      </c>
      <c r="AF25" s="167">
        <f t="shared" si="7"/>
        <v>0</v>
      </c>
      <c r="AG25" s="167">
        <f t="shared" si="8"/>
        <v>561</v>
      </c>
      <c r="AH25" s="158">
        <f t="shared" si="9"/>
        <v>1</v>
      </c>
      <c r="AI25" s="158">
        <f t="shared" si="10"/>
        <v>2022</v>
      </c>
    </row>
    <row r="26" ht="12.75" customHeight="1">
      <c r="A26" s="48" t="s">
        <v>126</v>
      </c>
      <c r="B26" s="176" t="s">
        <v>127</v>
      </c>
      <c r="C26" s="161" t="s">
        <v>89</v>
      </c>
      <c r="D26" s="162">
        <v>44592.0</v>
      </c>
      <c r="E26" s="161" t="s">
        <v>89</v>
      </c>
      <c r="F26" s="30" t="s">
        <v>89</v>
      </c>
      <c r="G26" s="30" t="s">
        <v>89</v>
      </c>
      <c r="H26" s="30" t="s">
        <v>89</v>
      </c>
      <c r="I26" s="48" t="s">
        <v>108</v>
      </c>
      <c r="J26" s="174">
        <f t="shared" si="11"/>
        <v>44592</v>
      </c>
      <c r="K26" s="48">
        <v>27.0</v>
      </c>
      <c r="L26" s="48" t="s">
        <v>108</v>
      </c>
      <c r="M26" s="30" t="s">
        <v>91</v>
      </c>
      <c r="N26" s="48" t="s">
        <v>128</v>
      </c>
      <c r="O26" s="30" t="s">
        <v>89</v>
      </c>
      <c r="P26" s="48"/>
      <c r="Q26" s="164" t="s">
        <v>117</v>
      </c>
      <c r="R26" s="161">
        <f>IFERROR(VLOOKUP(Q26,'PRODUCT TABLE'!$A$2:$B$26,2,FALSE),"-")</f>
        <v>44011090</v>
      </c>
      <c r="S26" s="48">
        <v>1020.0</v>
      </c>
      <c r="T26" s="48">
        <v>11.0</v>
      </c>
      <c r="U26" s="164" t="s">
        <v>95</v>
      </c>
      <c r="V26" s="161">
        <f t="shared" si="1"/>
        <v>11220</v>
      </c>
      <c r="W26" s="168">
        <v>0.025</v>
      </c>
      <c r="X26" s="168">
        <v>0.025</v>
      </c>
      <c r="Y26" s="168">
        <v>0.0</v>
      </c>
      <c r="Z26" s="169">
        <f t="shared" si="2"/>
        <v>11781</v>
      </c>
      <c r="AA26" s="167">
        <f t="shared" si="3"/>
        <v>0</v>
      </c>
      <c r="AB26" s="161"/>
      <c r="AC26" s="161">
        <f t="shared" si="4"/>
        <v>11220</v>
      </c>
      <c r="AD26" s="161">
        <f t="shared" si="5"/>
        <v>280.5</v>
      </c>
      <c r="AE26" s="161">
        <f t="shared" si="6"/>
        <v>280.5</v>
      </c>
      <c r="AF26" s="167">
        <f t="shared" si="7"/>
        <v>0</v>
      </c>
      <c r="AG26" s="167">
        <f t="shared" si="8"/>
        <v>561</v>
      </c>
      <c r="AH26" s="158">
        <f t="shared" si="9"/>
        <v>1</v>
      </c>
      <c r="AI26" s="158">
        <f t="shared" si="10"/>
        <v>2022</v>
      </c>
    </row>
    <row r="27" ht="12.75" customHeight="1">
      <c r="A27" s="48" t="s">
        <v>126</v>
      </c>
      <c r="B27" s="176" t="s">
        <v>127</v>
      </c>
      <c r="C27" s="161" t="s">
        <v>89</v>
      </c>
      <c r="D27" s="162">
        <v>44602.0</v>
      </c>
      <c r="E27" s="161" t="s">
        <v>89</v>
      </c>
      <c r="F27" s="30" t="s">
        <v>89</v>
      </c>
      <c r="G27" s="30" t="s">
        <v>89</v>
      </c>
      <c r="H27" s="30" t="s">
        <v>89</v>
      </c>
      <c r="I27" s="48" t="s">
        <v>108</v>
      </c>
      <c r="J27" s="174">
        <f t="shared" si="11"/>
        <v>44602</v>
      </c>
      <c r="K27" s="48">
        <v>28.0</v>
      </c>
      <c r="L27" s="48" t="s">
        <v>108</v>
      </c>
      <c r="M27" s="30" t="s">
        <v>91</v>
      </c>
      <c r="N27" s="48" t="s">
        <v>128</v>
      </c>
      <c r="O27" s="30" t="s">
        <v>89</v>
      </c>
      <c r="P27" s="48"/>
      <c r="Q27" s="164" t="s">
        <v>117</v>
      </c>
      <c r="R27" s="161">
        <f>IFERROR(VLOOKUP(Q27,'PRODUCT TABLE'!$A$2:$B$26,2,FALSE),"-")</f>
        <v>44011090</v>
      </c>
      <c r="S27" s="48">
        <v>1020.0</v>
      </c>
      <c r="T27" s="48">
        <v>11.0</v>
      </c>
      <c r="U27" s="164" t="s">
        <v>95</v>
      </c>
      <c r="V27" s="161">
        <f t="shared" si="1"/>
        <v>11220</v>
      </c>
      <c r="W27" s="168">
        <v>0.025</v>
      </c>
      <c r="X27" s="168">
        <v>0.025</v>
      </c>
      <c r="Y27" s="168">
        <v>0.0</v>
      </c>
      <c r="Z27" s="169">
        <f t="shared" si="2"/>
        <v>11781</v>
      </c>
      <c r="AA27" s="167">
        <f t="shared" si="3"/>
        <v>0</v>
      </c>
      <c r="AB27" s="161"/>
      <c r="AC27" s="161">
        <f t="shared" si="4"/>
        <v>11220</v>
      </c>
      <c r="AD27" s="161">
        <f t="shared" si="5"/>
        <v>280.5</v>
      </c>
      <c r="AE27" s="161">
        <f t="shared" si="6"/>
        <v>280.5</v>
      </c>
      <c r="AF27" s="167">
        <f t="shared" si="7"/>
        <v>0</v>
      </c>
      <c r="AG27" s="167">
        <f t="shared" si="8"/>
        <v>561</v>
      </c>
      <c r="AH27" s="158">
        <f t="shared" si="9"/>
        <v>2</v>
      </c>
      <c r="AI27" s="158">
        <f t="shared" si="10"/>
        <v>2022</v>
      </c>
    </row>
    <row r="28" ht="12.75" customHeight="1">
      <c r="A28" s="48" t="s">
        <v>123</v>
      </c>
      <c r="B28" s="160" t="str">
        <f>iferror(VLOOKUP((LEFT(A28,6)),CUSTOMER_DETAILS,2,FALSE),"-")</f>
        <v>SHREE GAYATRI PACKAGING</v>
      </c>
      <c r="C28" s="175" t="s">
        <v>108</v>
      </c>
      <c r="D28" s="162">
        <v>44610.0</v>
      </c>
      <c r="E28" s="161" t="s">
        <v>89</v>
      </c>
      <c r="F28" s="30" t="s">
        <v>89</v>
      </c>
      <c r="G28" s="30" t="s">
        <v>89</v>
      </c>
      <c r="H28" s="30" t="s">
        <v>89</v>
      </c>
      <c r="I28" s="48" t="s">
        <v>108</v>
      </c>
      <c r="J28" s="174">
        <f t="shared" si="11"/>
        <v>44610</v>
      </c>
      <c r="K28" s="48">
        <v>29.0</v>
      </c>
      <c r="L28" s="48" t="s">
        <v>108</v>
      </c>
      <c r="M28" s="30" t="s">
        <v>91</v>
      </c>
      <c r="N28" s="48" t="s">
        <v>122</v>
      </c>
      <c r="O28" s="30" t="s">
        <v>89</v>
      </c>
      <c r="P28" s="48"/>
      <c r="Q28" s="164" t="s">
        <v>117</v>
      </c>
      <c r="R28" s="161">
        <f>IFERROR(VLOOKUP(Q28,'PRODUCT TABLE'!$A$2:$B$26,2,FALSE),"-")</f>
        <v>44011090</v>
      </c>
      <c r="S28" s="48">
        <v>2100.0</v>
      </c>
      <c r="T28" s="48">
        <v>10.5</v>
      </c>
      <c r="U28" s="164" t="s">
        <v>95</v>
      </c>
      <c r="V28" s="161">
        <f t="shared" si="1"/>
        <v>22050</v>
      </c>
      <c r="W28" s="168">
        <v>0.025</v>
      </c>
      <c r="X28" s="168">
        <v>0.025</v>
      </c>
      <c r="Y28" s="168">
        <v>0.0</v>
      </c>
      <c r="Z28" s="169">
        <f t="shared" si="2"/>
        <v>23152</v>
      </c>
      <c r="AA28" s="167">
        <f t="shared" si="3"/>
        <v>-0.5</v>
      </c>
      <c r="AB28" s="161"/>
      <c r="AC28" s="161">
        <f t="shared" si="4"/>
        <v>22050</v>
      </c>
      <c r="AD28" s="161">
        <f t="shared" si="5"/>
        <v>551.25</v>
      </c>
      <c r="AE28" s="161">
        <f t="shared" si="6"/>
        <v>551.25</v>
      </c>
      <c r="AF28" s="167">
        <f t="shared" si="7"/>
        <v>0</v>
      </c>
      <c r="AG28" s="167">
        <f t="shared" si="8"/>
        <v>1102.5</v>
      </c>
      <c r="AH28" s="158">
        <f t="shared" si="9"/>
        <v>2</v>
      </c>
      <c r="AI28" s="158">
        <f t="shared" si="10"/>
        <v>2022</v>
      </c>
    </row>
    <row r="29" ht="12.75" customHeight="1">
      <c r="A29" s="48" t="s">
        <v>126</v>
      </c>
      <c r="B29" s="176" t="s">
        <v>127</v>
      </c>
      <c r="C29" s="161" t="s">
        <v>89</v>
      </c>
      <c r="D29" s="162">
        <v>44612.0</v>
      </c>
      <c r="E29" s="161" t="s">
        <v>89</v>
      </c>
      <c r="F29" s="30" t="s">
        <v>89</v>
      </c>
      <c r="G29" s="30" t="s">
        <v>89</v>
      </c>
      <c r="H29" s="30" t="s">
        <v>89</v>
      </c>
      <c r="I29" s="48" t="s">
        <v>108</v>
      </c>
      <c r="J29" s="174">
        <f t="shared" si="11"/>
        <v>44612</v>
      </c>
      <c r="K29" s="48">
        <v>30.0</v>
      </c>
      <c r="L29" s="48" t="s">
        <v>108</v>
      </c>
      <c r="M29" s="30" t="s">
        <v>91</v>
      </c>
      <c r="N29" s="48" t="s">
        <v>128</v>
      </c>
      <c r="O29" s="30" t="s">
        <v>89</v>
      </c>
      <c r="P29" s="48"/>
      <c r="Q29" s="164" t="s">
        <v>117</v>
      </c>
      <c r="R29" s="161">
        <f>IFERROR(VLOOKUP(Q29,'PRODUCT TABLE'!$A$2:$B$26,2,FALSE),"-")</f>
        <v>44011090</v>
      </c>
      <c r="S29" s="48">
        <v>1020.0</v>
      </c>
      <c r="T29" s="48">
        <v>11.0</v>
      </c>
      <c r="U29" s="164" t="s">
        <v>95</v>
      </c>
      <c r="V29" s="161">
        <f t="shared" si="1"/>
        <v>11220</v>
      </c>
      <c r="W29" s="168">
        <v>0.025</v>
      </c>
      <c r="X29" s="168">
        <v>0.025</v>
      </c>
      <c r="Y29" s="168">
        <v>0.0</v>
      </c>
      <c r="Z29" s="169">
        <f t="shared" si="2"/>
        <v>11781</v>
      </c>
      <c r="AA29" s="167">
        <f t="shared" si="3"/>
        <v>0</v>
      </c>
      <c r="AB29" s="161"/>
      <c r="AC29" s="161">
        <f t="shared" si="4"/>
        <v>11220</v>
      </c>
      <c r="AD29" s="161">
        <f t="shared" si="5"/>
        <v>280.5</v>
      </c>
      <c r="AE29" s="161">
        <f t="shared" si="6"/>
        <v>280.5</v>
      </c>
      <c r="AF29" s="167">
        <f t="shared" si="7"/>
        <v>0</v>
      </c>
      <c r="AG29" s="167">
        <f t="shared" si="8"/>
        <v>561</v>
      </c>
      <c r="AH29" s="158">
        <f t="shared" si="9"/>
        <v>2</v>
      </c>
      <c r="AI29" s="158">
        <f t="shared" si="10"/>
        <v>2022</v>
      </c>
    </row>
    <row r="30" ht="12.75" customHeight="1">
      <c r="A30" s="48" t="s">
        <v>129</v>
      </c>
      <c r="B30" s="160" t="str">
        <f>iferror(VLOOKUP((LEFT(A30,6)),CUSTOMER_DETAILS,2,FALSE),"-")</f>
        <v>KABRA FOODS</v>
      </c>
      <c r="C30" s="161" t="s">
        <v>89</v>
      </c>
      <c r="D30" s="162">
        <v>44616.0</v>
      </c>
      <c r="E30" s="161" t="s">
        <v>89</v>
      </c>
      <c r="F30" s="30" t="s">
        <v>89</v>
      </c>
      <c r="G30" s="30" t="s">
        <v>89</v>
      </c>
      <c r="H30" s="30" t="s">
        <v>89</v>
      </c>
      <c r="I30" s="48" t="s">
        <v>108</v>
      </c>
      <c r="J30" s="174">
        <f t="shared" si="11"/>
        <v>44616</v>
      </c>
      <c r="K30" s="48">
        <v>31.0</v>
      </c>
      <c r="L30" s="48" t="s">
        <v>108</v>
      </c>
      <c r="M30" s="30" t="s">
        <v>91</v>
      </c>
      <c r="N30" s="48" t="s">
        <v>130</v>
      </c>
      <c r="O30" s="30" t="s">
        <v>89</v>
      </c>
      <c r="P30" s="48"/>
      <c r="Q30" s="164" t="s">
        <v>117</v>
      </c>
      <c r="R30" s="161">
        <f>IFERROR(VLOOKUP(Q30,'PRODUCT TABLE'!$A$2:$B$26,2,FALSE),"-")</f>
        <v>44011090</v>
      </c>
      <c r="S30" s="48">
        <v>300.0</v>
      </c>
      <c r="T30" s="48">
        <v>10.8</v>
      </c>
      <c r="U30" s="164" t="s">
        <v>95</v>
      </c>
      <c r="V30" s="161">
        <f t="shared" si="1"/>
        <v>3240</v>
      </c>
      <c r="W30" s="168">
        <v>0.025</v>
      </c>
      <c r="X30" s="168">
        <v>0.025</v>
      </c>
      <c r="Y30" s="168">
        <v>0.0</v>
      </c>
      <c r="Z30" s="169">
        <f t="shared" si="2"/>
        <v>3402</v>
      </c>
      <c r="AA30" s="167">
        <f t="shared" si="3"/>
        <v>0</v>
      </c>
      <c r="AB30" s="161"/>
      <c r="AC30" s="161">
        <f t="shared" si="4"/>
        <v>3240</v>
      </c>
      <c r="AD30" s="161">
        <f t="shared" si="5"/>
        <v>81</v>
      </c>
      <c r="AE30" s="161">
        <f t="shared" si="6"/>
        <v>81</v>
      </c>
      <c r="AF30" s="167">
        <f t="shared" si="7"/>
        <v>0</v>
      </c>
      <c r="AG30" s="167">
        <f t="shared" si="8"/>
        <v>162</v>
      </c>
      <c r="AH30" s="158">
        <f t="shared" si="9"/>
        <v>2</v>
      </c>
      <c r="AI30" s="158">
        <f t="shared" si="10"/>
        <v>2022</v>
      </c>
    </row>
    <row r="31" ht="12.75" customHeight="1">
      <c r="A31" s="48" t="s">
        <v>124</v>
      </c>
      <c r="B31" s="160" t="str">
        <f>iferror(VLOOKUP((LEFT(A31,6)),CUSTOMER_DETAILS,2,FALSE),"-")</f>
        <v>KRISHNA ENTERPRISES</v>
      </c>
      <c r="C31" s="161" t="s">
        <v>89</v>
      </c>
      <c r="D31" s="162">
        <v>44617.0</v>
      </c>
      <c r="E31" s="161" t="s">
        <v>89</v>
      </c>
      <c r="F31" s="30" t="s">
        <v>89</v>
      </c>
      <c r="G31" s="30" t="s">
        <v>89</v>
      </c>
      <c r="H31" s="30" t="s">
        <v>89</v>
      </c>
      <c r="I31" s="48" t="s">
        <v>108</v>
      </c>
      <c r="J31" s="174">
        <f t="shared" si="11"/>
        <v>44617</v>
      </c>
      <c r="K31" s="48">
        <v>32.0</v>
      </c>
      <c r="L31" s="48" t="s">
        <v>108</v>
      </c>
      <c r="M31" s="30" t="s">
        <v>91</v>
      </c>
      <c r="N31" s="48" t="s">
        <v>125</v>
      </c>
      <c r="O31" s="30" t="s">
        <v>89</v>
      </c>
      <c r="P31" s="48"/>
      <c r="Q31" s="164" t="s">
        <v>117</v>
      </c>
      <c r="R31" s="161">
        <f>IFERROR(VLOOKUP(Q31,'PRODUCT TABLE'!$A$2:$B$26,2,FALSE),"-")</f>
        <v>44011090</v>
      </c>
      <c r="S31" s="48">
        <v>5100.0</v>
      </c>
      <c r="T31" s="48">
        <v>10.5</v>
      </c>
      <c r="U31" s="164" t="s">
        <v>95</v>
      </c>
      <c r="V31" s="161">
        <f t="shared" si="1"/>
        <v>53550</v>
      </c>
      <c r="W31" s="168">
        <v>0.025</v>
      </c>
      <c r="X31" s="168">
        <v>0.025</v>
      </c>
      <c r="Y31" s="168">
        <v>0.0</v>
      </c>
      <c r="Z31" s="169">
        <f t="shared" si="2"/>
        <v>56227</v>
      </c>
      <c r="AA31" s="167">
        <f t="shared" si="3"/>
        <v>-0.5</v>
      </c>
      <c r="AB31" s="161"/>
      <c r="AC31" s="161">
        <f t="shared" si="4"/>
        <v>53550</v>
      </c>
      <c r="AD31" s="161">
        <f t="shared" si="5"/>
        <v>1338.75</v>
      </c>
      <c r="AE31" s="161">
        <f t="shared" si="6"/>
        <v>1338.75</v>
      </c>
      <c r="AF31" s="167">
        <f t="shared" si="7"/>
        <v>0</v>
      </c>
      <c r="AG31" s="167">
        <f t="shared" si="8"/>
        <v>2677.5</v>
      </c>
      <c r="AH31" s="158">
        <f t="shared" si="9"/>
        <v>2</v>
      </c>
      <c r="AI31" s="158">
        <f t="shared" si="10"/>
        <v>2022</v>
      </c>
    </row>
    <row r="32" ht="12.75" customHeight="1">
      <c r="A32" s="48" t="s">
        <v>126</v>
      </c>
      <c r="B32" s="176" t="s">
        <v>131</v>
      </c>
      <c r="C32" s="161" t="s">
        <v>89</v>
      </c>
      <c r="D32" s="162">
        <v>44631.0</v>
      </c>
      <c r="E32" s="161" t="s">
        <v>89</v>
      </c>
      <c r="F32" s="30" t="s">
        <v>89</v>
      </c>
      <c r="G32" s="30" t="s">
        <v>89</v>
      </c>
      <c r="H32" s="30" t="s">
        <v>89</v>
      </c>
      <c r="I32" s="48" t="s">
        <v>108</v>
      </c>
      <c r="J32" s="174">
        <f t="shared" si="11"/>
        <v>44631</v>
      </c>
      <c r="K32" s="48">
        <v>34.0</v>
      </c>
      <c r="L32" s="48" t="s">
        <v>108</v>
      </c>
      <c r="M32" s="30" t="s">
        <v>91</v>
      </c>
      <c r="N32" s="48" t="s">
        <v>132</v>
      </c>
      <c r="O32" s="30" t="s">
        <v>89</v>
      </c>
      <c r="P32" s="48"/>
      <c r="Q32" s="164" t="s">
        <v>117</v>
      </c>
      <c r="R32" s="161">
        <f>IFERROR(VLOOKUP(Q32,'PRODUCT TABLE'!$A$2:$B$26,2,FALSE),"-")</f>
        <v>44011090</v>
      </c>
      <c r="S32" s="48">
        <v>300.0</v>
      </c>
      <c r="T32" s="48">
        <v>6.0</v>
      </c>
      <c r="U32" s="164" t="s">
        <v>95</v>
      </c>
      <c r="V32" s="161">
        <f t="shared" si="1"/>
        <v>1800</v>
      </c>
      <c r="W32" s="168">
        <v>0.025</v>
      </c>
      <c r="X32" s="168">
        <v>0.025</v>
      </c>
      <c r="Y32" s="168">
        <v>0.0</v>
      </c>
      <c r="Z32" s="169">
        <f t="shared" si="2"/>
        <v>1890</v>
      </c>
      <c r="AA32" s="167">
        <f t="shared" si="3"/>
        <v>0</v>
      </c>
      <c r="AB32" s="161"/>
      <c r="AC32" s="161">
        <f t="shared" si="4"/>
        <v>1800</v>
      </c>
      <c r="AD32" s="161">
        <f t="shared" si="5"/>
        <v>45</v>
      </c>
      <c r="AE32" s="161">
        <f t="shared" si="6"/>
        <v>45</v>
      </c>
      <c r="AF32" s="167">
        <f t="shared" si="7"/>
        <v>0</v>
      </c>
      <c r="AG32" s="167">
        <f t="shared" si="8"/>
        <v>90</v>
      </c>
      <c r="AH32" s="158">
        <f t="shared" si="9"/>
        <v>3</v>
      </c>
      <c r="AI32" s="158">
        <f t="shared" si="10"/>
        <v>2022</v>
      </c>
    </row>
    <row r="33" ht="12.75" customHeight="1">
      <c r="A33" s="48" t="s">
        <v>123</v>
      </c>
      <c r="B33" s="160" t="str">
        <f>iferror(VLOOKUP((LEFT(A33,6)),CUSTOMER_DETAILS,2,FALSE),"-")</f>
        <v>SHREE GAYATRI PACKAGING</v>
      </c>
      <c r="C33" s="161" t="s">
        <v>89</v>
      </c>
      <c r="D33" s="162">
        <v>44642.0</v>
      </c>
      <c r="E33" s="161" t="s">
        <v>89</v>
      </c>
      <c r="F33" s="30" t="s">
        <v>89</v>
      </c>
      <c r="G33" s="30" t="s">
        <v>89</v>
      </c>
      <c r="H33" s="30" t="s">
        <v>89</v>
      </c>
      <c r="I33" s="48" t="s">
        <v>108</v>
      </c>
      <c r="J33" s="174">
        <f t="shared" si="11"/>
        <v>44642</v>
      </c>
      <c r="K33" s="48">
        <v>35.0</v>
      </c>
      <c r="L33" s="48" t="s">
        <v>108</v>
      </c>
      <c r="M33" s="30" t="s">
        <v>91</v>
      </c>
      <c r="N33" s="48" t="s">
        <v>122</v>
      </c>
      <c r="O33" s="30" t="s">
        <v>89</v>
      </c>
      <c r="P33" s="48"/>
      <c r="Q33" s="164" t="s">
        <v>117</v>
      </c>
      <c r="R33" s="161">
        <f>IFERROR(VLOOKUP(Q33,'PRODUCT TABLE'!$A$2:$B$26,2,FALSE),"-")</f>
        <v>44011090</v>
      </c>
      <c r="S33" s="48">
        <v>1020.0</v>
      </c>
      <c r="T33" s="48">
        <v>12.0</v>
      </c>
      <c r="U33" s="164" t="s">
        <v>95</v>
      </c>
      <c r="V33" s="161">
        <f t="shared" si="1"/>
        <v>12240</v>
      </c>
      <c r="W33" s="168">
        <v>0.025</v>
      </c>
      <c r="X33" s="168">
        <v>0.025</v>
      </c>
      <c r="Y33" s="168">
        <v>0.0</v>
      </c>
      <c r="Z33" s="169">
        <f t="shared" si="2"/>
        <v>12852</v>
      </c>
      <c r="AA33" s="167">
        <f t="shared" si="3"/>
        <v>0</v>
      </c>
      <c r="AB33" s="161"/>
      <c r="AC33" s="161">
        <f t="shared" si="4"/>
        <v>12240</v>
      </c>
      <c r="AD33" s="161">
        <f t="shared" si="5"/>
        <v>306</v>
      </c>
      <c r="AE33" s="161">
        <f t="shared" si="6"/>
        <v>306</v>
      </c>
      <c r="AF33" s="167">
        <f t="shared" si="7"/>
        <v>0</v>
      </c>
      <c r="AG33" s="167">
        <f t="shared" si="8"/>
        <v>612</v>
      </c>
      <c r="AH33" s="158">
        <f t="shared" si="9"/>
        <v>3</v>
      </c>
      <c r="AI33" s="158">
        <f t="shared" si="10"/>
        <v>2022</v>
      </c>
    </row>
    <row r="34" ht="12.75" customHeight="1">
      <c r="A34" s="48" t="s">
        <v>124</v>
      </c>
      <c r="B34" s="160" t="str">
        <f>iferror(VLOOKUP((LEFT(A34,6)),CUSTOMER_DETAILS,2,FALSE),"-")</f>
        <v>KRISHNA ENTERPRISES</v>
      </c>
      <c r="C34" s="161" t="s">
        <v>89</v>
      </c>
      <c r="D34" s="162">
        <v>44644.0</v>
      </c>
      <c r="E34" s="161" t="s">
        <v>89</v>
      </c>
      <c r="F34" s="30" t="s">
        <v>89</v>
      </c>
      <c r="G34" s="30" t="s">
        <v>89</v>
      </c>
      <c r="H34" s="30" t="s">
        <v>89</v>
      </c>
      <c r="I34" s="48" t="s">
        <v>108</v>
      </c>
      <c r="J34" s="174">
        <f t="shared" si="11"/>
        <v>44644</v>
      </c>
      <c r="K34" s="48">
        <v>36.0</v>
      </c>
      <c r="L34" s="48" t="s">
        <v>108</v>
      </c>
      <c r="M34" s="30" t="s">
        <v>91</v>
      </c>
      <c r="N34" s="48" t="s">
        <v>125</v>
      </c>
      <c r="O34" s="30" t="s">
        <v>89</v>
      </c>
      <c r="P34" s="48"/>
      <c r="Q34" s="164" t="s">
        <v>117</v>
      </c>
      <c r="R34" s="161">
        <f>IFERROR(VLOOKUP(Q34,'PRODUCT TABLE'!$A$2:$B$26,2,FALSE),"-")</f>
        <v>44011090</v>
      </c>
      <c r="S34" s="48">
        <v>7020.0</v>
      </c>
      <c r="T34" s="48">
        <v>10.9</v>
      </c>
      <c r="U34" s="164" t="s">
        <v>95</v>
      </c>
      <c r="V34" s="161">
        <f t="shared" si="1"/>
        <v>76518</v>
      </c>
      <c r="W34" s="168">
        <v>0.025</v>
      </c>
      <c r="X34" s="168">
        <v>0.025</v>
      </c>
      <c r="Y34" s="168">
        <v>0.0</v>
      </c>
      <c r="Z34" s="169">
        <f t="shared" si="2"/>
        <v>80344</v>
      </c>
      <c r="AA34" s="167">
        <f t="shared" si="3"/>
        <v>0.1</v>
      </c>
      <c r="AB34" s="161"/>
      <c r="AC34" s="161">
        <f t="shared" si="4"/>
        <v>76518</v>
      </c>
      <c r="AD34" s="161">
        <f t="shared" si="5"/>
        <v>1912.95</v>
      </c>
      <c r="AE34" s="161">
        <f t="shared" si="6"/>
        <v>1912.95</v>
      </c>
      <c r="AF34" s="167">
        <f t="shared" si="7"/>
        <v>0</v>
      </c>
      <c r="AG34" s="167">
        <f t="shared" si="8"/>
        <v>3825.9</v>
      </c>
      <c r="AH34" s="158">
        <f t="shared" si="9"/>
        <v>3</v>
      </c>
      <c r="AI34" s="158">
        <f t="shared" si="10"/>
        <v>2022</v>
      </c>
    </row>
    <row r="35" ht="12.75" customHeight="1">
      <c r="A35" s="48" t="s">
        <v>124</v>
      </c>
      <c r="B35" s="160" t="str">
        <f>iferror(VLOOKUP((LEFT(A35,6)),CUSTOMER_DETAILS,2,FALSE),"-")</f>
        <v>KRISHNA ENTERPRISES</v>
      </c>
      <c r="C35" s="161" t="s">
        <v>89</v>
      </c>
      <c r="D35" s="162">
        <v>44649.0</v>
      </c>
      <c r="E35" s="161" t="s">
        <v>89</v>
      </c>
      <c r="F35" s="30" t="s">
        <v>89</v>
      </c>
      <c r="G35" s="30" t="s">
        <v>89</v>
      </c>
      <c r="H35" s="30" t="s">
        <v>89</v>
      </c>
      <c r="I35" s="48" t="s">
        <v>108</v>
      </c>
      <c r="J35" s="174">
        <f t="shared" si="11"/>
        <v>44649</v>
      </c>
      <c r="K35" s="48">
        <v>37.0</v>
      </c>
      <c r="L35" s="48" t="s">
        <v>108</v>
      </c>
      <c r="M35" s="30" t="s">
        <v>91</v>
      </c>
      <c r="N35" s="48" t="s">
        <v>125</v>
      </c>
      <c r="O35" s="30" t="s">
        <v>89</v>
      </c>
      <c r="P35" s="48"/>
      <c r="Q35" s="164" t="s">
        <v>117</v>
      </c>
      <c r="R35" s="161">
        <f>IFERROR(VLOOKUP(Q35,'PRODUCT TABLE'!$A$2:$B$26,2,FALSE),"-")</f>
        <v>44011090</v>
      </c>
      <c r="S35" s="48">
        <v>4600.0</v>
      </c>
      <c r="T35" s="48">
        <v>11.0</v>
      </c>
      <c r="U35" s="164" t="s">
        <v>95</v>
      </c>
      <c r="V35" s="161">
        <f t="shared" si="1"/>
        <v>50600</v>
      </c>
      <c r="W35" s="168">
        <v>0.025</v>
      </c>
      <c r="X35" s="168">
        <v>0.025</v>
      </c>
      <c r="Y35" s="168">
        <v>0.0</v>
      </c>
      <c r="Z35" s="169">
        <f t="shared" si="2"/>
        <v>53130</v>
      </c>
      <c r="AA35" s="167">
        <f t="shared" si="3"/>
        <v>0</v>
      </c>
      <c r="AB35" s="161"/>
      <c r="AC35" s="161">
        <f t="shared" si="4"/>
        <v>50600</v>
      </c>
      <c r="AD35" s="161">
        <f t="shared" si="5"/>
        <v>1265</v>
      </c>
      <c r="AE35" s="161">
        <f t="shared" si="6"/>
        <v>1265</v>
      </c>
      <c r="AF35" s="167">
        <f t="shared" si="7"/>
        <v>0</v>
      </c>
      <c r="AG35" s="167">
        <f t="shared" si="8"/>
        <v>2530</v>
      </c>
      <c r="AH35" s="158">
        <f t="shared" si="9"/>
        <v>3</v>
      </c>
      <c r="AI35" s="158">
        <f t="shared" si="10"/>
        <v>2022</v>
      </c>
    </row>
    <row r="36" ht="12.75" customHeight="1">
      <c r="A36" s="48" t="s">
        <v>133</v>
      </c>
      <c r="B36" s="176" t="s">
        <v>134</v>
      </c>
      <c r="C36" s="161" t="s">
        <v>89</v>
      </c>
      <c r="D36" s="162">
        <v>44653.0</v>
      </c>
      <c r="E36" s="161" t="s">
        <v>89</v>
      </c>
      <c r="F36" s="30" t="s">
        <v>89</v>
      </c>
      <c r="G36" s="30" t="s">
        <v>89</v>
      </c>
      <c r="H36" s="30" t="s">
        <v>89</v>
      </c>
      <c r="I36" s="48" t="s">
        <v>108</v>
      </c>
      <c r="J36" s="174">
        <f t="shared" si="11"/>
        <v>44653</v>
      </c>
      <c r="K36" s="48">
        <v>38.0</v>
      </c>
      <c r="L36" s="48" t="s">
        <v>108</v>
      </c>
      <c r="M36" s="30" t="s">
        <v>91</v>
      </c>
      <c r="N36" s="48" t="s">
        <v>135</v>
      </c>
      <c r="O36" s="30" t="s">
        <v>89</v>
      </c>
      <c r="P36" s="48"/>
      <c r="Q36" s="164" t="s">
        <v>94</v>
      </c>
      <c r="R36" s="161">
        <f>IFERROR(VLOOKUP(Q36,'PRODUCT TABLE'!$A$2:$B$26,2,FALSE),"-")</f>
        <v>44011090</v>
      </c>
      <c r="S36" s="48">
        <v>10020.0</v>
      </c>
      <c r="T36" s="48">
        <v>5.7</v>
      </c>
      <c r="U36" s="164" t="s">
        <v>95</v>
      </c>
      <c r="V36" s="161">
        <f t="shared" si="1"/>
        <v>57114</v>
      </c>
      <c r="W36" s="168">
        <v>0.025</v>
      </c>
      <c r="X36" s="168">
        <v>0.025</v>
      </c>
      <c r="Y36" s="168">
        <v>0.0</v>
      </c>
      <c r="Z36" s="169">
        <f t="shared" si="2"/>
        <v>59970</v>
      </c>
      <c r="AA36" s="167">
        <f t="shared" si="3"/>
        <v>0.3</v>
      </c>
      <c r="AB36" s="161"/>
      <c r="AC36" s="161">
        <f t="shared" si="4"/>
        <v>57114</v>
      </c>
      <c r="AD36" s="161">
        <f t="shared" si="5"/>
        <v>1427.85</v>
      </c>
      <c r="AE36" s="161">
        <f t="shared" si="6"/>
        <v>1427.85</v>
      </c>
      <c r="AF36" s="167">
        <f t="shared" si="7"/>
        <v>0</v>
      </c>
      <c r="AG36" s="167">
        <f t="shared" si="8"/>
        <v>2855.7</v>
      </c>
      <c r="AH36" s="158">
        <f t="shared" si="9"/>
        <v>4</v>
      </c>
      <c r="AI36" s="158">
        <f t="shared" si="10"/>
        <v>2022</v>
      </c>
    </row>
    <row r="37" ht="12.75" customHeight="1">
      <c r="A37" s="48" t="s">
        <v>136</v>
      </c>
      <c r="B37" s="160" t="str">
        <f>iferror(VLOOKUP((LEFT(A37,6)),CUSTOMER_DETAILS,2,FALSE),"-")</f>
        <v>SHREE GAYATRI PACKAGING</v>
      </c>
      <c r="C37" s="161" t="s">
        <v>89</v>
      </c>
      <c r="D37" s="162">
        <v>44661.0</v>
      </c>
      <c r="E37" s="161" t="s">
        <v>89</v>
      </c>
      <c r="F37" s="30" t="s">
        <v>89</v>
      </c>
      <c r="G37" s="30" t="s">
        <v>89</v>
      </c>
      <c r="H37" s="30" t="s">
        <v>89</v>
      </c>
      <c r="I37" s="48" t="s">
        <v>108</v>
      </c>
      <c r="J37" s="174">
        <f t="shared" si="11"/>
        <v>44661</v>
      </c>
      <c r="K37" s="48">
        <v>39.0</v>
      </c>
      <c r="L37" s="48" t="s">
        <v>108</v>
      </c>
      <c r="M37" s="30" t="s">
        <v>91</v>
      </c>
      <c r="N37" s="48" t="s">
        <v>122</v>
      </c>
      <c r="O37" s="30" t="s">
        <v>89</v>
      </c>
      <c r="P37" s="48"/>
      <c r="Q37" s="164" t="s">
        <v>117</v>
      </c>
      <c r="R37" s="161">
        <f>IFERROR(VLOOKUP(Q37,'PRODUCT TABLE'!$A$2:$B$26,2,FALSE),"-")</f>
        <v>44011090</v>
      </c>
      <c r="S37" s="48">
        <v>1500.0</v>
      </c>
      <c r="T37" s="48">
        <v>12.0</v>
      </c>
      <c r="U37" s="164" t="s">
        <v>95</v>
      </c>
      <c r="V37" s="161">
        <f t="shared" si="1"/>
        <v>18000</v>
      </c>
      <c r="W37" s="168">
        <v>0.025</v>
      </c>
      <c r="X37" s="168">
        <v>0.025</v>
      </c>
      <c r="Y37" s="168">
        <v>0.0</v>
      </c>
      <c r="Z37" s="169">
        <f t="shared" si="2"/>
        <v>18900</v>
      </c>
      <c r="AA37" s="167">
        <f t="shared" si="3"/>
        <v>0</v>
      </c>
      <c r="AB37" s="161"/>
      <c r="AC37" s="161">
        <f t="shared" si="4"/>
        <v>18000</v>
      </c>
      <c r="AD37" s="161">
        <f t="shared" si="5"/>
        <v>450</v>
      </c>
      <c r="AE37" s="161">
        <f t="shared" si="6"/>
        <v>450</v>
      </c>
      <c r="AF37" s="167">
        <f t="shared" si="7"/>
        <v>0</v>
      </c>
      <c r="AG37" s="167">
        <f t="shared" si="8"/>
        <v>900</v>
      </c>
      <c r="AH37" s="158">
        <f t="shared" si="9"/>
        <v>4</v>
      </c>
      <c r="AI37" s="158">
        <f t="shared" si="10"/>
        <v>2022</v>
      </c>
    </row>
    <row r="38" ht="12.75" customHeight="1">
      <c r="A38" s="48" t="s">
        <v>137</v>
      </c>
      <c r="B38" s="160" t="str">
        <f>iferror(VLOOKUP((LEFT(A38,6)),CUSTOMER_DETAILS,2,FALSE),"-")</f>
        <v>KRISHNA ENTERPRISES</v>
      </c>
      <c r="C38" s="161" t="s">
        <v>89</v>
      </c>
      <c r="D38" s="162">
        <v>44667.0</v>
      </c>
      <c r="E38" s="161" t="s">
        <v>89</v>
      </c>
      <c r="F38" s="30" t="s">
        <v>89</v>
      </c>
      <c r="G38" s="30" t="s">
        <v>89</v>
      </c>
      <c r="H38" s="30" t="s">
        <v>89</v>
      </c>
      <c r="I38" s="48" t="s">
        <v>108</v>
      </c>
      <c r="J38" s="174">
        <f t="shared" si="11"/>
        <v>44667</v>
      </c>
      <c r="K38" s="48">
        <v>40.0</v>
      </c>
      <c r="L38" s="48" t="s">
        <v>108</v>
      </c>
      <c r="M38" s="30" t="s">
        <v>91</v>
      </c>
      <c r="N38" s="48" t="s">
        <v>125</v>
      </c>
      <c r="O38" s="30" t="s">
        <v>89</v>
      </c>
      <c r="P38" s="48"/>
      <c r="Q38" s="164" t="s">
        <v>117</v>
      </c>
      <c r="R38" s="161">
        <f>IFERROR(VLOOKUP(Q38,'PRODUCT TABLE'!$A$2:$B$26,2,FALSE),"-")</f>
        <v>44011090</v>
      </c>
      <c r="S38" s="48">
        <v>7530.0</v>
      </c>
      <c r="T38" s="48">
        <v>11.0</v>
      </c>
      <c r="U38" s="164" t="s">
        <v>95</v>
      </c>
      <c r="V38" s="161">
        <f t="shared" si="1"/>
        <v>82830</v>
      </c>
      <c r="W38" s="168">
        <v>0.025</v>
      </c>
      <c r="X38" s="168">
        <v>0.025</v>
      </c>
      <c r="Y38" s="168">
        <v>0.0</v>
      </c>
      <c r="Z38" s="169">
        <f t="shared" si="2"/>
        <v>86971</v>
      </c>
      <c r="AA38" s="167">
        <f t="shared" si="3"/>
        <v>-0.5</v>
      </c>
      <c r="AB38" s="161"/>
      <c r="AC38" s="161">
        <f t="shared" si="4"/>
        <v>82830</v>
      </c>
      <c r="AD38" s="161">
        <f t="shared" si="5"/>
        <v>2070.75</v>
      </c>
      <c r="AE38" s="161">
        <f t="shared" si="6"/>
        <v>2070.75</v>
      </c>
      <c r="AF38" s="167">
        <f t="shared" si="7"/>
        <v>0</v>
      </c>
      <c r="AG38" s="167">
        <f t="shared" si="8"/>
        <v>4141.5</v>
      </c>
      <c r="AH38" s="158">
        <f t="shared" si="9"/>
        <v>4</v>
      </c>
      <c r="AI38" s="158">
        <f t="shared" si="10"/>
        <v>2022</v>
      </c>
    </row>
    <row r="39" ht="12.75" customHeight="1">
      <c r="A39" s="48" t="s">
        <v>138</v>
      </c>
      <c r="B39" s="160" t="str">
        <f>iferror(VLOOKUP((LEFT(A39,6)),CUSTOMER_DETAILS,2,FALSE),"-")</f>
        <v>NAGPUR FUELS</v>
      </c>
      <c r="C39" s="161" t="s">
        <v>89</v>
      </c>
      <c r="D39" s="162">
        <v>44682.0</v>
      </c>
      <c r="E39" s="161" t="s">
        <v>89</v>
      </c>
      <c r="F39" s="30" t="s">
        <v>89</v>
      </c>
      <c r="G39" s="30" t="s">
        <v>89</v>
      </c>
      <c r="H39" s="30" t="s">
        <v>89</v>
      </c>
      <c r="I39" s="48" t="s">
        <v>108</v>
      </c>
      <c r="J39" s="174">
        <f t="shared" si="11"/>
        <v>44682</v>
      </c>
      <c r="K39" s="48">
        <v>41.0</v>
      </c>
      <c r="L39" s="48" t="s">
        <v>108</v>
      </c>
      <c r="M39" s="30" t="s">
        <v>91</v>
      </c>
      <c r="N39" s="48" t="s">
        <v>125</v>
      </c>
      <c r="O39" s="30" t="s">
        <v>89</v>
      </c>
      <c r="P39" s="48"/>
      <c r="Q39" s="164" t="s">
        <v>117</v>
      </c>
      <c r="R39" s="161">
        <f>IFERROR(VLOOKUP(Q39,'PRODUCT TABLE'!$A$2:$B$26,2,FALSE),"-")</f>
        <v>44011090</v>
      </c>
      <c r="S39" s="48">
        <v>7500.0</v>
      </c>
      <c r="T39" s="48">
        <v>6.0</v>
      </c>
      <c r="U39" s="164" t="s">
        <v>95</v>
      </c>
      <c r="V39" s="161">
        <f t="shared" si="1"/>
        <v>45000</v>
      </c>
      <c r="W39" s="168">
        <v>0.025</v>
      </c>
      <c r="X39" s="168">
        <v>0.025</v>
      </c>
      <c r="Y39" s="168">
        <v>0.0</v>
      </c>
      <c r="Z39" s="169">
        <f t="shared" si="2"/>
        <v>47250</v>
      </c>
      <c r="AA39" s="167">
        <f t="shared" si="3"/>
        <v>0</v>
      </c>
      <c r="AB39" s="161"/>
      <c r="AC39" s="161">
        <f t="shared" si="4"/>
        <v>45000</v>
      </c>
      <c r="AD39" s="161">
        <f t="shared" si="5"/>
        <v>1125</v>
      </c>
      <c r="AE39" s="161">
        <f t="shared" si="6"/>
        <v>1125</v>
      </c>
      <c r="AF39" s="167">
        <f t="shared" si="7"/>
        <v>0</v>
      </c>
      <c r="AG39" s="167">
        <f t="shared" si="8"/>
        <v>2250</v>
      </c>
      <c r="AH39" s="158">
        <f t="shared" si="9"/>
        <v>5</v>
      </c>
      <c r="AI39" s="158">
        <f t="shared" si="10"/>
        <v>2022</v>
      </c>
    </row>
    <row r="40" ht="12.75" customHeight="1">
      <c r="A40" s="48" t="s">
        <v>139</v>
      </c>
      <c r="B40" s="160" t="str">
        <f>iferror(VLOOKUP((LEFT(A40,6)),CUSTOMER_DETAILS,2,FALSE),"-")</f>
        <v>SHREE GAYATRI PACKAGING</v>
      </c>
      <c r="C40" s="161" t="s">
        <v>89</v>
      </c>
      <c r="D40" s="162">
        <v>44688.0</v>
      </c>
      <c r="E40" s="161" t="s">
        <v>89</v>
      </c>
      <c r="F40" s="30" t="s">
        <v>89</v>
      </c>
      <c r="G40" s="30" t="s">
        <v>89</v>
      </c>
      <c r="H40" s="30" t="s">
        <v>89</v>
      </c>
      <c r="I40" s="48" t="s">
        <v>108</v>
      </c>
      <c r="J40" s="174">
        <f t="shared" si="11"/>
        <v>44688</v>
      </c>
      <c r="K40" s="48">
        <v>43.0</v>
      </c>
      <c r="L40" s="48" t="s">
        <v>108</v>
      </c>
      <c r="M40" s="30" t="s">
        <v>91</v>
      </c>
      <c r="N40" s="48" t="s">
        <v>122</v>
      </c>
      <c r="O40" s="30" t="s">
        <v>89</v>
      </c>
      <c r="P40" s="48"/>
      <c r="Q40" s="164" t="s">
        <v>117</v>
      </c>
      <c r="R40" s="161">
        <f>IFERROR(VLOOKUP(Q40,'PRODUCT TABLE'!$A$2:$B$26,2,FALSE),"-")</f>
        <v>44011090</v>
      </c>
      <c r="S40" s="48">
        <v>2010.0</v>
      </c>
      <c r="T40" s="48">
        <v>12.0</v>
      </c>
      <c r="U40" s="164" t="s">
        <v>95</v>
      </c>
      <c r="V40" s="161">
        <f t="shared" si="1"/>
        <v>24120</v>
      </c>
      <c r="W40" s="168">
        <v>0.025</v>
      </c>
      <c r="X40" s="168">
        <v>0.025</v>
      </c>
      <c r="Y40" s="168">
        <v>0.0</v>
      </c>
      <c r="Z40" s="169">
        <f t="shared" si="2"/>
        <v>25326</v>
      </c>
      <c r="AA40" s="167">
        <f t="shared" si="3"/>
        <v>0</v>
      </c>
      <c r="AB40" s="161"/>
      <c r="AC40" s="161">
        <f t="shared" si="4"/>
        <v>24120</v>
      </c>
      <c r="AD40" s="161">
        <f t="shared" si="5"/>
        <v>603</v>
      </c>
      <c r="AE40" s="161">
        <f t="shared" si="6"/>
        <v>603</v>
      </c>
      <c r="AF40" s="167">
        <f t="shared" si="7"/>
        <v>0</v>
      </c>
      <c r="AG40" s="167">
        <f t="shared" si="8"/>
        <v>1206</v>
      </c>
      <c r="AH40" s="158">
        <f t="shared" si="9"/>
        <v>5</v>
      </c>
      <c r="AI40" s="158">
        <f t="shared" si="10"/>
        <v>2022</v>
      </c>
    </row>
    <row r="41" ht="12.75" customHeight="1">
      <c r="A41" s="177" t="s">
        <v>140</v>
      </c>
      <c r="B41" s="178" t="s">
        <v>141</v>
      </c>
      <c r="C41" s="179" t="s">
        <v>89</v>
      </c>
      <c r="D41" s="162">
        <v>44690.0</v>
      </c>
      <c r="E41" s="179" t="s">
        <v>89</v>
      </c>
      <c r="F41" s="180" t="s">
        <v>89</v>
      </c>
      <c r="G41" s="180" t="s">
        <v>89</v>
      </c>
      <c r="H41" s="180" t="s">
        <v>89</v>
      </c>
      <c r="I41" s="181" t="s">
        <v>108</v>
      </c>
      <c r="J41" s="182">
        <f t="shared" si="11"/>
        <v>44690</v>
      </c>
      <c r="K41" s="177">
        <v>44.0</v>
      </c>
      <c r="L41" s="181" t="s">
        <v>108</v>
      </c>
      <c r="M41" s="180" t="s">
        <v>91</v>
      </c>
      <c r="N41" s="177" t="s">
        <v>142</v>
      </c>
      <c r="O41" s="180" t="s">
        <v>89</v>
      </c>
      <c r="P41" s="181"/>
      <c r="Q41" s="177" t="s">
        <v>117</v>
      </c>
      <c r="R41" s="179">
        <f>IFERROR(VLOOKUP(Q41,'PRODUCT TABLE'!$A$2:$B$26,2,FALSE),"-")</f>
        <v>44011090</v>
      </c>
      <c r="S41" s="177">
        <v>210.0</v>
      </c>
      <c r="T41" s="177">
        <v>12.0</v>
      </c>
      <c r="U41" s="177" t="s">
        <v>95</v>
      </c>
      <c r="V41" s="183">
        <f t="shared" si="1"/>
        <v>2520</v>
      </c>
      <c r="W41" s="168">
        <v>0.025</v>
      </c>
      <c r="X41" s="168">
        <v>0.025</v>
      </c>
      <c r="Y41" s="168">
        <v>0.0</v>
      </c>
      <c r="Z41" s="169">
        <f t="shared" si="2"/>
        <v>2646</v>
      </c>
      <c r="AA41" s="167">
        <f t="shared" si="3"/>
        <v>0</v>
      </c>
      <c r="AB41" s="183"/>
      <c r="AC41" s="183">
        <f t="shared" si="4"/>
        <v>2520</v>
      </c>
      <c r="AD41" s="183">
        <f t="shared" si="5"/>
        <v>63</v>
      </c>
      <c r="AE41" s="183">
        <f t="shared" si="6"/>
        <v>63</v>
      </c>
      <c r="AF41" s="184">
        <f t="shared" si="7"/>
        <v>0</v>
      </c>
      <c r="AG41" s="184">
        <f t="shared" si="8"/>
        <v>126</v>
      </c>
      <c r="AH41" s="158">
        <f t="shared" si="9"/>
        <v>5</v>
      </c>
      <c r="AI41" s="158">
        <f t="shared" si="10"/>
        <v>2022</v>
      </c>
    </row>
    <row r="42" ht="12.75" customHeight="1">
      <c r="A42" s="177" t="s">
        <v>143</v>
      </c>
      <c r="B42" s="178" t="s">
        <v>144</v>
      </c>
      <c r="C42" s="179" t="s">
        <v>89</v>
      </c>
      <c r="D42" s="162">
        <v>44699.0</v>
      </c>
      <c r="E42" s="179" t="s">
        <v>89</v>
      </c>
      <c r="F42" s="180" t="s">
        <v>89</v>
      </c>
      <c r="G42" s="180" t="s">
        <v>89</v>
      </c>
      <c r="H42" s="180" t="s">
        <v>89</v>
      </c>
      <c r="I42" s="181" t="s">
        <v>108</v>
      </c>
      <c r="J42" s="182">
        <f t="shared" si="11"/>
        <v>44699</v>
      </c>
      <c r="K42" s="177">
        <v>45.0</v>
      </c>
      <c r="L42" s="181" t="s">
        <v>108</v>
      </c>
      <c r="M42" s="180" t="s">
        <v>91</v>
      </c>
      <c r="N42" s="177" t="s">
        <v>145</v>
      </c>
      <c r="O42" s="180" t="s">
        <v>89</v>
      </c>
      <c r="P42" s="181"/>
      <c r="Q42" s="177" t="s">
        <v>117</v>
      </c>
      <c r="R42" s="179">
        <f>IFERROR(VLOOKUP(Q42,'PRODUCT TABLE'!$A$2:$B$26,2,FALSE),"-")</f>
        <v>44011090</v>
      </c>
      <c r="S42" s="177">
        <v>90.0</v>
      </c>
      <c r="T42" s="177">
        <v>12.0</v>
      </c>
      <c r="U42" s="177" t="s">
        <v>95</v>
      </c>
      <c r="V42" s="183">
        <f t="shared" si="1"/>
        <v>1080</v>
      </c>
      <c r="W42" s="168">
        <v>0.025</v>
      </c>
      <c r="X42" s="168">
        <v>0.025</v>
      </c>
      <c r="Y42" s="168">
        <v>0.0</v>
      </c>
      <c r="Z42" s="169">
        <f t="shared" si="2"/>
        <v>1134</v>
      </c>
      <c r="AA42" s="167">
        <f t="shared" si="3"/>
        <v>0</v>
      </c>
      <c r="AB42" s="183"/>
      <c r="AC42" s="183">
        <f t="shared" si="4"/>
        <v>1080</v>
      </c>
      <c r="AD42" s="183">
        <f t="shared" si="5"/>
        <v>27</v>
      </c>
      <c r="AE42" s="183">
        <f t="shared" si="6"/>
        <v>27</v>
      </c>
      <c r="AF42" s="184">
        <f t="shared" si="7"/>
        <v>0</v>
      </c>
      <c r="AG42" s="184">
        <f t="shared" si="8"/>
        <v>54</v>
      </c>
      <c r="AH42" s="158">
        <f t="shared" si="9"/>
        <v>5</v>
      </c>
      <c r="AI42" s="158">
        <f t="shared" si="10"/>
        <v>2022</v>
      </c>
    </row>
    <row r="43" ht="12.75" customHeight="1">
      <c r="A43" s="177" t="s">
        <v>146</v>
      </c>
      <c r="B43" s="185" t="str">
        <f>iferror(VLOOKUP((LEFT(A43,6)),CUSTOMER_DETAILS,2,FALSE),"-")</f>
        <v>NAGPUR FUELS</v>
      </c>
      <c r="C43" s="179" t="s">
        <v>89</v>
      </c>
      <c r="D43" s="162">
        <v>44694.0</v>
      </c>
      <c r="E43" s="179" t="s">
        <v>89</v>
      </c>
      <c r="F43" s="180" t="s">
        <v>89</v>
      </c>
      <c r="G43" s="180" t="s">
        <v>89</v>
      </c>
      <c r="H43" s="180" t="s">
        <v>89</v>
      </c>
      <c r="I43" s="181" t="s">
        <v>108</v>
      </c>
      <c r="J43" s="182">
        <f t="shared" si="11"/>
        <v>44694</v>
      </c>
      <c r="K43" s="177">
        <v>46.0</v>
      </c>
      <c r="L43" s="181" t="s">
        <v>108</v>
      </c>
      <c r="M43" s="180" t="s">
        <v>91</v>
      </c>
      <c r="N43" s="177" t="s">
        <v>125</v>
      </c>
      <c r="O43" s="180" t="s">
        <v>89</v>
      </c>
      <c r="P43" s="181"/>
      <c r="Q43" s="177" t="s">
        <v>117</v>
      </c>
      <c r="R43" s="179">
        <f>IFERROR(VLOOKUP(Q43,'PRODUCT TABLE'!$A$2:$B$26,2,FALSE),"-")</f>
        <v>44011090</v>
      </c>
      <c r="S43" s="177">
        <v>10090.0</v>
      </c>
      <c r="T43" s="177">
        <v>6.0</v>
      </c>
      <c r="U43" s="177" t="s">
        <v>95</v>
      </c>
      <c r="V43" s="183">
        <f t="shared" si="1"/>
        <v>60540</v>
      </c>
      <c r="W43" s="168">
        <v>0.025</v>
      </c>
      <c r="X43" s="168">
        <v>0.025</v>
      </c>
      <c r="Y43" s="168">
        <v>0.0</v>
      </c>
      <c r="Z43" s="169">
        <f t="shared" si="2"/>
        <v>63567</v>
      </c>
      <c r="AA43" s="167">
        <f t="shared" si="3"/>
        <v>0</v>
      </c>
      <c r="AB43" s="183"/>
      <c r="AC43" s="183">
        <f t="shared" si="4"/>
        <v>60540</v>
      </c>
      <c r="AD43" s="183">
        <f t="shared" si="5"/>
        <v>1513.5</v>
      </c>
      <c r="AE43" s="183">
        <f t="shared" si="6"/>
        <v>1513.5</v>
      </c>
      <c r="AF43" s="184">
        <f t="shared" si="7"/>
        <v>0</v>
      </c>
      <c r="AG43" s="184">
        <f t="shared" si="8"/>
        <v>3027</v>
      </c>
      <c r="AH43" s="158">
        <f t="shared" si="9"/>
        <v>5</v>
      </c>
      <c r="AI43" s="158">
        <f t="shared" si="10"/>
        <v>2022</v>
      </c>
    </row>
    <row r="44" ht="12.75" customHeight="1">
      <c r="A44" s="177" t="s">
        <v>147</v>
      </c>
      <c r="B44" s="185" t="str">
        <f>iferror(VLOOKUP((LEFT(A44,6)),CUSTOMER_DETAILS,2,FALSE),"-")</f>
        <v>NAGPUR FUELS</v>
      </c>
      <c r="C44" s="179" t="s">
        <v>89</v>
      </c>
      <c r="D44" s="162">
        <v>44702.0</v>
      </c>
      <c r="E44" s="179" t="s">
        <v>89</v>
      </c>
      <c r="F44" s="180" t="s">
        <v>89</v>
      </c>
      <c r="G44" s="180" t="s">
        <v>89</v>
      </c>
      <c r="H44" s="180" t="s">
        <v>89</v>
      </c>
      <c r="I44" s="181" t="s">
        <v>108</v>
      </c>
      <c r="J44" s="182">
        <f t="shared" si="11"/>
        <v>44702</v>
      </c>
      <c r="K44" s="177">
        <v>47.0</v>
      </c>
      <c r="L44" s="181" t="s">
        <v>108</v>
      </c>
      <c r="M44" s="180" t="s">
        <v>91</v>
      </c>
      <c r="N44" s="177" t="s">
        <v>125</v>
      </c>
      <c r="O44" s="180" t="s">
        <v>89</v>
      </c>
      <c r="P44" s="181"/>
      <c r="Q44" s="177" t="s">
        <v>117</v>
      </c>
      <c r="R44" s="179">
        <f>IFERROR(VLOOKUP(Q44,'PRODUCT TABLE'!$A$2:$B$26,2,FALSE),"-")</f>
        <v>44011090</v>
      </c>
      <c r="S44" s="177">
        <v>12570.0</v>
      </c>
      <c r="T44" s="177">
        <v>6.0</v>
      </c>
      <c r="U44" s="177" t="s">
        <v>95</v>
      </c>
      <c r="V44" s="183">
        <f t="shared" si="1"/>
        <v>75420</v>
      </c>
      <c r="W44" s="168">
        <v>0.025</v>
      </c>
      <c r="X44" s="168">
        <v>0.025</v>
      </c>
      <c r="Y44" s="168">
        <v>0.0</v>
      </c>
      <c r="Z44" s="169">
        <f t="shared" si="2"/>
        <v>79191</v>
      </c>
      <c r="AA44" s="167">
        <f t="shared" si="3"/>
        <v>0</v>
      </c>
      <c r="AB44" s="183"/>
      <c r="AC44" s="183">
        <f t="shared" si="4"/>
        <v>75420</v>
      </c>
      <c r="AD44" s="183">
        <f t="shared" si="5"/>
        <v>1885.5</v>
      </c>
      <c r="AE44" s="183">
        <f t="shared" si="6"/>
        <v>1885.5</v>
      </c>
      <c r="AF44" s="184">
        <f t="shared" si="7"/>
        <v>0</v>
      </c>
      <c r="AG44" s="184">
        <f t="shared" si="8"/>
        <v>3771</v>
      </c>
      <c r="AH44" s="158">
        <f t="shared" si="9"/>
        <v>5</v>
      </c>
      <c r="AI44" s="158">
        <f t="shared" si="10"/>
        <v>2022</v>
      </c>
    </row>
    <row r="45" ht="12.75" customHeight="1">
      <c r="A45" s="177" t="s">
        <v>148</v>
      </c>
      <c r="B45" s="185" t="str">
        <f>iferror(VLOOKUP((LEFT(A45,6)),CUSTOMER_DETAILS,2,FALSE),"-")</f>
        <v>NAGPUR FUELS</v>
      </c>
      <c r="C45" s="179" t="s">
        <v>89</v>
      </c>
      <c r="D45" s="162">
        <v>44588.0</v>
      </c>
      <c r="E45" s="179" t="s">
        <v>89</v>
      </c>
      <c r="F45" s="180" t="s">
        <v>89</v>
      </c>
      <c r="G45" s="180" t="s">
        <v>89</v>
      </c>
      <c r="H45" s="180" t="s">
        <v>89</v>
      </c>
      <c r="I45" s="181" t="s">
        <v>108</v>
      </c>
      <c r="J45" s="182">
        <f t="shared" si="11"/>
        <v>44588</v>
      </c>
      <c r="K45" s="177">
        <v>48.0</v>
      </c>
      <c r="L45" s="181" t="s">
        <v>108</v>
      </c>
      <c r="M45" s="180" t="s">
        <v>91</v>
      </c>
      <c r="N45" s="177" t="s">
        <v>125</v>
      </c>
      <c r="O45" s="180" t="s">
        <v>89</v>
      </c>
      <c r="P45" s="181"/>
      <c r="Q45" s="177" t="s">
        <v>117</v>
      </c>
      <c r="R45" s="179">
        <f>IFERROR(VLOOKUP(Q45,'PRODUCT TABLE'!$A$2:$B$26,2,FALSE),"-")</f>
        <v>44011090</v>
      </c>
      <c r="S45" s="177">
        <v>7030.0</v>
      </c>
      <c r="T45" s="177">
        <v>7.0</v>
      </c>
      <c r="U45" s="177" t="s">
        <v>95</v>
      </c>
      <c r="V45" s="183">
        <f t="shared" si="1"/>
        <v>49210</v>
      </c>
      <c r="W45" s="168">
        <v>0.025</v>
      </c>
      <c r="X45" s="168">
        <v>0.025</v>
      </c>
      <c r="Y45" s="168">
        <v>0.0</v>
      </c>
      <c r="Z45" s="169">
        <f t="shared" si="2"/>
        <v>51670</v>
      </c>
      <c r="AA45" s="167">
        <f t="shared" si="3"/>
        <v>-0.5</v>
      </c>
      <c r="AB45" s="183"/>
      <c r="AC45" s="183">
        <f t="shared" si="4"/>
        <v>49210</v>
      </c>
      <c r="AD45" s="183">
        <f t="shared" si="5"/>
        <v>1230.25</v>
      </c>
      <c r="AE45" s="183">
        <f t="shared" si="6"/>
        <v>1230.25</v>
      </c>
      <c r="AF45" s="184">
        <f t="shared" si="7"/>
        <v>0</v>
      </c>
      <c r="AG45" s="184">
        <f t="shared" si="8"/>
        <v>2460.5</v>
      </c>
      <c r="AH45" s="158">
        <f t="shared" si="9"/>
        <v>1</v>
      </c>
      <c r="AI45" s="158">
        <f t="shared" si="10"/>
        <v>2022</v>
      </c>
    </row>
    <row r="46" ht="12.75" customHeight="1">
      <c r="A46" s="177" t="s">
        <v>149</v>
      </c>
      <c r="B46" s="185" t="str">
        <f>iferror(VLOOKUP((LEFT(A46,6)),CUSTOMER_DETAILS,2,FALSE),"-")</f>
        <v>NAGPUR FUELS</v>
      </c>
      <c r="C46" s="179" t="s">
        <v>89</v>
      </c>
      <c r="D46" s="162">
        <v>44589.0</v>
      </c>
      <c r="E46" s="179" t="s">
        <v>89</v>
      </c>
      <c r="F46" s="180" t="s">
        <v>89</v>
      </c>
      <c r="G46" s="180" t="s">
        <v>89</v>
      </c>
      <c r="H46" s="180" t="s">
        <v>89</v>
      </c>
      <c r="I46" s="181" t="s">
        <v>108</v>
      </c>
      <c r="J46" s="182">
        <f t="shared" si="11"/>
        <v>44589</v>
      </c>
      <c r="K46" s="177">
        <v>49.0</v>
      </c>
      <c r="L46" s="181" t="s">
        <v>108</v>
      </c>
      <c r="M46" s="180" t="s">
        <v>91</v>
      </c>
      <c r="N46" s="177" t="s">
        <v>125</v>
      </c>
      <c r="O46" s="180" t="s">
        <v>89</v>
      </c>
      <c r="P46" s="181"/>
      <c r="Q46" s="177" t="s">
        <v>117</v>
      </c>
      <c r="R46" s="179">
        <f>IFERROR(VLOOKUP(Q46,'PRODUCT TABLE'!$A$2:$B$26,2,FALSE),"-")</f>
        <v>44011090</v>
      </c>
      <c r="S46" s="177">
        <v>10360.0</v>
      </c>
      <c r="T46" s="177">
        <v>7.0</v>
      </c>
      <c r="U46" s="177" t="s">
        <v>95</v>
      </c>
      <c r="V46" s="183">
        <f t="shared" si="1"/>
        <v>72520</v>
      </c>
      <c r="W46" s="168">
        <v>0.025</v>
      </c>
      <c r="X46" s="168">
        <v>0.025</v>
      </c>
      <c r="Y46" s="168">
        <v>0.0</v>
      </c>
      <c r="Z46" s="169">
        <f t="shared" si="2"/>
        <v>76146</v>
      </c>
      <c r="AA46" s="167">
        <f t="shared" si="3"/>
        <v>0</v>
      </c>
      <c r="AB46" s="183"/>
      <c r="AC46" s="183">
        <f t="shared" si="4"/>
        <v>72520</v>
      </c>
      <c r="AD46" s="183">
        <f t="shared" si="5"/>
        <v>1813</v>
      </c>
      <c r="AE46" s="183">
        <f t="shared" si="6"/>
        <v>1813</v>
      </c>
      <c r="AF46" s="184">
        <f t="shared" si="7"/>
        <v>0</v>
      </c>
      <c r="AG46" s="184">
        <f t="shared" si="8"/>
        <v>3626</v>
      </c>
      <c r="AH46" s="158">
        <f t="shared" si="9"/>
        <v>1</v>
      </c>
      <c r="AI46" s="158">
        <f t="shared" si="10"/>
        <v>2022</v>
      </c>
    </row>
    <row r="47" ht="12.75" customHeight="1">
      <c r="A47" s="177" t="s">
        <v>150</v>
      </c>
      <c r="B47" s="185" t="str">
        <f>iferror(VLOOKUP((LEFT(A47,6)),CUSTOMER_DETAILS,2,FALSE),"-")</f>
        <v>VIDARBHA SALES</v>
      </c>
      <c r="C47" s="179" t="s">
        <v>89</v>
      </c>
      <c r="D47" s="162">
        <v>44709.0</v>
      </c>
      <c r="E47" s="179" t="s">
        <v>89</v>
      </c>
      <c r="F47" s="180" t="s">
        <v>89</v>
      </c>
      <c r="G47" s="180" t="s">
        <v>89</v>
      </c>
      <c r="H47" s="180" t="s">
        <v>89</v>
      </c>
      <c r="I47" s="181" t="s">
        <v>108</v>
      </c>
      <c r="J47" s="182">
        <f t="shared" si="11"/>
        <v>44709</v>
      </c>
      <c r="K47" s="177">
        <v>50.0</v>
      </c>
      <c r="L47" s="181" t="s">
        <v>108</v>
      </c>
      <c r="M47" s="180" t="s">
        <v>91</v>
      </c>
      <c r="N47" s="177" t="s">
        <v>128</v>
      </c>
      <c r="O47" s="180" t="s">
        <v>89</v>
      </c>
      <c r="P47" s="181"/>
      <c r="Q47" s="177" t="s">
        <v>151</v>
      </c>
      <c r="R47" s="179">
        <f>IFERROR(VLOOKUP(Q47,'PRODUCT TABLE'!$A$2:$B$26,2,FALSE),"-")</f>
        <v>23069026</v>
      </c>
      <c r="S47" s="177">
        <v>1000.0</v>
      </c>
      <c r="T47" s="177">
        <v>10.0</v>
      </c>
      <c r="U47" s="177" t="s">
        <v>95</v>
      </c>
      <c r="V47" s="183">
        <f t="shared" si="1"/>
        <v>10000</v>
      </c>
      <c r="W47" s="168">
        <v>0.025</v>
      </c>
      <c r="X47" s="168">
        <v>0.025</v>
      </c>
      <c r="Y47" s="168">
        <v>0.0</v>
      </c>
      <c r="Z47" s="169">
        <f t="shared" si="2"/>
        <v>10500</v>
      </c>
      <c r="AA47" s="167">
        <f t="shared" si="3"/>
        <v>0</v>
      </c>
      <c r="AB47" s="183"/>
      <c r="AC47" s="183">
        <f t="shared" si="4"/>
        <v>10000</v>
      </c>
      <c r="AD47" s="183">
        <f t="shared" si="5"/>
        <v>250</v>
      </c>
      <c r="AE47" s="183">
        <f t="shared" si="6"/>
        <v>250</v>
      </c>
      <c r="AF47" s="184">
        <f t="shared" si="7"/>
        <v>0</v>
      </c>
      <c r="AG47" s="184">
        <f t="shared" si="8"/>
        <v>500</v>
      </c>
      <c r="AH47" s="158">
        <f t="shared" si="9"/>
        <v>5</v>
      </c>
      <c r="AI47" s="158">
        <f t="shared" si="10"/>
        <v>2022</v>
      </c>
    </row>
    <row r="48" ht="12.75" customHeight="1">
      <c r="A48" s="177" t="s">
        <v>152</v>
      </c>
      <c r="B48" s="185" t="str">
        <f>iferror(VLOOKUP((LEFT(A48,6)),CUSTOMER_DETAILS,2,FALSE),"-")</f>
        <v>NAGPUR FUELS</v>
      </c>
      <c r="C48" s="179" t="s">
        <v>89</v>
      </c>
      <c r="D48" s="162">
        <v>44721.0</v>
      </c>
      <c r="E48" s="179" t="s">
        <v>89</v>
      </c>
      <c r="F48" s="180" t="s">
        <v>89</v>
      </c>
      <c r="G48" s="180" t="s">
        <v>89</v>
      </c>
      <c r="H48" s="180" t="s">
        <v>89</v>
      </c>
      <c r="I48" s="181" t="s">
        <v>108</v>
      </c>
      <c r="J48" s="182">
        <f t="shared" si="11"/>
        <v>44721</v>
      </c>
      <c r="K48" s="177">
        <v>51.0</v>
      </c>
      <c r="L48" s="181" t="s">
        <v>108</v>
      </c>
      <c r="M48" s="180" t="s">
        <v>91</v>
      </c>
      <c r="N48" s="177" t="s">
        <v>125</v>
      </c>
      <c r="O48" s="180" t="s">
        <v>89</v>
      </c>
      <c r="P48" s="181"/>
      <c r="Q48" s="177" t="s">
        <v>117</v>
      </c>
      <c r="R48" s="179">
        <f>IFERROR(VLOOKUP(Q48,'PRODUCT TABLE'!$A$2:$B$26,2,FALSE),"-")</f>
        <v>44011090</v>
      </c>
      <c r="S48" s="177">
        <v>19750.0</v>
      </c>
      <c r="T48" s="177">
        <v>7.0</v>
      </c>
      <c r="U48" s="177" t="s">
        <v>95</v>
      </c>
      <c r="V48" s="183">
        <f t="shared" si="1"/>
        <v>138250</v>
      </c>
      <c r="W48" s="168">
        <v>0.025</v>
      </c>
      <c r="X48" s="168">
        <v>0.025</v>
      </c>
      <c r="Y48" s="168">
        <v>0.0</v>
      </c>
      <c r="Z48" s="169">
        <f t="shared" si="2"/>
        <v>145162</v>
      </c>
      <c r="AA48" s="167">
        <f t="shared" si="3"/>
        <v>-0.5</v>
      </c>
      <c r="AB48" s="183"/>
      <c r="AC48" s="183">
        <f t="shared" si="4"/>
        <v>138250</v>
      </c>
      <c r="AD48" s="183">
        <f t="shared" si="5"/>
        <v>3456.25</v>
      </c>
      <c r="AE48" s="183">
        <f t="shared" si="6"/>
        <v>3456.25</v>
      </c>
      <c r="AF48" s="184">
        <f t="shared" si="7"/>
        <v>0</v>
      </c>
      <c r="AG48" s="184">
        <f t="shared" si="8"/>
        <v>6912.5</v>
      </c>
      <c r="AH48" s="158">
        <f t="shared" si="9"/>
        <v>6</v>
      </c>
      <c r="AI48" s="158">
        <f t="shared" si="10"/>
        <v>2022</v>
      </c>
    </row>
    <row r="49" ht="12.75" customHeight="1">
      <c r="A49" s="177" t="s">
        <v>153</v>
      </c>
      <c r="B49" s="185" t="str">
        <f>iferror(VLOOKUP((LEFT(A49,6)),CUSTOMER_DETAILS,2,FALSE),"-")</f>
        <v>SHREE GAYATRI PACKAGING</v>
      </c>
      <c r="C49" s="179" t="s">
        <v>89</v>
      </c>
      <c r="D49" s="162">
        <v>44726.0</v>
      </c>
      <c r="E49" s="179" t="s">
        <v>89</v>
      </c>
      <c r="F49" s="180" t="s">
        <v>89</v>
      </c>
      <c r="G49" s="180" t="s">
        <v>89</v>
      </c>
      <c r="H49" s="180" t="s">
        <v>89</v>
      </c>
      <c r="I49" s="181" t="s">
        <v>108</v>
      </c>
      <c r="J49" s="182">
        <f t="shared" si="11"/>
        <v>44726</v>
      </c>
      <c r="K49" s="177">
        <v>52.0</v>
      </c>
      <c r="L49" s="181" t="s">
        <v>108</v>
      </c>
      <c r="M49" s="180" t="s">
        <v>91</v>
      </c>
      <c r="N49" s="177" t="s">
        <v>122</v>
      </c>
      <c r="O49" s="180" t="s">
        <v>89</v>
      </c>
      <c r="P49" s="181"/>
      <c r="Q49" s="177" t="s">
        <v>117</v>
      </c>
      <c r="R49" s="179">
        <f>IFERROR(VLOOKUP(Q49,'PRODUCT TABLE'!$A$2:$B$26,2,FALSE),"-")</f>
        <v>44011090</v>
      </c>
      <c r="S49" s="177">
        <v>2010.0</v>
      </c>
      <c r="T49" s="177">
        <v>12.0</v>
      </c>
      <c r="U49" s="177" t="s">
        <v>95</v>
      </c>
      <c r="V49" s="183">
        <f t="shared" si="1"/>
        <v>24120</v>
      </c>
      <c r="W49" s="168">
        <v>0.025</v>
      </c>
      <c r="X49" s="168">
        <v>0.025</v>
      </c>
      <c r="Y49" s="168">
        <v>0.0</v>
      </c>
      <c r="Z49" s="169">
        <f t="shared" si="2"/>
        <v>25326</v>
      </c>
      <c r="AA49" s="167">
        <f t="shared" si="3"/>
        <v>0</v>
      </c>
      <c r="AB49" s="183"/>
      <c r="AC49" s="183">
        <f t="shared" si="4"/>
        <v>24120</v>
      </c>
      <c r="AD49" s="183">
        <f t="shared" si="5"/>
        <v>603</v>
      </c>
      <c r="AE49" s="183">
        <f t="shared" si="6"/>
        <v>603</v>
      </c>
      <c r="AF49" s="184">
        <f t="shared" si="7"/>
        <v>0</v>
      </c>
      <c r="AG49" s="184">
        <f t="shared" si="8"/>
        <v>1206</v>
      </c>
      <c r="AH49" s="158">
        <f t="shared" si="9"/>
        <v>6</v>
      </c>
      <c r="AI49" s="158">
        <f t="shared" si="10"/>
        <v>2022</v>
      </c>
    </row>
    <row r="50" ht="12.75" customHeight="1">
      <c r="A50" s="177" t="s">
        <v>154</v>
      </c>
      <c r="B50" s="178" t="s">
        <v>155</v>
      </c>
      <c r="C50" s="179" t="s">
        <v>89</v>
      </c>
      <c r="D50" s="162">
        <v>44726.0</v>
      </c>
      <c r="E50" s="179" t="s">
        <v>89</v>
      </c>
      <c r="F50" s="180" t="s">
        <v>89</v>
      </c>
      <c r="G50" s="180" t="s">
        <v>89</v>
      </c>
      <c r="H50" s="180" t="s">
        <v>89</v>
      </c>
      <c r="I50" s="181" t="s">
        <v>108</v>
      </c>
      <c r="J50" s="182">
        <f t="shared" si="11"/>
        <v>44726</v>
      </c>
      <c r="K50" s="177">
        <v>55.0</v>
      </c>
      <c r="L50" s="181" t="s">
        <v>108</v>
      </c>
      <c r="M50" s="180" t="s">
        <v>91</v>
      </c>
      <c r="N50" s="177" t="s">
        <v>135</v>
      </c>
      <c r="O50" s="180" t="s">
        <v>89</v>
      </c>
      <c r="P50" s="181"/>
      <c r="Q50" s="177" t="s">
        <v>151</v>
      </c>
      <c r="R50" s="179">
        <f>IFERROR(VLOOKUP(Q50,'PRODUCT TABLE'!$A$2:$B$26,2,FALSE),"-")</f>
        <v>23069026</v>
      </c>
      <c r="S50" s="177">
        <v>3678.0</v>
      </c>
      <c r="T50" s="177">
        <v>10.15</v>
      </c>
      <c r="U50" s="177" t="s">
        <v>95</v>
      </c>
      <c r="V50" s="183">
        <f t="shared" si="1"/>
        <v>37331.7</v>
      </c>
      <c r="W50" s="168">
        <v>0.025</v>
      </c>
      <c r="X50" s="168">
        <v>0.025</v>
      </c>
      <c r="Y50" s="168">
        <v>0.0</v>
      </c>
      <c r="Z50" s="169">
        <f t="shared" si="2"/>
        <v>39198</v>
      </c>
      <c r="AA50" s="167">
        <f t="shared" si="3"/>
        <v>-0.285</v>
      </c>
      <c r="AB50" s="183"/>
      <c r="AC50" s="183">
        <f t="shared" si="4"/>
        <v>37331.7</v>
      </c>
      <c r="AD50" s="183">
        <f t="shared" si="5"/>
        <v>933.2925</v>
      </c>
      <c r="AE50" s="183">
        <f t="shared" si="6"/>
        <v>933.2925</v>
      </c>
      <c r="AF50" s="184">
        <f t="shared" si="7"/>
        <v>0</v>
      </c>
      <c r="AG50" s="184">
        <f t="shared" si="8"/>
        <v>1866.585</v>
      </c>
      <c r="AH50" s="158">
        <f t="shared" si="9"/>
        <v>6</v>
      </c>
      <c r="AI50" s="158">
        <f t="shared" si="10"/>
        <v>2022</v>
      </c>
    </row>
    <row r="51" ht="12.75" customHeight="1">
      <c r="A51" s="177" t="s">
        <v>156</v>
      </c>
      <c r="B51" s="178" t="s">
        <v>155</v>
      </c>
      <c r="C51" s="179" t="s">
        <v>89</v>
      </c>
      <c r="D51" s="162">
        <v>44728.0</v>
      </c>
      <c r="E51" s="179" t="s">
        <v>89</v>
      </c>
      <c r="F51" s="180" t="s">
        <v>89</v>
      </c>
      <c r="G51" s="180" t="s">
        <v>89</v>
      </c>
      <c r="H51" s="180" t="s">
        <v>89</v>
      </c>
      <c r="I51" s="181" t="s">
        <v>108</v>
      </c>
      <c r="J51" s="182">
        <f t="shared" si="11"/>
        <v>44728</v>
      </c>
      <c r="K51" s="177">
        <v>56.0</v>
      </c>
      <c r="L51" s="181" t="s">
        <v>108</v>
      </c>
      <c r="M51" s="180" t="s">
        <v>91</v>
      </c>
      <c r="N51" s="177" t="s">
        <v>135</v>
      </c>
      <c r="O51" s="180" t="s">
        <v>89</v>
      </c>
      <c r="P51" s="181"/>
      <c r="Q51" s="177" t="s">
        <v>151</v>
      </c>
      <c r="R51" s="179">
        <f>IFERROR(VLOOKUP(Q51,'PRODUCT TABLE'!$A$2:$B$26,2,FALSE),"-")</f>
        <v>23069026</v>
      </c>
      <c r="S51" s="177">
        <v>4760.0</v>
      </c>
      <c r="T51" s="177">
        <v>10.5</v>
      </c>
      <c r="U51" s="177" t="s">
        <v>95</v>
      </c>
      <c r="V51" s="183">
        <f t="shared" si="1"/>
        <v>49980</v>
      </c>
      <c r="W51" s="168">
        <v>0.025</v>
      </c>
      <c r="X51" s="168">
        <v>0.025</v>
      </c>
      <c r="Y51" s="168">
        <v>0.0</v>
      </c>
      <c r="Z51" s="169">
        <f t="shared" si="2"/>
        <v>52479</v>
      </c>
      <c r="AA51" s="167">
        <f t="shared" si="3"/>
        <v>0</v>
      </c>
      <c r="AB51" s="183"/>
      <c r="AC51" s="183">
        <f t="shared" si="4"/>
        <v>49980</v>
      </c>
      <c r="AD51" s="183">
        <f t="shared" si="5"/>
        <v>1249.5</v>
      </c>
      <c r="AE51" s="183">
        <f t="shared" si="6"/>
        <v>1249.5</v>
      </c>
      <c r="AF51" s="184">
        <f t="shared" si="7"/>
        <v>0</v>
      </c>
      <c r="AG51" s="184">
        <f t="shared" si="8"/>
        <v>2499</v>
      </c>
      <c r="AH51" s="158">
        <f t="shared" si="9"/>
        <v>6</v>
      </c>
      <c r="AI51" s="158">
        <f t="shared" si="10"/>
        <v>2022</v>
      </c>
    </row>
    <row r="52" ht="12.75" customHeight="1">
      <c r="A52" s="177" t="s">
        <v>157</v>
      </c>
      <c r="B52" s="185" t="str">
        <f>iferror(VLOOKUP((LEFT(A52,6)),CUSTOMER_DETAILS,2,FALSE),"-")</f>
        <v>KRISHNA ENTERPRISES</v>
      </c>
      <c r="C52" s="179" t="s">
        <v>89</v>
      </c>
      <c r="D52" s="162">
        <v>44730.0</v>
      </c>
      <c r="E52" s="179" t="s">
        <v>89</v>
      </c>
      <c r="F52" s="180" t="s">
        <v>89</v>
      </c>
      <c r="G52" s="180" t="s">
        <v>89</v>
      </c>
      <c r="H52" s="180" t="s">
        <v>89</v>
      </c>
      <c r="I52" s="181" t="s">
        <v>108</v>
      </c>
      <c r="J52" s="182">
        <f t="shared" si="11"/>
        <v>44730</v>
      </c>
      <c r="K52" s="177">
        <v>57.0</v>
      </c>
      <c r="L52" s="181" t="s">
        <v>108</v>
      </c>
      <c r="M52" s="180" t="s">
        <v>91</v>
      </c>
      <c r="N52" s="177" t="s">
        <v>125</v>
      </c>
      <c r="O52" s="180" t="s">
        <v>89</v>
      </c>
      <c r="P52" s="181"/>
      <c r="Q52" s="177" t="s">
        <v>117</v>
      </c>
      <c r="R52" s="179">
        <f>IFERROR(VLOOKUP(Q52,'PRODUCT TABLE'!$A$2:$B$26,2,FALSE),"-")</f>
        <v>44011090</v>
      </c>
      <c r="S52" s="177">
        <v>8300.0</v>
      </c>
      <c r="T52" s="177">
        <v>7.0</v>
      </c>
      <c r="U52" s="177" t="s">
        <v>95</v>
      </c>
      <c r="V52" s="183">
        <f t="shared" si="1"/>
        <v>58100</v>
      </c>
      <c r="W52" s="168">
        <v>0.025</v>
      </c>
      <c r="X52" s="168">
        <v>0.025</v>
      </c>
      <c r="Y52" s="168">
        <v>0.0</v>
      </c>
      <c r="Z52" s="169">
        <f t="shared" si="2"/>
        <v>61005</v>
      </c>
      <c r="AA52" s="167">
        <f t="shared" si="3"/>
        <v>0</v>
      </c>
      <c r="AB52" s="183"/>
      <c r="AC52" s="183">
        <f t="shared" si="4"/>
        <v>58100</v>
      </c>
      <c r="AD52" s="183">
        <f t="shared" si="5"/>
        <v>1452.5</v>
      </c>
      <c r="AE52" s="183">
        <f t="shared" si="6"/>
        <v>1452.5</v>
      </c>
      <c r="AF52" s="184">
        <f t="shared" si="7"/>
        <v>0</v>
      </c>
      <c r="AG52" s="184">
        <f t="shared" si="8"/>
        <v>2905</v>
      </c>
      <c r="AH52" s="158">
        <f t="shared" si="9"/>
        <v>6</v>
      </c>
      <c r="AI52" s="158">
        <f t="shared" si="10"/>
        <v>2022</v>
      </c>
    </row>
    <row r="53" ht="12.75" customHeight="1">
      <c r="A53" s="177" t="s">
        <v>158</v>
      </c>
      <c r="B53" s="185" t="str">
        <f>iferror(VLOOKUP((LEFT(A53,6)),CUSTOMER_DETAILS,2,FALSE),"-")</f>
        <v>KRISHNA ENTERPRISES</v>
      </c>
      <c r="C53" s="179" t="s">
        <v>89</v>
      </c>
      <c r="D53" s="162">
        <v>44736.0</v>
      </c>
      <c r="E53" s="179" t="s">
        <v>89</v>
      </c>
      <c r="F53" s="180" t="s">
        <v>89</v>
      </c>
      <c r="G53" s="180" t="s">
        <v>89</v>
      </c>
      <c r="H53" s="180" t="s">
        <v>89</v>
      </c>
      <c r="I53" s="181" t="s">
        <v>108</v>
      </c>
      <c r="J53" s="182">
        <f t="shared" si="11"/>
        <v>44736</v>
      </c>
      <c r="K53" s="177">
        <v>58.0</v>
      </c>
      <c r="L53" s="181" t="s">
        <v>108</v>
      </c>
      <c r="M53" s="180" t="s">
        <v>91</v>
      </c>
      <c r="N53" s="177" t="s">
        <v>125</v>
      </c>
      <c r="O53" s="180" t="s">
        <v>89</v>
      </c>
      <c r="P53" s="181"/>
      <c r="Q53" s="177" t="s">
        <v>117</v>
      </c>
      <c r="R53" s="179">
        <f>IFERROR(VLOOKUP(Q53,'PRODUCT TABLE'!$A$2:$B$26,2,FALSE),"-")</f>
        <v>44011090</v>
      </c>
      <c r="S53" s="177">
        <v>18040.0</v>
      </c>
      <c r="T53" s="177">
        <v>7.0</v>
      </c>
      <c r="U53" s="177" t="s">
        <v>95</v>
      </c>
      <c r="V53" s="183">
        <f t="shared" si="1"/>
        <v>126280</v>
      </c>
      <c r="W53" s="168">
        <v>0.025</v>
      </c>
      <c r="X53" s="168">
        <v>0.025</v>
      </c>
      <c r="Y53" s="168">
        <v>0.0</v>
      </c>
      <c r="Z53" s="169">
        <f t="shared" si="2"/>
        <v>132594</v>
      </c>
      <c r="AA53" s="167">
        <f t="shared" si="3"/>
        <v>0</v>
      </c>
      <c r="AB53" s="183"/>
      <c r="AC53" s="183">
        <f t="shared" si="4"/>
        <v>126280</v>
      </c>
      <c r="AD53" s="183">
        <f t="shared" si="5"/>
        <v>3157</v>
      </c>
      <c r="AE53" s="183">
        <f t="shared" si="6"/>
        <v>3157</v>
      </c>
      <c r="AF53" s="184">
        <f t="shared" si="7"/>
        <v>0</v>
      </c>
      <c r="AG53" s="184">
        <f t="shared" si="8"/>
        <v>6314</v>
      </c>
      <c r="AH53" s="158">
        <f t="shared" si="9"/>
        <v>6</v>
      </c>
      <c r="AI53" s="158">
        <f t="shared" si="10"/>
        <v>2022</v>
      </c>
    </row>
    <row r="54" ht="12.75" customHeight="1">
      <c r="A54" s="177" t="s">
        <v>159</v>
      </c>
      <c r="B54" s="178" t="s">
        <v>155</v>
      </c>
      <c r="C54" s="179" t="s">
        <v>89</v>
      </c>
      <c r="D54" s="162">
        <v>44754.0</v>
      </c>
      <c r="E54" s="179" t="s">
        <v>89</v>
      </c>
      <c r="F54" s="180" t="s">
        <v>89</v>
      </c>
      <c r="G54" s="180" t="s">
        <v>89</v>
      </c>
      <c r="H54" s="180" t="s">
        <v>89</v>
      </c>
      <c r="I54" s="181" t="s">
        <v>108</v>
      </c>
      <c r="J54" s="182">
        <f t="shared" si="11"/>
        <v>44754</v>
      </c>
      <c r="K54" s="177">
        <v>59.0</v>
      </c>
      <c r="L54" s="181" t="s">
        <v>108</v>
      </c>
      <c r="M54" s="180" t="s">
        <v>91</v>
      </c>
      <c r="N54" s="177" t="s">
        <v>135</v>
      </c>
      <c r="O54" s="180" t="s">
        <v>89</v>
      </c>
      <c r="P54" s="181"/>
      <c r="Q54" s="177" t="s">
        <v>151</v>
      </c>
      <c r="R54" s="179">
        <f>IFERROR(VLOOKUP(Q54,'PRODUCT TABLE'!$A$2:$B$26,2,FALSE),"-")</f>
        <v>23069026</v>
      </c>
      <c r="S54" s="177">
        <v>7070.0</v>
      </c>
      <c r="T54" s="177">
        <v>10.95</v>
      </c>
      <c r="U54" s="177" t="s">
        <v>95</v>
      </c>
      <c r="V54" s="183">
        <f t="shared" si="1"/>
        <v>77416.5</v>
      </c>
      <c r="W54" s="168">
        <v>0.025</v>
      </c>
      <c r="X54" s="168">
        <v>0.025</v>
      </c>
      <c r="Y54" s="168">
        <v>0.0</v>
      </c>
      <c r="Z54" s="169">
        <f t="shared" si="2"/>
        <v>81287</v>
      </c>
      <c r="AA54" s="167">
        <f t="shared" si="3"/>
        <v>-0.325</v>
      </c>
      <c r="AB54" s="183"/>
      <c r="AC54" s="183">
        <f t="shared" si="4"/>
        <v>77416.5</v>
      </c>
      <c r="AD54" s="183">
        <f t="shared" si="5"/>
        <v>1935.4125</v>
      </c>
      <c r="AE54" s="183">
        <f t="shared" si="6"/>
        <v>1935.4125</v>
      </c>
      <c r="AF54" s="184">
        <f t="shared" si="7"/>
        <v>0</v>
      </c>
      <c r="AG54" s="184">
        <f t="shared" si="8"/>
        <v>3870.825</v>
      </c>
      <c r="AH54" s="158">
        <f t="shared" si="9"/>
        <v>7</v>
      </c>
      <c r="AI54" s="158">
        <f t="shared" si="10"/>
        <v>2022</v>
      </c>
    </row>
    <row r="55" ht="12.75" customHeight="1">
      <c r="A55" s="177" t="s">
        <v>160</v>
      </c>
      <c r="B55" s="185" t="str">
        <f>iferror(VLOOKUP((LEFT(A55,6)),CUSTOMER_DETAILS,2,FALSE),"-")</f>
        <v>KRISHNA ENTERPRISES</v>
      </c>
      <c r="C55" s="179" t="s">
        <v>89</v>
      </c>
      <c r="D55" s="162">
        <v>44757.0</v>
      </c>
      <c r="E55" s="179" t="s">
        <v>89</v>
      </c>
      <c r="F55" s="180" t="s">
        <v>89</v>
      </c>
      <c r="G55" s="180" t="s">
        <v>89</v>
      </c>
      <c r="H55" s="180" t="s">
        <v>89</v>
      </c>
      <c r="I55" s="181" t="s">
        <v>108</v>
      </c>
      <c r="J55" s="182">
        <f t="shared" si="11"/>
        <v>44757</v>
      </c>
      <c r="K55" s="177">
        <v>60.0</v>
      </c>
      <c r="L55" s="181" t="s">
        <v>108</v>
      </c>
      <c r="M55" s="180" t="s">
        <v>91</v>
      </c>
      <c r="N55" s="177" t="s">
        <v>125</v>
      </c>
      <c r="O55" s="180" t="s">
        <v>89</v>
      </c>
      <c r="P55" s="181"/>
      <c r="Q55" s="177" t="s">
        <v>117</v>
      </c>
      <c r="R55" s="179">
        <f>IFERROR(VLOOKUP(Q55,'PRODUCT TABLE'!$A$2:$B$26,2,FALSE),"-")</f>
        <v>44011090</v>
      </c>
      <c r="S55" s="177">
        <v>9540.0</v>
      </c>
      <c r="T55" s="177">
        <v>7.0</v>
      </c>
      <c r="U55" s="177" t="s">
        <v>95</v>
      </c>
      <c r="V55" s="183">
        <f t="shared" si="1"/>
        <v>66780</v>
      </c>
      <c r="W55" s="168">
        <v>0.025</v>
      </c>
      <c r="X55" s="168">
        <v>0.025</v>
      </c>
      <c r="Y55" s="168">
        <v>0.0</v>
      </c>
      <c r="Z55" s="169">
        <f t="shared" si="2"/>
        <v>70119</v>
      </c>
      <c r="AA55" s="167">
        <f t="shared" si="3"/>
        <v>0</v>
      </c>
      <c r="AB55" s="183"/>
      <c r="AC55" s="183">
        <f t="shared" si="4"/>
        <v>66780</v>
      </c>
      <c r="AD55" s="183">
        <f t="shared" si="5"/>
        <v>1669.5</v>
      </c>
      <c r="AE55" s="183">
        <f t="shared" si="6"/>
        <v>1669.5</v>
      </c>
      <c r="AF55" s="184">
        <f t="shared" si="7"/>
        <v>0</v>
      </c>
      <c r="AG55" s="184">
        <f t="shared" si="8"/>
        <v>3339</v>
      </c>
      <c r="AH55" s="158">
        <f t="shared" si="9"/>
        <v>7</v>
      </c>
      <c r="AI55" s="158">
        <f t="shared" si="10"/>
        <v>2022</v>
      </c>
    </row>
    <row r="56" ht="12.75" customHeight="1">
      <c r="A56" s="177" t="s">
        <v>161</v>
      </c>
      <c r="B56" s="185" t="str">
        <f>iferror(VLOOKUP((LEFT(A56,6)),CUSTOMER_DETAILS,2,FALSE),"-")</f>
        <v>NAGPUR FUELS</v>
      </c>
      <c r="C56" s="179" t="s">
        <v>89</v>
      </c>
      <c r="D56" s="162">
        <v>44759.0</v>
      </c>
      <c r="E56" s="179" t="s">
        <v>89</v>
      </c>
      <c r="F56" s="180" t="s">
        <v>89</v>
      </c>
      <c r="G56" s="180" t="s">
        <v>89</v>
      </c>
      <c r="H56" s="180" t="s">
        <v>89</v>
      </c>
      <c r="I56" s="181" t="s">
        <v>108</v>
      </c>
      <c r="J56" s="182">
        <f t="shared" si="11"/>
        <v>44759</v>
      </c>
      <c r="K56" s="177">
        <v>61.0</v>
      </c>
      <c r="L56" s="181" t="s">
        <v>108</v>
      </c>
      <c r="M56" s="180" t="s">
        <v>91</v>
      </c>
      <c r="N56" s="177" t="s">
        <v>125</v>
      </c>
      <c r="O56" s="180" t="s">
        <v>89</v>
      </c>
      <c r="P56" s="181"/>
      <c r="Q56" s="177" t="s">
        <v>117</v>
      </c>
      <c r="R56" s="179">
        <f>IFERROR(VLOOKUP(Q56,'PRODUCT TABLE'!$A$2:$B$26,2,FALSE),"-")</f>
        <v>44011090</v>
      </c>
      <c r="S56" s="177">
        <v>10890.0</v>
      </c>
      <c r="T56" s="177">
        <v>8.5</v>
      </c>
      <c r="U56" s="177" t="s">
        <v>95</v>
      </c>
      <c r="V56" s="183">
        <f t="shared" si="1"/>
        <v>92565</v>
      </c>
      <c r="W56" s="168">
        <v>0.025</v>
      </c>
      <c r="X56" s="168">
        <v>0.025</v>
      </c>
      <c r="Y56" s="168">
        <v>0.0</v>
      </c>
      <c r="Z56" s="169">
        <f t="shared" si="2"/>
        <v>97193</v>
      </c>
      <c r="AA56" s="167">
        <f t="shared" si="3"/>
        <v>-0.25</v>
      </c>
      <c r="AB56" s="183"/>
      <c r="AC56" s="183">
        <f t="shared" si="4"/>
        <v>92565</v>
      </c>
      <c r="AD56" s="183">
        <f t="shared" si="5"/>
        <v>2314.125</v>
      </c>
      <c r="AE56" s="183">
        <f t="shared" si="6"/>
        <v>2314.125</v>
      </c>
      <c r="AF56" s="184">
        <f t="shared" si="7"/>
        <v>0</v>
      </c>
      <c r="AG56" s="184">
        <f t="shared" si="8"/>
        <v>4628.25</v>
      </c>
      <c r="AH56" s="158">
        <f t="shared" si="9"/>
        <v>7</v>
      </c>
      <c r="AI56" s="158">
        <f t="shared" si="10"/>
        <v>2022</v>
      </c>
    </row>
    <row r="57" ht="12.75" customHeight="1">
      <c r="A57" s="177" t="s">
        <v>162</v>
      </c>
      <c r="B57" s="178" t="s">
        <v>163</v>
      </c>
      <c r="C57" s="179" t="s">
        <v>89</v>
      </c>
      <c r="D57" s="162">
        <v>44760.0</v>
      </c>
      <c r="E57" s="179" t="s">
        <v>89</v>
      </c>
      <c r="F57" s="180" t="s">
        <v>89</v>
      </c>
      <c r="G57" s="180" t="s">
        <v>89</v>
      </c>
      <c r="H57" s="180" t="s">
        <v>89</v>
      </c>
      <c r="I57" s="181" t="s">
        <v>108</v>
      </c>
      <c r="J57" s="182">
        <f t="shared" si="11"/>
        <v>44760</v>
      </c>
      <c r="K57" s="177">
        <v>62.0</v>
      </c>
      <c r="L57" s="181" t="s">
        <v>108</v>
      </c>
      <c r="M57" s="180" t="s">
        <v>91</v>
      </c>
      <c r="N57" s="177" t="s">
        <v>135</v>
      </c>
      <c r="O57" s="180" t="s">
        <v>89</v>
      </c>
      <c r="P57" s="181"/>
      <c r="Q57" s="177" t="s">
        <v>151</v>
      </c>
      <c r="R57" s="179">
        <f>IFERROR(VLOOKUP(Q57,'PRODUCT TABLE'!$A$2:$B$26,2,FALSE),"-")</f>
        <v>23069026</v>
      </c>
      <c r="S57" s="177">
        <v>980.0</v>
      </c>
      <c r="T57" s="177">
        <v>12.5</v>
      </c>
      <c r="U57" s="177" t="s">
        <v>95</v>
      </c>
      <c r="V57" s="183">
        <f t="shared" si="1"/>
        <v>12250</v>
      </c>
      <c r="W57" s="168">
        <v>0.025</v>
      </c>
      <c r="X57" s="168">
        <v>0.025</v>
      </c>
      <c r="Y57" s="168">
        <v>0.0</v>
      </c>
      <c r="Z57" s="169">
        <f t="shared" si="2"/>
        <v>12862</v>
      </c>
      <c r="AA57" s="167">
        <f t="shared" si="3"/>
        <v>-0.5</v>
      </c>
      <c r="AB57" s="183"/>
      <c r="AC57" s="183">
        <f t="shared" si="4"/>
        <v>12250</v>
      </c>
      <c r="AD57" s="183">
        <f t="shared" si="5"/>
        <v>306.25</v>
      </c>
      <c r="AE57" s="183">
        <f t="shared" si="6"/>
        <v>306.25</v>
      </c>
      <c r="AF57" s="184">
        <f t="shared" si="7"/>
        <v>0</v>
      </c>
      <c r="AG57" s="184">
        <f t="shared" si="8"/>
        <v>612.5</v>
      </c>
      <c r="AH57" s="158">
        <f t="shared" si="9"/>
        <v>7</v>
      </c>
      <c r="AI57" s="158">
        <f t="shared" si="10"/>
        <v>2022</v>
      </c>
    </row>
    <row r="58" ht="12.75" customHeight="1">
      <c r="A58" s="177" t="s">
        <v>164</v>
      </c>
      <c r="B58" s="178" t="s">
        <v>165</v>
      </c>
      <c r="C58" s="179" t="s">
        <v>89</v>
      </c>
      <c r="D58" s="162">
        <v>44758.0</v>
      </c>
      <c r="E58" s="179" t="s">
        <v>89</v>
      </c>
      <c r="F58" s="180" t="s">
        <v>89</v>
      </c>
      <c r="G58" s="180" t="s">
        <v>89</v>
      </c>
      <c r="H58" s="180" t="s">
        <v>89</v>
      </c>
      <c r="I58" s="181" t="s">
        <v>108</v>
      </c>
      <c r="J58" s="182">
        <f t="shared" si="11"/>
        <v>44758</v>
      </c>
      <c r="K58" s="177">
        <v>63.0</v>
      </c>
      <c r="L58" s="181" t="s">
        <v>108</v>
      </c>
      <c r="M58" s="180" t="s">
        <v>91</v>
      </c>
      <c r="N58" s="177" t="s">
        <v>135</v>
      </c>
      <c r="O58" s="180" t="s">
        <v>89</v>
      </c>
      <c r="P58" s="181"/>
      <c r="Q58" s="177" t="s">
        <v>94</v>
      </c>
      <c r="R58" s="179">
        <f>IFERROR(VLOOKUP(Q58,'PRODUCT TABLE'!$A$2:$B$26,2,FALSE),"-")</f>
        <v>44011090</v>
      </c>
      <c r="S58" s="177">
        <v>10350.0</v>
      </c>
      <c r="T58" s="177">
        <v>6.2</v>
      </c>
      <c r="U58" s="177" t="s">
        <v>95</v>
      </c>
      <c r="V58" s="183">
        <f t="shared" si="1"/>
        <v>64170</v>
      </c>
      <c r="W58" s="168">
        <v>0.025</v>
      </c>
      <c r="X58" s="168">
        <v>0.025</v>
      </c>
      <c r="Y58" s="168">
        <v>0.0</v>
      </c>
      <c r="Z58" s="169">
        <f t="shared" si="2"/>
        <v>67378</v>
      </c>
      <c r="AA58" s="167">
        <f t="shared" si="3"/>
        <v>-0.5</v>
      </c>
      <c r="AB58" s="183"/>
      <c r="AC58" s="183">
        <f t="shared" si="4"/>
        <v>64170</v>
      </c>
      <c r="AD58" s="183">
        <f t="shared" si="5"/>
        <v>1604.25</v>
      </c>
      <c r="AE58" s="183">
        <f t="shared" si="6"/>
        <v>1604.25</v>
      </c>
      <c r="AF58" s="184">
        <f t="shared" si="7"/>
        <v>0</v>
      </c>
      <c r="AG58" s="184">
        <f t="shared" si="8"/>
        <v>3208.5</v>
      </c>
      <c r="AH58" s="158">
        <f t="shared" si="9"/>
        <v>7</v>
      </c>
      <c r="AI58" s="158">
        <f t="shared" si="10"/>
        <v>2022</v>
      </c>
    </row>
    <row r="59" ht="12.75" customHeight="1">
      <c r="A59" s="177" t="s">
        <v>166</v>
      </c>
      <c r="B59" s="185" t="str">
        <f>iferror(VLOOKUP((LEFT(A59,6)),CUSTOMER_DETAILS,2,FALSE),"-")</f>
        <v>SHREE GAYATRI PACKAGING</v>
      </c>
      <c r="C59" s="179" t="s">
        <v>89</v>
      </c>
      <c r="D59" s="162">
        <v>44764.0</v>
      </c>
      <c r="E59" s="179" t="s">
        <v>89</v>
      </c>
      <c r="F59" s="180" t="s">
        <v>89</v>
      </c>
      <c r="G59" s="180" t="s">
        <v>89</v>
      </c>
      <c r="H59" s="180" t="s">
        <v>89</v>
      </c>
      <c r="I59" s="181" t="s">
        <v>108</v>
      </c>
      <c r="J59" s="182">
        <f t="shared" si="11"/>
        <v>44764</v>
      </c>
      <c r="K59" s="177">
        <v>64.0</v>
      </c>
      <c r="L59" s="181" t="s">
        <v>108</v>
      </c>
      <c r="M59" s="180" t="s">
        <v>91</v>
      </c>
      <c r="N59" s="177" t="s">
        <v>122</v>
      </c>
      <c r="O59" s="180" t="s">
        <v>89</v>
      </c>
      <c r="P59" s="181"/>
      <c r="Q59" s="177" t="s">
        <v>117</v>
      </c>
      <c r="R59" s="179">
        <f>IFERROR(VLOOKUP(Q59,'PRODUCT TABLE'!$A$2:$B$26,2,FALSE),"-")</f>
        <v>44011090</v>
      </c>
      <c r="S59" s="177">
        <v>2220.0</v>
      </c>
      <c r="T59" s="177">
        <v>12.0</v>
      </c>
      <c r="U59" s="177" t="s">
        <v>95</v>
      </c>
      <c r="V59" s="183">
        <f t="shared" si="1"/>
        <v>26640</v>
      </c>
      <c r="W59" s="168">
        <v>0.025</v>
      </c>
      <c r="X59" s="168">
        <v>0.025</v>
      </c>
      <c r="Y59" s="168">
        <v>0.0</v>
      </c>
      <c r="Z59" s="169">
        <f t="shared" si="2"/>
        <v>27972</v>
      </c>
      <c r="AA59" s="167">
        <f t="shared" si="3"/>
        <v>0</v>
      </c>
      <c r="AB59" s="183"/>
      <c r="AC59" s="183">
        <f t="shared" si="4"/>
        <v>26640</v>
      </c>
      <c r="AD59" s="183">
        <f t="shared" si="5"/>
        <v>666</v>
      </c>
      <c r="AE59" s="183">
        <f t="shared" si="6"/>
        <v>666</v>
      </c>
      <c r="AF59" s="184">
        <f t="shared" si="7"/>
        <v>0</v>
      </c>
      <c r="AG59" s="184">
        <f t="shared" si="8"/>
        <v>1332</v>
      </c>
      <c r="AH59" s="158">
        <f t="shared" si="9"/>
        <v>7</v>
      </c>
      <c r="AI59" s="158">
        <f t="shared" si="10"/>
        <v>2022</v>
      </c>
    </row>
    <row r="60" ht="12.75" customHeight="1">
      <c r="A60" s="177" t="s">
        <v>167</v>
      </c>
      <c r="B60" s="178" t="s">
        <v>165</v>
      </c>
      <c r="C60" s="179" t="s">
        <v>89</v>
      </c>
      <c r="D60" s="162">
        <v>44761.0</v>
      </c>
      <c r="E60" s="179" t="s">
        <v>89</v>
      </c>
      <c r="F60" s="180" t="s">
        <v>89</v>
      </c>
      <c r="G60" s="180" t="s">
        <v>89</v>
      </c>
      <c r="H60" s="180" t="s">
        <v>89</v>
      </c>
      <c r="I60" s="181" t="s">
        <v>108</v>
      </c>
      <c r="J60" s="182">
        <f t="shared" si="11"/>
        <v>44761</v>
      </c>
      <c r="K60" s="177">
        <v>65.0</v>
      </c>
      <c r="L60" s="181" t="s">
        <v>108</v>
      </c>
      <c r="M60" s="180" t="s">
        <v>91</v>
      </c>
      <c r="N60" s="177" t="s">
        <v>135</v>
      </c>
      <c r="O60" s="180" t="s">
        <v>89</v>
      </c>
      <c r="P60" s="181"/>
      <c r="Q60" s="177" t="s">
        <v>94</v>
      </c>
      <c r="R60" s="179">
        <f>IFERROR(VLOOKUP(Q60,'PRODUCT TABLE'!$A$2:$B$26,2,FALSE),"-")</f>
        <v>44011090</v>
      </c>
      <c r="S60" s="177">
        <v>13000.0</v>
      </c>
      <c r="T60" s="177">
        <v>6.2</v>
      </c>
      <c r="U60" s="177" t="s">
        <v>95</v>
      </c>
      <c r="V60" s="183">
        <f t="shared" si="1"/>
        <v>80600</v>
      </c>
      <c r="W60" s="168">
        <v>0.025</v>
      </c>
      <c r="X60" s="168">
        <v>0.025</v>
      </c>
      <c r="Y60" s="168">
        <v>0.0</v>
      </c>
      <c r="Z60" s="169">
        <f t="shared" si="2"/>
        <v>84630</v>
      </c>
      <c r="AA60" s="167">
        <f t="shared" si="3"/>
        <v>0</v>
      </c>
      <c r="AB60" s="183"/>
      <c r="AC60" s="183">
        <f t="shared" si="4"/>
        <v>80600</v>
      </c>
      <c r="AD60" s="183">
        <f t="shared" si="5"/>
        <v>2015</v>
      </c>
      <c r="AE60" s="183">
        <f t="shared" si="6"/>
        <v>2015</v>
      </c>
      <c r="AF60" s="184">
        <f t="shared" si="7"/>
        <v>0</v>
      </c>
      <c r="AG60" s="184">
        <f t="shared" si="8"/>
        <v>4030</v>
      </c>
      <c r="AH60" s="158">
        <f t="shared" si="9"/>
        <v>7</v>
      </c>
      <c r="AI60" s="158">
        <f t="shared" si="10"/>
        <v>2022</v>
      </c>
    </row>
    <row r="61" ht="12.75" customHeight="1">
      <c r="A61" s="177" t="s">
        <v>168</v>
      </c>
      <c r="B61" s="185" t="str">
        <f>iferror(VLOOKUP((LEFT(A61,6)),CUSTOMER_DETAILS,2,FALSE),"-")</f>
        <v>NAGPUR FUELS</v>
      </c>
      <c r="C61" s="179" t="s">
        <v>89</v>
      </c>
      <c r="D61" s="162">
        <v>44763.0</v>
      </c>
      <c r="E61" s="179" t="s">
        <v>89</v>
      </c>
      <c r="F61" s="180" t="s">
        <v>89</v>
      </c>
      <c r="G61" s="180" t="s">
        <v>89</v>
      </c>
      <c r="H61" s="180" t="s">
        <v>89</v>
      </c>
      <c r="I61" s="181" t="s">
        <v>108</v>
      </c>
      <c r="J61" s="182">
        <f t="shared" si="11"/>
        <v>44763</v>
      </c>
      <c r="K61" s="177">
        <v>66.0</v>
      </c>
      <c r="L61" s="181" t="s">
        <v>108</v>
      </c>
      <c r="M61" s="180" t="s">
        <v>91</v>
      </c>
      <c r="N61" s="177" t="s">
        <v>125</v>
      </c>
      <c r="O61" s="180" t="s">
        <v>89</v>
      </c>
      <c r="P61" s="181"/>
      <c r="Q61" s="177" t="s">
        <v>117</v>
      </c>
      <c r="R61" s="179">
        <f>IFERROR(VLOOKUP(Q61,'PRODUCT TABLE'!$A$2:$B$26,2,FALSE),"-")</f>
        <v>44011090</v>
      </c>
      <c r="S61" s="177">
        <v>9200.0</v>
      </c>
      <c r="T61" s="177">
        <v>6.0</v>
      </c>
      <c r="U61" s="177" t="s">
        <v>95</v>
      </c>
      <c r="V61" s="183">
        <f t="shared" si="1"/>
        <v>55200</v>
      </c>
      <c r="W61" s="168">
        <v>0.025</v>
      </c>
      <c r="X61" s="168">
        <v>0.025</v>
      </c>
      <c r="Y61" s="168">
        <v>0.0</v>
      </c>
      <c r="Z61" s="169">
        <f t="shared" si="2"/>
        <v>57960</v>
      </c>
      <c r="AA61" s="167">
        <f t="shared" si="3"/>
        <v>0</v>
      </c>
      <c r="AB61" s="183"/>
      <c r="AC61" s="183">
        <f t="shared" si="4"/>
        <v>55200</v>
      </c>
      <c r="AD61" s="183">
        <f t="shared" si="5"/>
        <v>1380</v>
      </c>
      <c r="AE61" s="183">
        <f t="shared" si="6"/>
        <v>1380</v>
      </c>
      <c r="AF61" s="184">
        <f t="shared" si="7"/>
        <v>0</v>
      </c>
      <c r="AG61" s="184">
        <f t="shared" si="8"/>
        <v>2760</v>
      </c>
      <c r="AH61" s="158">
        <f t="shared" si="9"/>
        <v>7</v>
      </c>
      <c r="AI61" s="158">
        <f t="shared" si="10"/>
        <v>2022</v>
      </c>
    </row>
    <row r="62" ht="12.75" customHeight="1">
      <c r="A62" s="177" t="s">
        <v>169</v>
      </c>
      <c r="B62" s="178" t="s">
        <v>170</v>
      </c>
      <c r="C62" s="179" t="s">
        <v>89</v>
      </c>
      <c r="D62" s="162">
        <v>44774.0</v>
      </c>
      <c r="E62" s="179" t="s">
        <v>89</v>
      </c>
      <c r="F62" s="180" t="s">
        <v>89</v>
      </c>
      <c r="G62" s="180" t="s">
        <v>89</v>
      </c>
      <c r="H62" s="180" t="s">
        <v>89</v>
      </c>
      <c r="I62" s="181" t="s">
        <v>108</v>
      </c>
      <c r="J62" s="182">
        <f t="shared" si="11"/>
        <v>44774</v>
      </c>
      <c r="K62" s="177">
        <v>67.0</v>
      </c>
      <c r="L62" s="181" t="s">
        <v>108</v>
      </c>
      <c r="M62" s="180" t="s">
        <v>91</v>
      </c>
      <c r="N62" s="177" t="s">
        <v>171</v>
      </c>
      <c r="O62" s="180" t="s">
        <v>89</v>
      </c>
      <c r="P62" s="181"/>
      <c r="Q62" s="177" t="s">
        <v>151</v>
      </c>
      <c r="R62" s="179">
        <f>IFERROR(VLOOKUP(Q62,'PRODUCT TABLE'!$A$2:$B$26,2,FALSE),"-")</f>
        <v>23069026</v>
      </c>
      <c r="S62" s="177">
        <v>1000.0</v>
      </c>
      <c r="T62" s="177">
        <v>15.0</v>
      </c>
      <c r="U62" s="177" t="s">
        <v>95</v>
      </c>
      <c r="V62" s="183">
        <f t="shared" si="1"/>
        <v>15000</v>
      </c>
      <c r="W62" s="168">
        <v>0.025</v>
      </c>
      <c r="X62" s="168">
        <v>0.025</v>
      </c>
      <c r="Y62" s="168">
        <v>0.0</v>
      </c>
      <c r="Z62" s="169">
        <f t="shared" si="2"/>
        <v>15750</v>
      </c>
      <c r="AA62" s="167">
        <f t="shared" si="3"/>
        <v>0</v>
      </c>
      <c r="AB62" s="183"/>
      <c r="AC62" s="183">
        <f t="shared" si="4"/>
        <v>15000</v>
      </c>
      <c r="AD62" s="183">
        <f t="shared" si="5"/>
        <v>375</v>
      </c>
      <c r="AE62" s="183">
        <f t="shared" si="6"/>
        <v>375</v>
      </c>
      <c r="AF62" s="184">
        <f t="shared" si="7"/>
        <v>0</v>
      </c>
      <c r="AG62" s="184">
        <f t="shared" si="8"/>
        <v>750</v>
      </c>
      <c r="AH62" s="158">
        <f t="shared" si="9"/>
        <v>8</v>
      </c>
      <c r="AI62" s="158">
        <f t="shared" si="10"/>
        <v>2022</v>
      </c>
    </row>
    <row r="63" ht="12.75" customHeight="1">
      <c r="A63" s="177" t="s">
        <v>172</v>
      </c>
      <c r="B63" s="178" t="s">
        <v>165</v>
      </c>
      <c r="C63" s="179" t="s">
        <v>89</v>
      </c>
      <c r="D63" s="162">
        <v>44769.0</v>
      </c>
      <c r="E63" s="179" t="s">
        <v>89</v>
      </c>
      <c r="F63" s="180" t="s">
        <v>89</v>
      </c>
      <c r="G63" s="180" t="s">
        <v>89</v>
      </c>
      <c r="H63" s="180" t="s">
        <v>89</v>
      </c>
      <c r="I63" s="181" t="s">
        <v>108</v>
      </c>
      <c r="J63" s="182">
        <f t="shared" si="11"/>
        <v>44769</v>
      </c>
      <c r="K63" s="177">
        <v>68.0</v>
      </c>
      <c r="L63" s="181" t="s">
        <v>108</v>
      </c>
      <c r="M63" s="180" t="s">
        <v>91</v>
      </c>
      <c r="N63" s="177" t="s">
        <v>135</v>
      </c>
      <c r="O63" s="180" t="s">
        <v>89</v>
      </c>
      <c r="P63" s="181"/>
      <c r="Q63" s="177" t="s">
        <v>94</v>
      </c>
      <c r="R63" s="179">
        <f>IFERROR(VLOOKUP(Q63,'PRODUCT TABLE'!$A$2:$B$26,2,FALSE),"-")</f>
        <v>44011090</v>
      </c>
      <c r="S63" s="177">
        <v>10510.0</v>
      </c>
      <c r="T63" s="177">
        <v>6.2</v>
      </c>
      <c r="U63" s="177" t="s">
        <v>95</v>
      </c>
      <c r="V63" s="183">
        <f t="shared" si="1"/>
        <v>65162</v>
      </c>
      <c r="W63" s="168">
        <v>0.025</v>
      </c>
      <c r="X63" s="168">
        <v>0.025</v>
      </c>
      <c r="Y63" s="168">
        <v>0.0</v>
      </c>
      <c r="Z63" s="169">
        <f t="shared" si="2"/>
        <v>68420</v>
      </c>
      <c r="AA63" s="167">
        <f t="shared" si="3"/>
        <v>-0.1</v>
      </c>
      <c r="AB63" s="183"/>
      <c r="AC63" s="183">
        <f t="shared" si="4"/>
        <v>65162</v>
      </c>
      <c r="AD63" s="183">
        <f t="shared" si="5"/>
        <v>1629.05</v>
      </c>
      <c r="AE63" s="183">
        <f t="shared" si="6"/>
        <v>1629.05</v>
      </c>
      <c r="AF63" s="184">
        <f t="shared" si="7"/>
        <v>0</v>
      </c>
      <c r="AG63" s="184">
        <f t="shared" si="8"/>
        <v>3258.1</v>
      </c>
      <c r="AH63" s="158">
        <f t="shared" si="9"/>
        <v>7</v>
      </c>
      <c r="AI63" s="158">
        <f t="shared" si="10"/>
        <v>2022</v>
      </c>
    </row>
    <row r="64" ht="12.75" customHeight="1">
      <c r="A64" s="177" t="s">
        <v>173</v>
      </c>
      <c r="B64" s="185" t="str">
        <f>iferror(VLOOKUP((LEFT(A64,6)),CUSTOMER_DETAILS,2,FALSE),"-")</f>
        <v>NAGPUR FUELS</v>
      </c>
      <c r="C64" s="179" t="s">
        <v>89</v>
      </c>
      <c r="D64" s="162">
        <v>44774.0</v>
      </c>
      <c r="E64" s="179" t="s">
        <v>89</v>
      </c>
      <c r="F64" s="180" t="s">
        <v>89</v>
      </c>
      <c r="G64" s="180" t="s">
        <v>89</v>
      </c>
      <c r="H64" s="180" t="s">
        <v>89</v>
      </c>
      <c r="I64" s="181" t="s">
        <v>108</v>
      </c>
      <c r="J64" s="182">
        <f t="shared" si="11"/>
        <v>44774</v>
      </c>
      <c r="K64" s="177">
        <v>69.0</v>
      </c>
      <c r="L64" s="181" t="s">
        <v>108</v>
      </c>
      <c r="M64" s="180" t="s">
        <v>91</v>
      </c>
      <c r="N64" s="177" t="s">
        <v>125</v>
      </c>
      <c r="O64" s="180" t="s">
        <v>89</v>
      </c>
      <c r="P64" s="181"/>
      <c r="Q64" s="177" t="s">
        <v>117</v>
      </c>
      <c r="R64" s="179">
        <f>IFERROR(VLOOKUP(Q64,'PRODUCT TABLE'!$A$2:$B$26,2,FALSE),"-")</f>
        <v>44011090</v>
      </c>
      <c r="S64" s="177">
        <v>20590.0</v>
      </c>
      <c r="T64" s="177">
        <v>9.0</v>
      </c>
      <c r="U64" s="177" t="s">
        <v>95</v>
      </c>
      <c r="V64" s="183">
        <f t="shared" si="1"/>
        <v>185310</v>
      </c>
      <c r="W64" s="168">
        <v>0.025</v>
      </c>
      <c r="X64" s="168">
        <v>0.025</v>
      </c>
      <c r="Y64" s="168">
        <v>0.0</v>
      </c>
      <c r="Z64" s="169">
        <f t="shared" si="2"/>
        <v>194575</v>
      </c>
      <c r="AA64" s="167">
        <f t="shared" si="3"/>
        <v>-0.5</v>
      </c>
      <c r="AB64" s="183"/>
      <c r="AC64" s="183">
        <f t="shared" si="4"/>
        <v>185310</v>
      </c>
      <c r="AD64" s="183">
        <f t="shared" si="5"/>
        <v>4632.75</v>
      </c>
      <c r="AE64" s="183">
        <f t="shared" si="6"/>
        <v>4632.75</v>
      </c>
      <c r="AF64" s="184">
        <f t="shared" si="7"/>
        <v>0</v>
      </c>
      <c r="AG64" s="184">
        <f t="shared" si="8"/>
        <v>9265.5</v>
      </c>
      <c r="AH64" s="158">
        <f t="shared" si="9"/>
        <v>8</v>
      </c>
      <c r="AI64" s="158">
        <f t="shared" si="10"/>
        <v>2022</v>
      </c>
    </row>
    <row r="65" ht="12.75" customHeight="1">
      <c r="A65" s="177" t="s">
        <v>174</v>
      </c>
      <c r="B65" s="185" t="str">
        <f>iferror(VLOOKUP((LEFT(A65,6)),CUSTOMER_DETAILS,2,FALSE),"-")</f>
        <v>SHRI SHIVAY AGRO ENERGIES</v>
      </c>
      <c r="C65" s="179" t="s">
        <v>89</v>
      </c>
      <c r="D65" s="162">
        <v>44775.0</v>
      </c>
      <c r="E65" s="179" t="s">
        <v>89</v>
      </c>
      <c r="F65" s="180" t="s">
        <v>89</v>
      </c>
      <c r="G65" s="180" t="s">
        <v>89</v>
      </c>
      <c r="H65" s="180" t="s">
        <v>89</v>
      </c>
      <c r="I65" s="181" t="s">
        <v>108</v>
      </c>
      <c r="J65" s="182">
        <f t="shared" si="11"/>
        <v>44775</v>
      </c>
      <c r="K65" s="177">
        <v>70.0</v>
      </c>
      <c r="L65" s="181" t="s">
        <v>108</v>
      </c>
      <c r="M65" s="180" t="s">
        <v>91</v>
      </c>
      <c r="N65" s="177" t="s">
        <v>175</v>
      </c>
      <c r="O65" s="180" t="s">
        <v>89</v>
      </c>
      <c r="P65" s="181"/>
      <c r="Q65" s="177" t="s">
        <v>151</v>
      </c>
      <c r="R65" s="179">
        <f>IFERROR(VLOOKUP(Q65,'PRODUCT TABLE'!$A$2:$B$26,2,FALSE),"-")</f>
        <v>23069026</v>
      </c>
      <c r="S65" s="177">
        <v>5090.0</v>
      </c>
      <c r="T65" s="177">
        <v>12.0</v>
      </c>
      <c r="U65" s="177" t="s">
        <v>95</v>
      </c>
      <c r="V65" s="183">
        <f t="shared" si="1"/>
        <v>61080</v>
      </c>
      <c r="W65" s="168">
        <v>0.025</v>
      </c>
      <c r="X65" s="168">
        <v>0.025</v>
      </c>
      <c r="Y65" s="168">
        <v>0.0</v>
      </c>
      <c r="Z65" s="169">
        <f t="shared" si="2"/>
        <v>64134</v>
      </c>
      <c r="AA65" s="167">
        <f t="shared" si="3"/>
        <v>0</v>
      </c>
      <c r="AB65" s="183"/>
      <c r="AC65" s="183">
        <f t="shared" si="4"/>
        <v>61080</v>
      </c>
      <c r="AD65" s="183">
        <f t="shared" si="5"/>
        <v>1527</v>
      </c>
      <c r="AE65" s="183">
        <f t="shared" si="6"/>
        <v>1527</v>
      </c>
      <c r="AF65" s="184">
        <f t="shared" si="7"/>
        <v>0</v>
      </c>
      <c r="AG65" s="184">
        <f t="shared" si="8"/>
        <v>3054</v>
      </c>
      <c r="AH65" s="158">
        <f t="shared" si="9"/>
        <v>8</v>
      </c>
      <c r="AI65" s="158">
        <f t="shared" si="10"/>
        <v>2022</v>
      </c>
    </row>
    <row r="66" ht="12.75" customHeight="1">
      <c r="A66" s="177" t="s">
        <v>176</v>
      </c>
      <c r="B66" s="185" t="str">
        <f>iferror(VLOOKUP((LEFT(A66,6)),CUSTOMER_DETAILS,2,FALSE),"-")</f>
        <v>NAGPUR FUELS</v>
      </c>
      <c r="C66" s="179" t="s">
        <v>89</v>
      </c>
      <c r="D66" s="162">
        <v>44777.0</v>
      </c>
      <c r="E66" s="179" t="s">
        <v>89</v>
      </c>
      <c r="F66" s="180" t="s">
        <v>89</v>
      </c>
      <c r="G66" s="180" t="s">
        <v>89</v>
      </c>
      <c r="H66" s="180" t="s">
        <v>89</v>
      </c>
      <c r="I66" s="181" t="s">
        <v>108</v>
      </c>
      <c r="J66" s="182">
        <f t="shared" si="11"/>
        <v>44777</v>
      </c>
      <c r="K66" s="177">
        <v>71.0</v>
      </c>
      <c r="L66" s="181" t="s">
        <v>108</v>
      </c>
      <c r="M66" s="180" t="s">
        <v>91</v>
      </c>
      <c r="N66" s="177" t="s">
        <v>125</v>
      </c>
      <c r="O66" s="180" t="s">
        <v>89</v>
      </c>
      <c r="P66" s="181"/>
      <c r="Q66" s="177" t="s">
        <v>117</v>
      </c>
      <c r="R66" s="179">
        <f>IFERROR(VLOOKUP(Q66,'PRODUCT TABLE'!$A$2:$B$26,2,FALSE),"-")</f>
        <v>44011090</v>
      </c>
      <c r="S66" s="177">
        <v>10020.0</v>
      </c>
      <c r="T66" s="177">
        <v>9.0</v>
      </c>
      <c r="U66" s="177" t="s">
        <v>95</v>
      </c>
      <c r="V66" s="183">
        <f t="shared" si="1"/>
        <v>90180</v>
      </c>
      <c r="W66" s="168">
        <v>0.025</v>
      </c>
      <c r="X66" s="168">
        <v>0.025</v>
      </c>
      <c r="Y66" s="168">
        <v>0.0</v>
      </c>
      <c r="Z66" s="169">
        <f t="shared" si="2"/>
        <v>94689</v>
      </c>
      <c r="AA66" s="167">
        <f t="shared" si="3"/>
        <v>0</v>
      </c>
      <c r="AB66" s="183"/>
      <c r="AC66" s="183">
        <f t="shared" si="4"/>
        <v>90180</v>
      </c>
      <c r="AD66" s="183">
        <f t="shared" si="5"/>
        <v>2254.5</v>
      </c>
      <c r="AE66" s="183">
        <f t="shared" si="6"/>
        <v>2254.5</v>
      </c>
      <c r="AF66" s="184">
        <f t="shared" si="7"/>
        <v>0</v>
      </c>
      <c r="AG66" s="184">
        <f t="shared" si="8"/>
        <v>4509</v>
      </c>
      <c r="AH66" s="158">
        <f t="shared" si="9"/>
        <v>8</v>
      </c>
      <c r="AI66" s="158">
        <f t="shared" si="10"/>
        <v>2022</v>
      </c>
    </row>
    <row r="67" ht="12.75" customHeight="1">
      <c r="A67" s="177" t="s">
        <v>177</v>
      </c>
      <c r="B67" s="178" t="s">
        <v>155</v>
      </c>
      <c r="C67" s="179" t="s">
        <v>89</v>
      </c>
      <c r="D67" s="162">
        <v>44777.0</v>
      </c>
      <c r="E67" s="179" t="s">
        <v>89</v>
      </c>
      <c r="F67" s="180" t="s">
        <v>89</v>
      </c>
      <c r="G67" s="180" t="s">
        <v>89</v>
      </c>
      <c r="H67" s="180" t="s">
        <v>89</v>
      </c>
      <c r="I67" s="181" t="s">
        <v>108</v>
      </c>
      <c r="J67" s="182">
        <f t="shared" si="11"/>
        <v>44777</v>
      </c>
      <c r="K67" s="177">
        <v>72.0</v>
      </c>
      <c r="L67" s="181" t="s">
        <v>108</v>
      </c>
      <c r="M67" s="180" t="s">
        <v>91</v>
      </c>
      <c r="N67" s="177" t="s">
        <v>135</v>
      </c>
      <c r="O67" s="180" t="s">
        <v>89</v>
      </c>
      <c r="P67" s="181"/>
      <c r="Q67" s="177" t="s">
        <v>151</v>
      </c>
      <c r="R67" s="179">
        <f>IFERROR(VLOOKUP(Q67,'PRODUCT TABLE'!$A$2:$B$26,2,FALSE),"-")</f>
        <v>23069026</v>
      </c>
      <c r="S67" s="177">
        <v>10280.0</v>
      </c>
      <c r="T67" s="177">
        <v>11.9</v>
      </c>
      <c r="U67" s="177" t="s">
        <v>95</v>
      </c>
      <c r="V67" s="183">
        <f t="shared" si="1"/>
        <v>122332</v>
      </c>
      <c r="W67" s="168">
        <v>0.025</v>
      </c>
      <c r="X67" s="168">
        <v>0.025</v>
      </c>
      <c r="Y67" s="168">
        <v>0.0</v>
      </c>
      <c r="Z67" s="169">
        <f t="shared" si="2"/>
        <v>128449</v>
      </c>
      <c r="AA67" s="167">
        <f t="shared" si="3"/>
        <v>0.4</v>
      </c>
      <c r="AB67" s="183"/>
      <c r="AC67" s="183">
        <f t="shared" si="4"/>
        <v>122332</v>
      </c>
      <c r="AD67" s="183">
        <f t="shared" si="5"/>
        <v>3058.3</v>
      </c>
      <c r="AE67" s="183">
        <f t="shared" si="6"/>
        <v>3058.3</v>
      </c>
      <c r="AF67" s="184">
        <f t="shared" si="7"/>
        <v>0</v>
      </c>
      <c r="AG67" s="184">
        <f t="shared" si="8"/>
        <v>6116.6</v>
      </c>
      <c r="AH67" s="158">
        <f t="shared" si="9"/>
        <v>8</v>
      </c>
      <c r="AI67" s="158">
        <f t="shared" si="10"/>
        <v>2022</v>
      </c>
    </row>
    <row r="68" ht="12.75" customHeight="1">
      <c r="A68" s="177" t="s">
        <v>178</v>
      </c>
      <c r="B68" s="185" t="str">
        <f>iferror(VLOOKUP((LEFT(A68,6)),CUSTOMER_DETAILS,2,FALSE),"-")</f>
        <v>NAGPUR FUELS</v>
      </c>
      <c r="C68" s="179" t="s">
        <v>89</v>
      </c>
      <c r="D68" s="162">
        <v>44786.0</v>
      </c>
      <c r="E68" s="179" t="s">
        <v>89</v>
      </c>
      <c r="F68" s="180" t="s">
        <v>89</v>
      </c>
      <c r="G68" s="180" t="s">
        <v>89</v>
      </c>
      <c r="H68" s="180" t="s">
        <v>89</v>
      </c>
      <c r="I68" s="181" t="s">
        <v>108</v>
      </c>
      <c r="J68" s="182">
        <f t="shared" si="11"/>
        <v>44786</v>
      </c>
      <c r="K68" s="177">
        <v>73.0</v>
      </c>
      <c r="L68" s="181" t="s">
        <v>108</v>
      </c>
      <c r="M68" s="180" t="s">
        <v>91</v>
      </c>
      <c r="N68" s="177" t="s">
        <v>125</v>
      </c>
      <c r="O68" s="180" t="s">
        <v>89</v>
      </c>
      <c r="P68" s="181"/>
      <c r="Q68" s="177" t="s">
        <v>117</v>
      </c>
      <c r="R68" s="179">
        <f>IFERROR(VLOOKUP(Q68,'PRODUCT TABLE'!$A$2:$B$26,2,FALSE),"-")</f>
        <v>44011090</v>
      </c>
      <c r="S68" s="177">
        <v>20470.0</v>
      </c>
      <c r="T68" s="177">
        <v>9.5</v>
      </c>
      <c r="U68" s="177" t="s">
        <v>95</v>
      </c>
      <c r="V68" s="183">
        <f t="shared" si="1"/>
        <v>194465</v>
      </c>
      <c r="W68" s="168">
        <v>0.025</v>
      </c>
      <c r="X68" s="168">
        <v>0.025</v>
      </c>
      <c r="Y68" s="168">
        <v>0.0</v>
      </c>
      <c r="Z68" s="169">
        <f t="shared" si="2"/>
        <v>204188</v>
      </c>
      <c r="AA68" s="167">
        <f t="shared" si="3"/>
        <v>-0.25</v>
      </c>
      <c r="AB68" s="183"/>
      <c r="AC68" s="183">
        <f t="shared" si="4"/>
        <v>194465</v>
      </c>
      <c r="AD68" s="183">
        <f t="shared" si="5"/>
        <v>4861.625</v>
      </c>
      <c r="AE68" s="183">
        <f t="shared" si="6"/>
        <v>4861.625</v>
      </c>
      <c r="AF68" s="184">
        <f t="shared" si="7"/>
        <v>0</v>
      </c>
      <c r="AG68" s="184">
        <f t="shared" si="8"/>
        <v>9723.25</v>
      </c>
      <c r="AH68" s="158">
        <f t="shared" si="9"/>
        <v>8</v>
      </c>
      <c r="AI68" s="158">
        <f t="shared" si="10"/>
        <v>2022</v>
      </c>
    </row>
    <row r="69" ht="12.75" customHeight="1">
      <c r="A69" s="177" t="s">
        <v>179</v>
      </c>
      <c r="B69" s="185" t="str">
        <f>iferror(VLOOKUP((LEFT(A69,6)),CUSTOMER_DETAILS,2,FALSE),"-")</f>
        <v>SHREE GAYATRI PACKAGING</v>
      </c>
      <c r="C69" s="179" t="s">
        <v>89</v>
      </c>
      <c r="D69" s="162">
        <v>44787.0</v>
      </c>
      <c r="E69" s="179" t="s">
        <v>89</v>
      </c>
      <c r="F69" s="180" t="s">
        <v>89</v>
      </c>
      <c r="G69" s="180" t="s">
        <v>89</v>
      </c>
      <c r="H69" s="180" t="s">
        <v>89</v>
      </c>
      <c r="I69" s="181" t="s">
        <v>108</v>
      </c>
      <c r="J69" s="182">
        <f t="shared" si="11"/>
        <v>44787</v>
      </c>
      <c r="K69" s="177">
        <v>74.0</v>
      </c>
      <c r="L69" s="181" t="s">
        <v>108</v>
      </c>
      <c r="M69" s="180" t="s">
        <v>91</v>
      </c>
      <c r="N69" s="177" t="s">
        <v>122</v>
      </c>
      <c r="O69" s="180" t="s">
        <v>89</v>
      </c>
      <c r="P69" s="181"/>
      <c r="Q69" s="177" t="s">
        <v>117</v>
      </c>
      <c r="R69" s="179">
        <f>IFERROR(VLOOKUP(Q69,'PRODUCT TABLE'!$A$2:$B$26,2,FALSE),"-")</f>
        <v>44011090</v>
      </c>
      <c r="S69" s="177">
        <v>1350.0</v>
      </c>
      <c r="T69" s="177">
        <v>12.0</v>
      </c>
      <c r="U69" s="177" t="s">
        <v>95</v>
      </c>
      <c r="V69" s="183">
        <f t="shared" si="1"/>
        <v>16200</v>
      </c>
      <c r="W69" s="168">
        <v>0.025</v>
      </c>
      <c r="X69" s="168">
        <v>0.025</v>
      </c>
      <c r="Y69" s="168">
        <v>0.0</v>
      </c>
      <c r="Z69" s="169">
        <f t="shared" si="2"/>
        <v>17010</v>
      </c>
      <c r="AA69" s="167">
        <f t="shared" si="3"/>
        <v>0</v>
      </c>
      <c r="AB69" s="183"/>
      <c r="AC69" s="183">
        <f t="shared" si="4"/>
        <v>16200</v>
      </c>
      <c r="AD69" s="183">
        <f t="shared" si="5"/>
        <v>405</v>
      </c>
      <c r="AE69" s="183">
        <f t="shared" si="6"/>
        <v>405</v>
      </c>
      <c r="AF69" s="184">
        <f t="shared" si="7"/>
        <v>0</v>
      </c>
      <c r="AG69" s="184">
        <f t="shared" si="8"/>
        <v>810</v>
      </c>
      <c r="AH69" s="158">
        <f t="shared" si="9"/>
        <v>8</v>
      </c>
      <c r="AI69" s="158">
        <f t="shared" si="10"/>
        <v>2022</v>
      </c>
    </row>
    <row r="70" ht="12.75" customHeight="1">
      <c r="A70" s="177" t="s">
        <v>180</v>
      </c>
      <c r="B70" s="185" t="str">
        <f>iferror(VLOOKUP((LEFT(A70,6)),CUSTOMER_DETAILS,2,FALSE),"-")</f>
        <v>NAGPUR FUELS</v>
      </c>
      <c r="C70" s="179" t="s">
        <v>89</v>
      </c>
      <c r="D70" s="162">
        <v>44750.0</v>
      </c>
      <c r="E70" s="179" t="s">
        <v>89</v>
      </c>
      <c r="F70" s="180" t="s">
        <v>89</v>
      </c>
      <c r="G70" s="180" t="s">
        <v>89</v>
      </c>
      <c r="H70" s="180" t="s">
        <v>89</v>
      </c>
      <c r="I70" s="181" t="s">
        <v>108</v>
      </c>
      <c r="J70" s="182">
        <f t="shared" si="11"/>
        <v>44750</v>
      </c>
      <c r="K70" s="177">
        <v>75.0</v>
      </c>
      <c r="L70" s="181" t="s">
        <v>108</v>
      </c>
      <c r="M70" s="180" t="s">
        <v>91</v>
      </c>
      <c r="N70" s="177" t="s">
        <v>125</v>
      </c>
      <c r="O70" s="180" t="s">
        <v>89</v>
      </c>
      <c r="P70" s="181"/>
      <c r="Q70" s="177" t="s">
        <v>117</v>
      </c>
      <c r="R70" s="179">
        <f>IFERROR(VLOOKUP(Q70,'PRODUCT TABLE'!$A$2:$B$26,2,FALSE),"-")</f>
        <v>44011090</v>
      </c>
      <c r="S70" s="177">
        <v>20000.0</v>
      </c>
      <c r="T70" s="177">
        <v>9.5</v>
      </c>
      <c r="U70" s="177" t="s">
        <v>95</v>
      </c>
      <c r="V70" s="183">
        <f t="shared" si="1"/>
        <v>190000</v>
      </c>
      <c r="W70" s="168">
        <v>0.025</v>
      </c>
      <c r="X70" s="168">
        <v>0.025</v>
      </c>
      <c r="Y70" s="168">
        <v>0.0</v>
      </c>
      <c r="Z70" s="169">
        <f t="shared" si="2"/>
        <v>199500</v>
      </c>
      <c r="AA70" s="167">
        <f t="shared" si="3"/>
        <v>0</v>
      </c>
      <c r="AB70" s="183"/>
      <c r="AC70" s="183">
        <f t="shared" si="4"/>
        <v>190000</v>
      </c>
      <c r="AD70" s="183">
        <f t="shared" si="5"/>
        <v>4750</v>
      </c>
      <c r="AE70" s="183">
        <f t="shared" si="6"/>
        <v>4750</v>
      </c>
      <c r="AF70" s="184">
        <f t="shared" si="7"/>
        <v>0</v>
      </c>
      <c r="AG70" s="184">
        <f t="shared" si="8"/>
        <v>9500</v>
      </c>
      <c r="AH70" s="158">
        <f t="shared" si="9"/>
        <v>7</v>
      </c>
      <c r="AI70" s="158">
        <f t="shared" si="10"/>
        <v>2022</v>
      </c>
    </row>
    <row r="71" ht="12.75" customHeight="1">
      <c r="A71" s="177" t="s">
        <v>181</v>
      </c>
      <c r="B71" s="185" t="str">
        <f>iferror(VLOOKUP((LEFT(A71,6)),CUSTOMER_DETAILS,2,FALSE),"-")</f>
        <v>VIDARBHA SALES</v>
      </c>
      <c r="C71" s="179" t="s">
        <v>89</v>
      </c>
      <c r="D71" s="162">
        <v>44789.0</v>
      </c>
      <c r="E71" s="179" t="s">
        <v>89</v>
      </c>
      <c r="F71" s="180" t="s">
        <v>89</v>
      </c>
      <c r="G71" s="180" t="s">
        <v>89</v>
      </c>
      <c r="H71" s="180" t="s">
        <v>89</v>
      </c>
      <c r="I71" s="181" t="s">
        <v>108</v>
      </c>
      <c r="J71" s="182">
        <f t="shared" si="11"/>
        <v>44789</v>
      </c>
      <c r="K71" s="177">
        <v>76.0</v>
      </c>
      <c r="L71" s="181" t="s">
        <v>108</v>
      </c>
      <c r="M71" s="180" t="s">
        <v>91</v>
      </c>
      <c r="N71" s="177" t="s">
        <v>128</v>
      </c>
      <c r="O71" s="180" t="s">
        <v>89</v>
      </c>
      <c r="P71" s="181"/>
      <c r="Q71" s="177" t="s">
        <v>151</v>
      </c>
      <c r="R71" s="179">
        <f>IFERROR(VLOOKUP(Q71,'PRODUCT TABLE'!$A$2:$B$26,2,FALSE),"-")</f>
        <v>23069026</v>
      </c>
      <c r="S71" s="177">
        <v>45000.0</v>
      </c>
      <c r="T71" s="177">
        <v>15.5</v>
      </c>
      <c r="U71" s="177" t="s">
        <v>95</v>
      </c>
      <c r="V71" s="183">
        <f t="shared" si="1"/>
        <v>697500</v>
      </c>
      <c r="W71" s="168">
        <v>0.025</v>
      </c>
      <c r="X71" s="168">
        <v>0.025</v>
      </c>
      <c r="Y71" s="168">
        <v>0.0</v>
      </c>
      <c r="Z71" s="169">
        <f t="shared" si="2"/>
        <v>732375</v>
      </c>
      <c r="AA71" s="167">
        <f t="shared" si="3"/>
        <v>0</v>
      </c>
      <c r="AB71" s="183"/>
      <c r="AC71" s="183">
        <f t="shared" si="4"/>
        <v>697500</v>
      </c>
      <c r="AD71" s="183">
        <f t="shared" si="5"/>
        <v>17437.5</v>
      </c>
      <c r="AE71" s="183">
        <f t="shared" si="6"/>
        <v>17437.5</v>
      </c>
      <c r="AF71" s="184">
        <f t="shared" si="7"/>
        <v>0</v>
      </c>
      <c r="AG71" s="184">
        <f t="shared" si="8"/>
        <v>34875</v>
      </c>
      <c r="AH71" s="158">
        <f t="shared" si="9"/>
        <v>8</v>
      </c>
      <c r="AI71" s="158">
        <f t="shared" si="10"/>
        <v>2022</v>
      </c>
    </row>
    <row r="72" ht="12.75" customHeight="1">
      <c r="A72" s="177" t="s">
        <v>182</v>
      </c>
      <c r="B72" s="178" t="s">
        <v>183</v>
      </c>
      <c r="C72" s="179" t="s">
        <v>89</v>
      </c>
      <c r="D72" s="162">
        <v>44791.0</v>
      </c>
      <c r="E72" s="179" t="s">
        <v>89</v>
      </c>
      <c r="F72" s="180" t="s">
        <v>89</v>
      </c>
      <c r="G72" s="180" t="s">
        <v>89</v>
      </c>
      <c r="H72" s="180" t="s">
        <v>89</v>
      </c>
      <c r="I72" s="181" t="s">
        <v>108</v>
      </c>
      <c r="J72" s="182">
        <f t="shared" si="11"/>
        <v>44791</v>
      </c>
      <c r="K72" s="177">
        <v>77.0</v>
      </c>
      <c r="L72" s="181" t="s">
        <v>108</v>
      </c>
      <c r="M72" s="180" t="s">
        <v>91</v>
      </c>
      <c r="N72" s="177" t="s">
        <v>184</v>
      </c>
      <c r="O72" s="180" t="s">
        <v>89</v>
      </c>
      <c r="P72" s="181"/>
      <c r="Q72" s="177" t="s">
        <v>151</v>
      </c>
      <c r="R72" s="179">
        <f>IFERROR(VLOOKUP(Q72,'PRODUCT TABLE'!$A$2:$B$26,2,FALSE),"-")</f>
        <v>23069026</v>
      </c>
      <c r="S72" s="177">
        <v>1283.26</v>
      </c>
      <c r="T72" s="177">
        <v>14.4</v>
      </c>
      <c r="U72" s="177" t="s">
        <v>95</v>
      </c>
      <c r="V72" s="183">
        <f t="shared" si="1"/>
        <v>18478.944</v>
      </c>
      <c r="W72" s="168">
        <v>0.025</v>
      </c>
      <c r="X72" s="168">
        <v>0.025</v>
      </c>
      <c r="Y72" s="168">
        <v>0.0</v>
      </c>
      <c r="Z72" s="169">
        <f t="shared" si="2"/>
        <v>19403</v>
      </c>
      <c r="AA72" s="167">
        <f t="shared" si="3"/>
        <v>0.1088</v>
      </c>
      <c r="AB72" s="183"/>
      <c r="AC72" s="183">
        <f t="shared" si="4"/>
        <v>18478.944</v>
      </c>
      <c r="AD72" s="183">
        <f t="shared" si="5"/>
        <v>461.9736</v>
      </c>
      <c r="AE72" s="183">
        <f t="shared" si="6"/>
        <v>461.9736</v>
      </c>
      <c r="AF72" s="184">
        <f t="shared" si="7"/>
        <v>0</v>
      </c>
      <c r="AG72" s="184">
        <f t="shared" si="8"/>
        <v>923.9472</v>
      </c>
      <c r="AH72" s="158">
        <f t="shared" si="9"/>
        <v>8</v>
      </c>
      <c r="AI72" s="158">
        <f t="shared" si="10"/>
        <v>2022</v>
      </c>
    </row>
    <row r="73" ht="12.75" customHeight="1">
      <c r="A73" s="177" t="s">
        <v>185</v>
      </c>
      <c r="B73" s="185" t="str">
        <f>iferror(VLOOKUP((LEFT(A73,6)),CUSTOMER_DETAILS,2,FALSE),"-")</f>
        <v>NAGPUR FUELS</v>
      </c>
      <c r="C73" s="179" t="s">
        <v>89</v>
      </c>
      <c r="D73" s="162">
        <v>44759.0</v>
      </c>
      <c r="E73" s="179" t="s">
        <v>89</v>
      </c>
      <c r="F73" s="180" t="s">
        <v>89</v>
      </c>
      <c r="G73" s="180" t="s">
        <v>89</v>
      </c>
      <c r="H73" s="180" t="s">
        <v>89</v>
      </c>
      <c r="I73" s="181" t="s">
        <v>108</v>
      </c>
      <c r="J73" s="182">
        <f t="shared" si="11"/>
        <v>44759</v>
      </c>
      <c r="K73" s="177">
        <v>78.0</v>
      </c>
      <c r="L73" s="181" t="s">
        <v>108</v>
      </c>
      <c r="M73" s="180" t="s">
        <v>91</v>
      </c>
      <c r="N73" s="177" t="s">
        <v>125</v>
      </c>
      <c r="O73" s="180" t="s">
        <v>89</v>
      </c>
      <c r="P73" s="181"/>
      <c r="Q73" s="177" t="s">
        <v>117</v>
      </c>
      <c r="R73" s="179">
        <f>IFERROR(VLOOKUP(Q73,'PRODUCT TABLE'!$A$2:$B$26,2,FALSE),"-")</f>
        <v>44011090</v>
      </c>
      <c r="S73" s="177">
        <v>20000.0</v>
      </c>
      <c r="T73" s="177">
        <v>9.5</v>
      </c>
      <c r="U73" s="177" t="s">
        <v>95</v>
      </c>
      <c r="V73" s="183">
        <f t="shared" si="1"/>
        <v>190000</v>
      </c>
      <c r="W73" s="168">
        <v>0.025</v>
      </c>
      <c r="X73" s="168">
        <v>0.025</v>
      </c>
      <c r="Y73" s="168">
        <v>0.0</v>
      </c>
      <c r="Z73" s="169">
        <f t="shared" si="2"/>
        <v>199500</v>
      </c>
      <c r="AA73" s="167">
        <f t="shared" si="3"/>
        <v>0</v>
      </c>
      <c r="AB73" s="183"/>
      <c r="AC73" s="183">
        <f t="shared" si="4"/>
        <v>190000</v>
      </c>
      <c r="AD73" s="183">
        <f t="shared" si="5"/>
        <v>4750</v>
      </c>
      <c r="AE73" s="183">
        <f t="shared" si="6"/>
        <v>4750</v>
      </c>
      <c r="AF73" s="184">
        <f t="shared" si="7"/>
        <v>0</v>
      </c>
      <c r="AG73" s="184">
        <f t="shared" si="8"/>
        <v>9500</v>
      </c>
      <c r="AH73" s="158">
        <f t="shared" si="9"/>
        <v>7</v>
      </c>
      <c r="AI73" s="158">
        <f t="shared" si="10"/>
        <v>2022</v>
      </c>
    </row>
    <row r="74" ht="12.75" customHeight="1">
      <c r="A74" s="177" t="s">
        <v>186</v>
      </c>
      <c r="B74" s="178" t="s">
        <v>165</v>
      </c>
      <c r="C74" s="179" t="s">
        <v>89</v>
      </c>
      <c r="D74" s="162">
        <v>44792.0</v>
      </c>
      <c r="E74" s="179" t="s">
        <v>89</v>
      </c>
      <c r="F74" s="180" t="s">
        <v>89</v>
      </c>
      <c r="G74" s="180" t="s">
        <v>89</v>
      </c>
      <c r="H74" s="180" t="s">
        <v>89</v>
      </c>
      <c r="I74" s="181" t="s">
        <v>108</v>
      </c>
      <c r="J74" s="182">
        <f t="shared" si="11"/>
        <v>44792</v>
      </c>
      <c r="K74" s="177">
        <v>79.0</v>
      </c>
      <c r="L74" s="181" t="s">
        <v>108</v>
      </c>
      <c r="M74" s="180" t="s">
        <v>91</v>
      </c>
      <c r="N74" s="177" t="s">
        <v>135</v>
      </c>
      <c r="O74" s="180" t="s">
        <v>89</v>
      </c>
      <c r="P74" s="181"/>
      <c r="Q74" s="177" t="s">
        <v>94</v>
      </c>
      <c r="R74" s="179">
        <f>IFERROR(VLOOKUP(Q74,'PRODUCT TABLE'!$A$2:$B$26,2,FALSE),"-")</f>
        <v>44011090</v>
      </c>
      <c r="S74" s="177">
        <v>8480.0</v>
      </c>
      <c r="T74" s="177">
        <v>7.0</v>
      </c>
      <c r="U74" s="177" t="s">
        <v>95</v>
      </c>
      <c r="V74" s="183">
        <f t="shared" si="1"/>
        <v>59360</v>
      </c>
      <c r="W74" s="168">
        <v>0.025</v>
      </c>
      <c r="X74" s="168">
        <v>0.025</v>
      </c>
      <c r="Y74" s="168">
        <v>0.0</v>
      </c>
      <c r="Z74" s="169">
        <f t="shared" si="2"/>
        <v>62328</v>
      </c>
      <c r="AA74" s="167">
        <f t="shared" si="3"/>
        <v>0</v>
      </c>
      <c r="AB74" s="183"/>
      <c r="AC74" s="183">
        <f t="shared" si="4"/>
        <v>59360</v>
      </c>
      <c r="AD74" s="183">
        <f t="shared" si="5"/>
        <v>1484</v>
      </c>
      <c r="AE74" s="183">
        <f t="shared" si="6"/>
        <v>1484</v>
      </c>
      <c r="AF74" s="184">
        <f t="shared" si="7"/>
        <v>0</v>
      </c>
      <c r="AG74" s="184">
        <f t="shared" si="8"/>
        <v>2968</v>
      </c>
      <c r="AH74" s="158">
        <f t="shared" si="9"/>
        <v>8</v>
      </c>
      <c r="AI74" s="158">
        <f t="shared" si="10"/>
        <v>2022</v>
      </c>
    </row>
    <row r="75" ht="12.75" customHeight="1">
      <c r="A75" s="177" t="s">
        <v>187</v>
      </c>
      <c r="B75" s="185" t="str">
        <f>iferror(VLOOKUP((LEFT(A75,6)),CUSTOMER_DETAILS,2,FALSE),"-")</f>
        <v>NAGPUR FUELS</v>
      </c>
      <c r="C75" s="179" t="s">
        <v>89</v>
      </c>
      <c r="D75" s="162">
        <v>44796.0</v>
      </c>
      <c r="E75" s="179" t="s">
        <v>89</v>
      </c>
      <c r="F75" s="180" t="s">
        <v>89</v>
      </c>
      <c r="G75" s="180" t="s">
        <v>89</v>
      </c>
      <c r="H75" s="180" t="s">
        <v>89</v>
      </c>
      <c r="I75" s="181" t="s">
        <v>108</v>
      </c>
      <c r="J75" s="182">
        <f t="shared" si="11"/>
        <v>44796</v>
      </c>
      <c r="K75" s="177">
        <v>80.0</v>
      </c>
      <c r="L75" s="181" t="s">
        <v>108</v>
      </c>
      <c r="M75" s="180" t="s">
        <v>91</v>
      </c>
      <c r="N75" s="177" t="s">
        <v>125</v>
      </c>
      <c r="O75" s="180" t="s">
        <v>89</v>
      </c>
      <c r="P75" s="181"/>
      <c r="Q75" s="177" t="s">
        <v>117</v>
      </c>
      <c r="R75" s="179">
        <f>IFERROR(VLOOKUP(Q75,'PRODUCT TABLE'!$A$2:$B$26,2,FALSE),"-")</f>
        <v>44011090</v>
      </c>
      <c r="S75" s="177">
        <v>10030.0</v>
      </c>
      <c r="T75" s="177">
        <v>9.5</v>
      </c>
      <c r="U75" s="177" t="s">
        <v>95</v>
      </c>
      <c r="V75" s="183">
        <f t="shared" si="1"/>
        <v>95285</v>
      </c>
      <c r="W75" s="168">
        <v>0.025</v>
      </c>
      <c r="X75" s="168">
        <v>0.025</v>
      </c>
      <c r="Y75" s="168">
        <v>0.0</v>
      </c>
      <c r="Z75" s="169">
        <f t="shared" si="2"/>
        <v>100049</v>
      </c>
      <c r="AA75" s="167">
        <f t="shared" si="3"/>
        <v>-0.25</v>
      </c>
      <c r="AB75" s="183"/>
      <c r="AC75" s="183">
        <f t="shared" si="4"/>
        <v>95285</v>
      </c>
      <c r="AD75" s="183">
        <f t="shared" si="5"/>
        <v>2382.125</v>
      </c>
      <c r="AE75" s="183">
        <f t="shared" si="6"/>
        <v>2382.125</v>
      </c>
      <c r="AF75" s="184">
        <f t="shared" si="7"/>
        <v>0</v>
      </c>
      <c r="AG75" s="184">
        <f t="shared" si="8"/>
        <v>4764.25</v>
      </c>
      <c r="AH75" s="158">
        <f t="shared" si="9"/>
        <v>8</v>
      </c>
      <c r="AI75" s="158">
        <f t="shared" si="10"/>
        <v>2022</v>
      </c>
    </row>
    <row r="76" ht="12.75" customHeight="1">
      <c r="A76" s="177" t="s">
        <v>188</v>
      </c>
      <c r="B76" s="185" t="str">
        <f>iferror(VLOOKUP((LEFT(A76,6)),CUSTOMER_DETAILS,2,FALSE),"-")</f>
        <v>NAGPUR FUELS</v>
      </c>
      <c r="C76" s="179" t="s">
        <v>89</v>
      </c>
      <c r="D76" s="162">
        <v>44805.0</v>
      </c>
      <c r="E76" s="179" t="s">
        <v>89</v>
      </c>
      <c r="F76" s="180" t="s">
        <v>89</v>
      </c>
      <c r="G76" s="180" t="s">
        <v>89</v>
      </c>
      <c r="H76" s="180" t="s">
        <v>89</v>
      </c>
      <c r="I76" s="181" t="s">
        <v>108</v>
      </c>
      <c r="J76" s="182">
        <f t="shared" si="11"/>
        <v>44805</v>
      </c>
      <c r="K76" s="177">
        <v>81.0</v>
      </c>
      <c r="L76" s="181" t="s">
        <v>108</v>
      </c>
      <c r="M76" s="180" t="s">
        <v>91</v>
      </c>
      <c r="N76" s="177" t="s">
        <v>125</v>
      </c>
      <c r="O76" s="180" t="s">
        <v>89</v>
      </c>
      <c r="P76" s="181"/>
      <c r="Q76" s="177" t="s">
        <v>117</v>
      </c>
      <c r="R76" s="179">
        <f>IFERROR(VLOOKUP(Q76,'PRODUCT TABLE'!$A$2:$B$26,2,FALSE),"-")</f>
        <v>44011090</v>
      </c>
      <c r="S76" s="177">
        <v>10110.0</v>
      </c>
      <c r="T76" s="177">
        <v>11.5</v>
      </c>
      <c r="U76" s="177" t="s">
        <v>95</v>
      </c>
      <c r="V76" s="183">
        <f t="shared" si="1"/>
        <v>116265</v>
      </c>
      <c r="W76" s="168">
        <v>0.025</v>
      </c>
      <c r="X76" s="168">
        <v>0.025</v>
      </c>
      <c r="Y76" s="168">
        <v>0.0</v>
      </c>
      <c r="Z76" s="169">
        <f t="shared" si="2"/>
        <v>122078</v>
      </c>
      <c r="AA76" s="167">
        <f t="shared" si="3"/>
        <v>-0.25</v>
      </c>
      <c r="AB76" s="183"/>
      <c r="AC76" s="183">
        <f t="shared" si="4"/>
        <v>116265</v>
      </c>
      <c r="AD76" s="183">
        <f t="shared" si="5"/>
        <v>2906.625</v>
      </c>
      <c r="AE76" s="183">
        <f t="shared" si="6"/>
        <v>2906.625</v>
      </c>
      <c r="AF76" s="184">
        <f t="shared" si="7"/>
        <v>0</v>
      </c>
      <c r="AG76" s="184">
        <f t="shared" si="8"/>
        <v>5813.25</v>
      </c>
      <c r="AH76" s="158">
        <f t="shared" si="9"/>
        <v>9</v>
      </c>
      <c r="AI76" s="158">
        <f t="shared" si="10"/>
        <v>2022</v>
      </c>
    </row>
    <row r="77" ht="12.75" customHeight="1">
      <c r="A77" s="177" t="s">
        <v>189</v>
      </c>
      <c r="B77" s="178" t="s">
        <v>165</v>
      </c>
      <c r="C77" s="179" t="s">
        <v>89</v>
      </c>
      <c r="D77" s="162">
        <v>44806.0</v>
      </c>
      <c r="E77" s="179" t="s">
        <v>89</v>
      </c>
      <c r="F77" s="180" t="s">
        <v>89</v>
      </c>
      <c r="G77" s="180" t="s">
        <v>89</v>
      </c>
      <c r="H77" s="180" t="s">
        <v>89</v>
      </c>
      <c r="I77" s="181" t="s">
        <v>108</v>
      </c>
      <c r="J77" s="182">
        <f t="shared" si="11"/>
        <v>44806</v>
      </c>
      <c r="K77" s="177">
        <v>82.0</v>
      </c>
      <c r="L77" s="181" t="s">
        <v>108</v>
      </c>
      <c r="M77" s="180" t="s">
        <v>91</v>
      </c>
      <c r="N77" s="177" t="s">
        <v>135</v>
      </c>
      <c r="O77" s="180" t="s">
        <v>89</v>
      </c>
      <c r="P77" s="181"/>
      <c r="Q77" s="177" t="s">
        <v>94</v>
      </c>
      <c r="R77" s="179">
        <f>IFERROR(VLOOKUP(Q77,'PRODUCT TABLE'!$A$2:$B$26,2,FALSE),"-")</f>
        <v>44011090</v>
      </c>
      <c r="S77" s="177">
        <v>6425.0</v>
      </c>
      <c r="T77" s="177">
        <v>7.0</v>
      </c>
      <c r="U77" s="177" t="s">
        <v>95</v>
      </c>
      <c r="V77" s="183">
        <f t="shared" si="1"/>
        <v>44975</v>
      </c>
      <c r="W77" s="168">
        <v>0.025</v>
      </c>
      <c r="X77" s="168">
        <v>0.025</v>
      </c>
      <c r="Y77" s="168">
        <v>0.0</v>
      </c>
      <c r="Z77" s="169">
        <f t="shared" si="2"/>
        <v>47224</v>
      </c>
      <c r="AA77" s="167">
        <f t="shared" si="3"/>
        <v>0.25</v>
      </c>
      <c r="AB77" s="183"/>
      <c r="AC77" s="183">
        <f t="shared" si="4"/>
        <v>44975</v>
      </c>
      <c r="AD77" s="183">
        <f t="shared" si="5"/>
        <v>1124.375</v>
      </c>
      <c r="AE77" s="183">
        <f t="shared" si="6"/>
        <v>1124.375</v>
      </c>
      <c r="AF77" s="184">
        <f t="shared" si="7"/>
        <v>0</v>
      </c>
      <c r="AG77" s="184">
        <f t="shared" si="8"/>
        <v>2248.75</v>
      </c>
      <c r="AH77" s="158">
        <f t="shared" si="9"/>
        <v>9</v>
      </c>
      <c r="AI77" s="158">
        <f t="shared" si="10"/>
        <v>2022</v>
      </c>
    </row>
    <row r="78" ht="12.75" customHeight="1">
      <c r="A78" s="177" t="s">
        <v>190</v>
      </c>
      <c r="B78" s="178" t="s">
        <v>191</v>
      </c>
      <c r="C78" s="179" t="s">
        <v>89</v>
      </c>
      <c r="D78" s="162">
        <v>44806.0</v>
      </c>
      <c r="E78" s="179" t="s">
        <v>89</v>
      </c>
      <c r="F78" s="180" t="s">
        <v>89</v>
      </c>
      <c r="G78" s="180" t="s">
        <v>89</v>
      </c>
      <c r="H78" s="180" t="s">
        <v>89</v>
      </c>
      <c r="I78" s="181" t="s">
        <v>108</v>
      </c>
      <c r="J78" s="182">
        <f t="shared" si="11"/>
        <v>44806</v>
      </c>
      <c r="K78" s="177">
        <v>83.0</v>
      </c>
      <c r="L78" s="181" t="s">
        <v>108</v>
      </c>
      <c r="M78" s="180" t="s">
        <v>91</v>
      </c>
      <c r="N78" s="177" t="s">
        <v>192</v>
      </c>
      <c r="O78" s="180" t="s">
        <v>89</v>
      </c>
      <c r="P78" s="181"/>
      <c r="Q78" s="177" t="s">
        <v>94</v>
      </c>
      <c r="R78" s="179">
        <f>IFERROR(VLOOKUP(Q78,'PRODUCT TABLE'!$A$2:$B$26,2,FALSE),"-")</f>
        <v>44011090</v>
      </c>
      <c r="S78" s="177">
        <v>6830.0</v>
      </c>
      <c r="T78" s="177">
        <v>7.0</v>
      </c>
      <c r="U78" s="177" t="s">
        <v>95</v>
      </c>
      <c r="V78" s="183">
        <f t="shared" si="1"/>
        <v>47810</v>
      </c>
      <c r="W78" s="168">
        <v>0.025</v>
      </c>
      <c r="X78" s="168">
        <v>0.025</v>
      </c>
      <c r="Y78" s="168">
        <v>0.0</v>
      </c>
      <c r="Z78" s="169">
        <f t="shared" si="2"/>
        <v>50200</v>
      </c>
      <c r="AA78" s="167">
        <f t="shared" si="3"/>
        <v>-0.5</v>
      </c>
      <c r="AB78" s="183"/>
      <c r="AC78" s="183">
        <f t="shared" si="4"/>
        <v>47810</v>
      </c>
      <c r="AD78" s="183">
        <f t="shared" si="5"/>
        <v>1195.25</v>
      </c>
      <c r="AE78" s="183">
        <f t="shared" si="6"/>
        <v>1195.25</v>
      </c>
      <c r="AF78" s="184">
        <f t="shared" si="7"/>
        <v>0</v>
      </c>
      <c r="AG78" s="184">
        <f t="shared" si="8"/>
        <v>2390.5</v>
      </c>
      <c r="AH78" s="158">
        <f t="shared" si="9"/>
        <v>9</v>
      </c>
      <c r="AI78" s="158">
        <f t="shared" si="10"/>
        <v>2022</v>
      </c>
    </row>
    <row r="79" ht="12.75" customHeight="1">
      <c r="A79" s="177" t="s">
        <v>193</v>
      </c>
      <c r="B79" s="185" t="str">
        <f>iferror(VLOOKUP((LEFT(A79,6)),CUSTOMER_DETAILS,2,FALSE),"-")</f>
        <v>SHREE GAYATRI PACKAGING</v>
      </c>
      <c r="C79" s="179" t="s">
        <v>89</v>
      </c>
      <c r="D79" s="162">
        <v>44805.0</v>
      </c>
      <c r="E79" s="179" t="s">
        <v>89</v>
      </c>
      <c r="F79" s="180" t="s">
        <v>89</v>
      </c>
      <c r="G79" s="180" t="s">
        <v>89</v>
      </c>
      <c r="H79" s="180" t="s">
        <v>89</v>
      </c>
      <c r="I79" s="181" t="s">
        <v>108</v>
      </c>
      <c r="J79" s="182">
        <f t="shared" si="11"/>
        <v>44805</v>
      </c>
      <c r="K79" s="177">
        <v>84.0</v>
      </c>
      <c r="L79" s="181" t="s">
        <v>108</v>
      </c>
      <c r="M79" s="180" t="s">
        <v>91</v>
      </c>
      <c r="N79" s="177" t="s">
        <v>122</v>
      </c>
      <c r="O79" s="180" t="s">
        <v>89</v>
      </c>
      <c r="P79" s="181"/>
      <c r="Q79" s="177" t="s">
        <v>117</v>
      </c>
      <c r="R79" s="179">
        <f>IFERROR(VLOOKUP(Q79,'PRODUCT TABLE'!$A$2:$B$26,2,FALSE),"-")</f>
        <v>44011090</v>
      </c>
      <c r="S79" s="177">
        <v>1020.0</v>
      </c>
      <c r="T79" s="177">
        <v>13.0</v>
      </c>
      <c r="U79" s="177" t="s">
        <v>95</v>
      </c>
      <c r="V79" s="183">
        <f t="shared" si="1"/>
        <v>13260</v>
      </c>
      <c r="W79" s="168">
        <v>0.025</v>
      </c>
      <c r="X79" s="168">
        <v>0.025</v>
      </c>
      <c r="Y79" s="168">
        <v>0.0</v>
      </c>
      <c r="Z79" s="169">
        <f t="shared" si="2"/>
        <v>13923</v>
      </c>
      <c r="AA79" s="167">
        <f t="shared" si="3"/>
        <v>0</v>
      </c>
      <c r="AB79" s="183"/>
      <c r="AC79" s="183">
        <f t="shared" si="4"/>
        <v>13260</v>
      </c>
      <c r="AD79" s="183">
        <f t="shared" si="5"/>
        <v>331.5</v>
      </c>
      <c r="AE79" s="183">
        <f t="shared" si="6"/>
        <v>331.5</v>
      </c>
      <c r="AF79" s="184">
        <f t="shared" si="7"/>
        <v>0</v>
      </c>
      <c r="AG79" s="184">
        <f t="shared" si="8"/>
        <v>663</v>
      </c>
      <c r="AH79" s="158">
        <f t="shared" si="9"/>
        <v>9</v>
      </c>
      <c r="AI79" s="158">
        <f t="shared" si="10"/>
        <v>2022</v>
      </c>
    </row>
    <row r="80" ht="12.75" customHeight="1">
      <c r="A80" s="177" t="s">
        <v>194</v>
      </c>
      <c r="B80" s="185" t="str">
        <f>iferror(VLOOKUP((LEFT(A80,6)),CUSTOMER_DETAILS,2,FALSE),"-")</f>
        <v>NAGPUR FUELS</v>
      </c>
      <c r="C80" s="179" t="s">
        <v>89</v>
      </c>
      <c r="D80" s="162">
        <v>44809.0</v>
      </c>
      <c r="E80" s="179" t="s">
        <v>89</v>
      </c>
      <c r="F80" s="180" t="s">
        <v>89</v>
      </c>
      <c r="G80" s="180" t="s">
        <v>89</v>
      </c>
      <c r="H80" s="180" t="s">
        <v>89</v>
      </c>
      <c r="I80" s="181" t="s">
        <v>108</v>
      </c>
      <c r="J80" s="182">
        <f t="shared" si="11"/>
        <v>44809</v>
      </c>
      <c r="K80" s="177">
        <v>85.0</v>
      </c>
      <c r="L80" s="181" t="s">
        <v>108</v>
      </c>
      <c r="M80" s="180" t="s">
        <v>91</v>
      </c>
      <c r="N80" s="177" t="s">
        <v>125</v>
      </c>
      <c r="O80" s="180" t="s">
        <v>89</v>
      </c>
      <c r="P80" s="181"/>
      <c r="Q80" s="177" t="s">
        <v>117</v>
      </c>
      <c r="R80" s="179">
        <f>IFERROR(VLOOKUP(Q80,'PRODUCT TABLE'!$A$2:$B$26,2,FALSE),"-")</f>
        <v>44011090</v>
      </c>
      <c r="S80" s="177">
        <v>7540.0</v>
      </c>
      <c r="T80" s="177">
        <v>11.0</v>
      </c>
      <c r="U80" s="177" t="s">
        <v>95</v>
      </c>
      <c r="V80" s="183">
        <f t="shared" si="1"/>
        <v>82940</v>
      </c>
      <c r="W80" s="168">
        <v>0.025</v>
      </c>
      <c r="X80" s="168">
        <v>0.025</v>
      </c>
      <c r="Y80" s="168">
        <v>0.0</v>
      </c>
      <c r="Z80" s="169">
        <f t="shared" si="2"/>
        <v>87087</v>
      </c>
      <c r="AA80" s="167">
        <f t="shared" si="3"/>
        <v>0</v>
      </c>
      <c r="AB80" s="183"/>
      <c r="AC80" s="183">
        <f t="shared" si="4"/>
        <v>82940</v>
      </c>
      <c r="AD80" s="183">
        <f t="shared" si="5"/>
        <v>2073.5</v>
      </c>
      <c r="AE80" s="183">
        <f t="shared" si="6"/>
        <v>2073.5</v>
      </c>
      <c r="AF80" s="184">
        <f t="shared" si="7"/>
        <v>0</v>
      </c>
      <c r="AG80" s="184">
        <f t="shared" si="8"/>
        <v>4147</v>
      </c>
      <c r="AH80" s="158">
        <f t="shared" si="9"/>
        <v>9</v>
      </c>
      <c r="AI80" s="158">
        <f t="shared" si="10"/>
        <v>2022</v>
      </c>
    </row>
    <row r="81" ht="12.75" customHeight="1">
      <c r="A81" s="177" t="s">
        <v>195</v>
      </c>
      <c r="B81" s="178" t="s">
        <v>196</v>
      </c>
      <c r="C81" s="179" t="s">
        <v>89</v>
      </c>
      <c r="D81" s="162">
        <v>44810.0</v>
      </c>
      <c r="E81" s="179" t="s">
        <v>89</v>
      </c>
      <c r="F81" s="180" t="s">
        <v>89</v>
      </c>
      <c r="G81" s="180" t="s">
        <v>89</v>
      </c>
      <c r="H81" s="180" t="s">
        <v>89</v>
      </c>
      <c r="I81" s="181" t="s">
        <v>108</v>
      </c>
      <c r="J81" s="182">
        <f t="shared" si="11"/>
        <v>44810</v>
      </c>
      <c r="K81" s="177">
        <v>86.0</v>
      </c>
      <c r="L81" s="181" t="s">
        <v>108</v>
      </c>
      <c r="M81" s="180" t="s">
        <v>91</v>
      </c>
      <c r="N81" s="177" t="s">
        <v>125</v>
      </c>
      <c r="O81" s="180" t="s">
        <v>89</v>
      </c>
      <c r="P81" s="181"/>
      <c r="Q81" s="177" t="s">
        <v>117</v>
      </c>
      <c r="R81" s="179">
        <f>IFERROR(VLOOKUP(Q81,'PRODUCT TABLE'!$A$2:$B$26,2,FALSE),"-")</f>
        <v>44011090</v>
      </c>
      <c r="S81" s="177">
        <v>2730.0</v>
      </c>
      <c r="T81" s="177">
        <v>11.0</v>
      </c>
      <c r="U81" s="177" t="s">
        <v>95</v>
      </c>
      <c r="V81" s="183">
        <f t="shared" si="1"/>
        <v>30030</v>
      </c>
      <c r="W81" s="168">
        <v>0.025</v>
      </c>
      <c r="X81" s="168">
        <v>0.025</v>
      </c>
      <c r="Y81" s="168">
        <v>0.0</v>
      </c>
      <c r="Z81" s="169">
        <f t="shared" si="2"/>
        <v>31531</v>
      </c>
      <c r="AA81" s="167">
        <f t="shared" si="3"/>
        <v>-0.5</v>
      </c>
      <c r="AB81" s="183"/>
      <c r="AC81" s="183">
        <f t="shared" si="4"/>
        <v>30030</v>
      </c>
      <c r="AD81" s="183">
        <f t="shared" si="5"/>
        <v>750.75</v>
      </c>
      <c r="AE81" s="183">
        <f t="shared" si="6"/>
        <v>750.75</v>
      </c>
      <c r="AF81" s="184">
        <f t="shared" si="7"/>
        <v>0</v>
      </c>
      <c r="AG81" s="184">
        <f t="shared" si="8"/>
        <v>1501.5</v>
      </c>
      <c r="AH81" s="158">
        <f t="shared" si="9"/>
        <v>9</v>
      </c>
      <c r="AI81" s="158">
        <f t="shared" si="10"/>
        <v>2022</v>
      </c>
    </row>
    <row r="82" ht="12.75" customHeight="1">
      <c r="A82" s="177" t="s">
        <v>197</v>
      </c>
      <c r="B82" s="185" t="str">
        <f>iferror(VLOOKUP((LEFT(A82,6)),CUSTOMER_DETAILS,2,FALSE),"-")</f>
        <v>NAGPUR FUELS</v>
      </c>
      <c r="C82" s="179" t="s">
        <v>89</v>
      </c>
      <c r="D82" s="162">
        <v>44810.0</v>
      </c>
      <c r="E82" s="179" t="s">
        <v>89</v>
      </c>
      <c r="F82" s="180" t="s">
        <v>89</v>
      </c>
      <c r="G82" s="180" t="s">
        <v>89</v>
      </c>
      <c r="H82" s="180" t="s">
        <v>89</v>
      </c>
      <c r="I82" s="181" t="s">
        <v>108</v>
      </c>
      <c r="J82" s="182">
        <f t="shared" si="11"/>
        <v>44810</v>
      </c>
      <c r="K82" s="177">
        <v>87.0</v>
      </c>
      <c r="L82" s="181" t="s">
        <v>108</v>
      </c>
      <c r="M82" s="180" t="s">
        <v>91</v>
      </c>
      <c r="N82" s="177" t="s">
        <v>125</v>
      </c>
      <c r="O82" s="180" t="s">
        <v>89</v>
      </c>
      <c r="P82" s="181"/>
      <c r="Q82" s="177" t="s">
        <v>117</v>
      </c>
      <c r="R82" s="179">
        <f>IFERROR(VLOOKUP(Q82,'PRODUCT TABLE'!$A$2:$B$26,2,FALSE),"-")</f>
        <v>44011090</v>
      </c>
      <c r="S82" s="177">
        <v>7540.0</v>
      </c>
      <c r="T82" s="177">
        <v>11.0</v>
      </c>
      <c r="U82" s="177" t="s">
        <v>95</v>
      </c>
      <c r="V82" s="183">
        <f t="shared" si="1"/>
        <v>82940</v>
      </c>
      <c r="W82" s="168">
        <v>0.025</v>
      </c>
      <c r="X82" s="168">
        <v>0.025</v>
      </c>
      <c r="Y82" s="168">
        <v>0.0</v>
      </c>
      <c r="Z82" s="169">
        <f t="shared" si="2"/>
        <v>87087</v>
      </c>
      <c r="AA82" s="167">
        <f t="shared" si="3"/>
        <v>0</v>
      </c>
      <c r="AB82" s="183"/>
      <c r="AC82" s="183">
        <f t="shared" si="4"/>
        <v>82940</v>
      </c>
      <c r="AD82" s="183">
        <f t="shared" si="5"/>
        <v>2073.5</v>
      </c>
      <c r="AE82" s="183">
        <f t="shared" si="6"/>
        <v>2073.5</v>
      </c>
      <c r="AF82" s="184">
        <f t="shared" si="7"/>
        <v>0</v>
      </c>
      <c r="AG82" s="184">
        <f t="shared" si="8"/>
        <v>4147</v>
      </c>
      <c r="AH82" s="158">
        <f t="shared" si="9"/>
        <v>9</v>
      </c>
      <c r="AI82" s="158">
        <f t="shared" si="10"/>
        <v>2022</v>
      </c>
    </row>
    <row r="83" ht="12.75" customHeight="1">
      <c r="A83" s="177" t="s">
        <v>198</v>
      </c>
      <c r="B83" s="185" t="str">
        <f>iferror(VLOOKUP((LEFT(A83,6)),CUSTOMER_DETAILS,2,FALSE),"-")</f>
        <v>NAGPUR FUELS</v>
      </c>
      <c r="C83" s="179" t="s">
        <v>89</v>
      </c>
      <c r="D83" s="162">
        <v>44812.0</v>
      </c>
      <c r="E83" s="179" t="s">
        <v>89</v>
      </c>
      <c r="F83" s="180" t="s">
        <v>89</v>
      </c>
      <c r="G83" s="180" t="s">
        <v>89</v>
      </c>
      <c r="H83" s="180" t="s">
        <v>89</v>
      </c>
      <c r="I83" s="181" t="s">
        <v>108</v>
      </c>
      <c r="J83" s="182">
        <f t="shared" si="11"/>
        <v>44812</v>
      </c>
      <c r="K83" s="177">
        <v>88.0</v>
      </c>
      <c r="L83" s="181" t="s">
        <v>108</v>
      </c>
      <c r="M83" s="180" t="s">
        <v>91</v>
      </c>
      <c r="N83" s="177" t="s">
        <v>125</v>
      </c>
      <c r="O83" s="180" t="s">
        <v>89</v>
      </c>
      <c r="P83" s="181"/>
      <c r="Q83" s="177" t="s">
        <v>117</v>
      </c>
      <c r="R83" s="179">
        <f>IFERROR(VLOOKUP(Q83,'PRODUCT TABLE'!$A$2:$B$26,2,FALSE),"-")</f>
        <v>44011090</v>
      </c>
      <c r="S83" s="177">
        <v>3090.0</v>
      </c>
      <c r="T83" s="177">
        <v>11.0</v>
      </c>
      <c r="U83" s="177" t="s">
        <v>95</v>
      </c>
      <c r="V83" s="183">
        <f t="shared" si="1"/>
        <v>33990</v>
      </c>
      <c r="W83" s="168">
        <v>0.025</v>
      </c>
      <c r="X83" s="168">
        <v>0.025</v>
      </c>
      <c r="Y83" s="168">
        <v>0.0</v>
      </c>
      <c r="Z83" s="169">
        <f t="shared" si="2"/>
        <v>35689</v>
      </c>
      <c r="AA83" s="167">
        <f t="shared" si="3"/>
        <v>-0.5</v>
      </c>
      <c r="AB83" s="183"/>
      <c r="AC83" s="183">
        <f t="shared" si="4"/>
        <v>33990</v>
      </c>
      <c r="AD83" s="183">
        <f t="shared" si="5"/>
        <v>849.75</v>
      </c>
      <c r="AE83" s="183">
        <f t="shared" si="6"/>
        <v>849.75</v>
      </c>
      <c r="AF83" s="184">
        <f t="shared" si="7"/>
        <v>0</v>
      </c>
      <c r="AG83" s="184">
        <f t="shared" si="8"/>
        <v>1699.5</v>
      </c>
      <c r="AH83" s="158">
        <f t="shared" si="9"/>
        <v>9</v>
      </c>
      <c r="AI83" s="158">
        <f t="shared" si="10"/>
        <v>2022</v>
      </c>
    </row>
    <row r="84" ht="12.75" customHeight="1">
      <c r="A84" s="177" t="s">
        <v>199</v>
      </c>
      <c r="B84" s="178" t="s">
        <v>200</v>
      </c>
      <c r="C84" s="179" t="s">
        <v>89</v>
      </c>
      <c r="D84" s="162">
        <v>44814.0</v>
      </c>
      <c r="E84" s="179" t="s">
        <v>89</v>
      </c>
      <c r="F84" s="180" t="s">
        <v>89</v>
      </c>
      <c r="G84" s="180" t="s">
        <v>89</v>
      </c>
      <c r="H84" s="180" t="s">
        <v>89</v>
      </c>
      <c r="I84" s="181" t="s">
        <v>108</v>
      </c>
      <c r="J84" s="182">
        <f t="shared" si="11"/>
        <v>44814</v>
      </c>
      <c r="K84" s="177">
        <v>89.0</v>
      </c>
      <c r="L84" s="181" t="s">
        <v>108</v>
      </c>
      <c r="M84" s="180" t="s">
        <v>91</v>
      </c>
      <c r="N84" s="177" t="s">
        <v>201</v>
      </c>
      <c r="O84" s="180" t="s">
        <v>89</v>
      </c>
      <c r="P84" s="181"/>
      <c r="Q84" s="177" t="s">
        <v>151</v>
      </c>
      <c r="R84" s="179">
        <f>IFERROR(VLOOKUP(Q84,'PRODUCT TABLE'!$A$2:$B$26,2,FALSE),"-")</f>
        <v>23069026</v>
      </c>
      <c r="S84" s="177">
        <v>500.0</v>
      </c>
      <c r="T84" s="177">
        <v>17.0</v>
      </c>
      <c r="U84" s="177" t="s">
        <v>95</v>
      </c>
      <c r="V84" s="183">
        <f t="shared" si="1"/>
        <v>8500</v>
      </c>
      <c r="W84" s="168">
        <v>0.025</v>
      </c>
      <c r="X84" s="168">
        <v>0.025</v>
      </c>
      <c r="Y84" s="168">
        <v>0.0</v>
      </c>
      <c r="Z84" s="169">
        <f t="shared" si="2"/>
        <v>8925</v>
      </c>
      <c r="AA84" s="167">
        <f t="shared" si="3"/>
        <v>0</v>
      </c>
      <c r="AB84" s="183"/>
      <c r="AC84" s="183">
        <f t="shared" si="4"/>
        <v>8500</v>
      </c>
      <c r="AD84" s="183">
        <f t="shared" si="5"/>
        <v>212.5</v>
      </c>
      <c r="AE84" s="183">
        <f t="shared" si="6"/>
        <v>212.5</v>
      </c>
      <c r="AF84" s="184">
        <f t="shared" si="7"/>
        <v>0</v>
      </c>
      <c r="AG84" s="184">
        <f t="shared" si="8"/>
        <v>425</v>
      </c>
      <c r="AH84" s="158">
        <f t="shared" si="9"/>
        <v>9</v>
      </c>
      <c r="AI84" s="158">
        <f t="shared" si="10"/>
        <v>2022</v>
      </c>
    </row>
    <row r="85" ht="12.75" customHeight="1">
      <c r="A85" s="177" t="s">
        <v>202</v>
      </c>
      <c r="B85" s="185" t="str">
        <f>iferror(VLOOKUP((LEFT(A85,6)),CUSTOMER_DETAILS,2,FALSE),"-")</f>
        <v>NAGPUR FUELS</v>
      </c>
      <c r="C85" s="179" t="s">
        <v>89</v>
      </c>
      <c r="D85" s="162">
        <v>44815.0</v>
      </c>
      <c r="E85" s="179" t="s">
        <v>89</v>
      </c>
      <c r="F85" s="180" t="s">
        <v>89</v>
      </c>
      <c r="G85" s="180" t="s">
        <v>89</v>
      </c>
      <c r="H85" s="180" t="s">
        <v>89</v>
      </c>
      <c r="I85" s="181" t="s">
        <v>108</v>
      </c>
      <c r="J85" s="182">
        <f t="shared" si="11"/>
        <v>44815</v>
      </c>
      <c r="K85" s="177">
        <v>90.0</v>
      </c>
      <c r="L85" s="181" t="s">
        <v>108</v>
      </c>
      <c r="M85" s="180" t="s">
        <v>91</v>
      </c>
      <c r="N85" s="177" t="s">
        <v>125</v>
      </c>
      <c r="O85" s="180" t="s">
        <v>89</v>
      </c>
      <c r="P85" s="181"/>
      <c r="Q85" s="177" t="s">
        <v>117</v>
      </c>
      <c r="R85" s="179">
        <f>IFERROR(VLOOKUP(Q85,'PRODUCT TABLE'!$A$2:$B$26,2,FALSE),"-")</f>
        <v>44011090</v>
      </c>
      <c r="S85" s="177">
        <v>3000.0</v>
      </c>
      <c r="T85" s="177">
        <v>11.0</v>
      </c>
      <c r="U85" s="177" t="s">
        <v>95</v>
      </c>
      <c r="V85" s="183">
        <f t="shared" si="1"/>
        <v>33000</v>
      </c>
      <c r="W85" s="168">
        <v>0.025</v>
      </c>
      <c r="X85" s="168">
        <v>0.025</v>
      </c>
      <c r="Y85" s="168">
        <v>0.0</v>
      </c>
      <c r="Z85" s="169">
        <f t="shared" si="2"/>
        <v>34650</v>
      </c>
      <c r="AA85" s="167">
        <f t="shared" si="3"/>
        <v>0</v>
      </c>
      <c r="AB85" s="183"/>
      <c r="AC85" s="183">
        <f t="shared" si="4"/>
        <v>33000</v>
      </c>
      <c r="AD85" s="183">
        <f t="shared" si="5"/>
        <v>825</v>
      </c>
      <c r="AE85" s="183">
        <f t="shared" si="6"/>
        <v>825</v>
      </c>
      <c r="AF85" s="184">
        <f t="shared" si="7"/>
        <v>0</v>
      </c>
      <c r="AG85" s="184">
        <f t="shared" si="8"/>
        <v>1650</v>
      </c>
      <c r="AH85" s="158">
        <f t="shared" si="9"/>
        <v>9</v>
      </c>
      <c r="AI85" s="158">
        <f t="shared" si="10"/>
        <v>2022</v>
      </c>
    </row>
    <row r="86" ht="12.75" customHeight="1">
      <c r="A86" s="177" t="s">
        <v>203</v>
      </c>
      <c r="B86" s="185" t="str">
        <f>iferror(VLOOKUP((LEFT(A86,6)),CUSTOMER_DETAILS,2,FALSE),"-")</f>
        <v>SHREE GAYATRI PACKAGING</v>
      </c>
      <c r="C86" s="179" t="s">
        <v>89</v>
      </c>
      <c r="D86" s="162">
        <v>44816.0</v>
      </c>
      <c r="E86" s="179" t="s">
        <v>89</v>
      </c>
      <c r="F86" s="180" t="s">
        <v>89</v>
      </c>
      <c r="G86" s="180" t="s">
        <v>89</v>
      </c>
      <c r="H86" s="180" t="s">
        <v>89</v>
      </c>
      <c r="I86" s="181" t="s">
        <v>108</v>
      </c>
      <c r="J86" s="182">
        <f t="shared" si="11"/>
        <v>44816</v>
      </c>
      <c r="K86" s="177">
        <v>91.0</v>
      </c>
      <c r="L86" s="181" t="s">
        <v>108</v>
      </c>
      <c r="M86" s="180" t="s">
        <v>91</v>
      </c>
      <c r="N86" s="177" t="s">
        <v>122</v>
      </c>
      <c r="O86" s="180" t="s">
        <v>89</v>
      </c>
      <c r="P86" s="181"/>
      <c r="Q86" s="177" t="s">
        <v>117</v>
      </c>
      <c r="R86" s="179">
        <f>IFERROR(VLOOKUP(Q86,'PRODUCT TABLE'!$A$2:$B$26,2,FALSE),"-")</f>
        <v>44011090</v>
      </c>
      <c r="S86" s="177">
        <v>1020.0</v>
      </c>
      <c r="T86" s="177">
        <v>13.0</v>
      </c>
      <c r="U86" s="177" t="s">
        <v>95</v>
      </c>
      <c r="V86" s="183">
        <f t="shared" si="1"/>
        <v>13260</v>
      </c>
      <c r="W86" s="168">
        <v>0.025</v>
      </c>
      <c r="X86" s="168">
        <v>0.025</v>
      </c>
      <c r="Y86" s="168">
        <v>0.0</v>
      </c>
      <c r="Z86" s="169">
        <f t="shared" si="2"/>
        <v>13923</v>
      </c>
      <c r="AA86" s="167">
        <f t="shared" si="3"/>
        <v>0</v>
      </c>
      <c r="AB86" s="183"/>
      <c r="AC86" s="183">
        <f t="shared" si="4"/>
        <v>13260</v>
      </c>
      <c r="AD86" s="183">
        <f t="shared" si="5"/>
        <v>331.5</v>
      </c>
      <c r="AE86" s="183">
        <f t="shared" si="6"/>
        <v>331.5</v>
      </c>
      <c r="AF86" s="184">
        <f t="shared" si="7"/>
        <v>0</v>
      </c>
      <c r="AG86" s="184">
        <f t="shared" si="8"/>
        <v>663</v>
      </c>
      <c r="AH86" s="158">
        <f t="shared" si="9"/>
        <v>9</v>
      </c>
      <c r="AI86" s="158">
        <f t="shared" si="10"/>
        <v>2022</v>
      </c>
    </row>
    <row r="87" ht="12.75" customHeight="1">
      <c r="A87" s="177" t="s">
        <v>204</v>
      </c>
      <c r="B87" s="185" t="str">
        <f>iferror(VLOOKUP((LEFT(A87,6)),CUSTOMER_DETAILS,2,FALSE),"-")</f>
        <v>NAGPUR FUELS</v>
      </c>
      <c r="C87" s="179" t="s">
        <v>89</v>
      </c>
      <c r="D87" s="162">
        <v>44817.0</v>
      </c>
      <c r="E87" s="179" t="s">
        <v>89</v>
      </c>
      <c r="F87" s="180" t="s">
        <v>89</v>
      </c>
      <c r="G87" s="180" t="s">
        <v>89</v>
      </c>
      <c r="H87" s="180" t="s">
        <v>89</v>
      </c>
      <c r="I87" s="181" t="s">
        <v>108</v>
      </c>
      <c r="J87" s="182">
        <f t="shared" si="11"/>
        <v>44817</v>
      </c>
      <c r="K87" s="177">
        <v>92.0</v>
      </c>
      <c r="L87" s="181" t="s">
        <v>108</v>
      </c>
      <c r="M87" s="180" t="s">
        <v>91</v>
      </c>
      <c r="N87" s="177" t="s">
        <v>125</v>
      </c>
      <c r="O87" s="180" t="s">
        <v>89</v>
      </c>
      <c r="P87" s="181"/>
      <c r="Q87" s="177" t="s">
        <v>117</v>
      </c>
      <c r="R87" s="179">
        <f>IFERROR(VLOOKUP(Q87,'PRODUCT TABLE'!$A$2:$B$26,2,FALSE),"-")</f>
        <v>44011090</v>
      </c>
      <c r="S87" s="177">
        <v>1120.0</v>
      </c>
      <c r="T87" s="177">
        <v>11.0</v>
      </c>
      <c r="U87" s="177" t="s">
        <v>95</v>
      </c>
      <c r="V87" s="183">
        <f t="shared" si="1"/>
        <v>12320</v>
      </c>
      <c r="W87" s="168">
        <v>0.025</v>
      </c>
      <c r="X87" s="168">
        <v>0.025</v>
      </c>
      <c r="Y87" s="168">
        <v>0.0</v>
      </c>
      <c r="Z87" s="169">
        <f t="shared" si="2"/>
        <v>12936</v>
      </c>
      <c r="AA87" s="167">
        <f t="shared" si="3"/>
        <v>0</v>
      </c>
      <c r="AB87" s="183"/>
      <c r="AC87" s="183">
        <f t="shared" si="4"/>
        <v>12320</v>
      </c>
      <c r="AD87" s="183">
        <f t="shared" si="5"/>
        <v>308</v>
      </c>
      <c r="AE87" s="183">
        <f t="shared" si="6"/>
        <v>308</v>
      </c>
      <c r="AF87" s="184">
        <f t="shared" si="7"/>
        <v>0</v>
      </c>
      <c r="AG87" s="184">
        <f t="shared" si="8"/>
        <v>616</v>
      </c>
      <c r="AH87" s="158">
        <f t="shared" si="9"/>
        <v>9</v>
      </c>
      <c r="AI87" s="158">
        <f t="shared" si="10"/>
        <v>2022</v>
      </c>
    </row>
    <row r="88" ht="12.75" customHeight="1">
      <c r="A88" s="177" t="s">
        <v>205</v>
      </c>
      <c r="B88" s="185" t="str">
        <f>iferror(VLOOKUP((LEFT(A88,6)),CUSTOMER_DETAILS,2,FALSE),"-")</f>
        <v>KRISHNA ENTERPRISES</v>
      </c>
      <c r="C88" s="179" t="s">
        <v>89</v>
      </c>
      <c r="D88" s="162">
        <v>44818.0</v>
      </c>
      <c r="E88" s="179" t="s">
        <v>89</v>
      </c>
      <c r="F88" s="180" t="s">
        <v>89</v>
      </c>
      <c r="G88" s="180" t="s">
        <v>89</v>
      </c>
      <c r="H88" s="180" t="s">
        <v>89</v>
      </c>
      <c r="I88" s="181" t="s">
        <v>108</v>
      </c>
      <c r="J88" s="182">
        <f t="shared" si="11"/>
        <v>44818</v>
      </c>
      <c r="K88" s="177">
        <v>93.0</v>
      </c>
      <c r="L88" s="181" t="s">
        <v>108</v>
      </c>
      <c r="M88" s="180" t="s">
        <v>91</v>
      </c>
      <c r="N88" s="177" t="s">
        <v>125</v>
      </c>
      <c r="O88" s="180" t="s">
        <v>89</v>
      </c>
      <c r="P88" s="181"/>
      <c r="Q88" s="177" t="s">
        <v>117</v>
      </c>
      <c r="R88" s="179">
        <f>IFERROR(VLOOKUP(Q88,'PRODUCT TABLE'!$A$2:$B$26,2,FALSE),"-")</f>
        <v>44011090</v>
      </c>
      <c r="S88" s="177">
        <v>5590.0</v>
      </c>
      <c r="T88" s="177">
        <v>11.0</v>
      </c>
      <c r="U88" s="177" t="s">
        <v>95</v>
      </c>
      <c r="V88" s="183">
        <f t="shared" si="1"/>
        <v>61490</v>
      </c>
      <c r="W88" s="168">
        <v>0.025</v>
      </c>
      <c r="X88" s="168">
        <v>0.025</v>
      </c>
      <c r="Y88" s="168">
        <v>0.0</v>
      </c>
      <c r="Z88" s="169">
        <f t="shared" si="2"/>
        <v>64564</v>
      </c>
      <c r="AA88" s="167">
        <f t="shared" si="3"/>
        <v>-0.5</v>
      </c>
      <c r="AB88" s="183"/>
      <c r="AC88" s="183">
        <f t="shared" si="4"/>
        <v>61490</v>
      </c>
      <c r="AD88" s="183">
        <f t="shared" si="5"/>
        <v>1537.25</v>
      </c>
      <c r="AE88" s="183">
        <f t="shared" si="6"/>
        <v>1537.25</v>
      </c>
      <c r="AF88" s="184">
        <f t="shared" si="7"/>
        <v>0</v>
      </c>
      <c r="AG88" s="184">
        <f t="shared" si="8"/>
        <v>3074.5</v>
      </c>
      <c r="AH88" s="158">
        <f t="shared" si="9"/>
        <v>9</v>
      </c>
      <c r="AI88" s="158">
        <f t="shared" si="10"/>
        <v>2022</v>
      </c>
    </row>
    <row r="89" ht="12.75" customHeight="1">
      <c r="A89" s="177" t="s">
        <v>206</v>
      </c>
      <c r="B89" s="178" t="s">
        <v>207</v>
      </c>
      <c r="C89" s="179" t="s">
        <v>89</v>
      </c>
      <c r="D89" s="162">
        <v>44820.0</v>
      </c>
      <c r="E89" s="179" t="s">
        <v>89</v>
      </c>
      <c r="F89" s="180" t="s">
        <v>89</v>
      </c>
      <c r="G89" s="180" t="s">
        <v>89</v>
      </c>
      <c r="H89" s="180" t="s">
        <v>89</v>
      </c>
      <c r="I89" s="181" t="s">
        <v>108</v>
      </c>
      <c r="J89" s="182">
        <f t="shared" si="11"/>
        <v>44820</v>
      </c>
      <c r="K89" s="177">
        <v>94.0</v>
      </c>
      <c r="L89" s="181" t="s">
        <v>108</v>
      </c>
      <c r="M89" s="180" t="s">
        <v>91</v>
      </c>
      <c r="N89" s="177" t="s">
        <v>208</v>
      </c>
      <c r="O89" s="180" t="s">
        <v>89</v>
      </c>
      <c r="P89" s="181"/>
      <c r="Q89" s="177" t="s">
        <v>151</v>
      </c>
      <c r="R89" s="179">
        <f>IFERROR(VLOOKUP(Q89,'PRODUCT TABLE'!$A$2:$B$26,2,FALSE),"-")</f>
        <v>23069026</v>
      </c>
      <c r="S89" s="177">
        <v>25.5</v>
      </c>
      <c r="T89" s="177">
        <v>18.0</v>
      </c>
      <c r="U89" s="177" t="s">
        <v>95</v>
      </c>
      <c r="V89" s="183">
        <f t="shared" si="1"/>
        <v>459</v>
      </c>
      <c r="W89" s="168">
        <v>0.025</v>
      </c>
      <c r="X89" s="168">
        <v>0.025</v>
      </c>
      <c r="Y89" s="168">
        <v>0.0</v>
      </c>
      <c r="Z89" s="169">
        <f t="shared" si="2"/>
        <v>482</v>
      </c>
      <c r="AA89" s="167">
        <f t="shared" si="3"/>
        <v>0.05</v>
      </c>
      <c r="AB89" s="183"/>
      <c r="AC89" s="183">
        <f t="shared" si="4"/>
        <v>459</v>
      </c>
      <c r="AD89" s="183">
        <f t="shared" si="5"/>
        <v>11.475</v>
      </c>
      <c r="AE89" s="183">
        <f t="shared" si="6"/>
        <v>11.475</v>
      </c>
      <c r="AF89" s="184">
        <f t="shared" si="7"/>
        <v>0</v>
      </c>
      <c r="AG89" s="184">
        <f t="shared" si="8"/>
        <v>22.95</v>
      </c>
      <c r="AH89" s="158">
        <f t="shared" si="9"/>
        <v>9</v>
      </c>
      <c r="AI89" s="158">
        <f t="shared" si="10"/>
        <v>2022</v>
      </c>
    </row>
    <row r="90" ht="12.75" customHeight="1">
      <c r="A90" s="177" t="s">
        <v>209</v>
      </c>
      <c r="B90" s="178" t="s">
        <v>210</v>
      </c>
      <c r="C90" s="179" t="s">
        <v>89</v>
      </c>
      <c r="D90" s="162">
        <v>44827.0</v>
      </c>
      <c r="E90" s="179" t="s">
        <v>89</v>
      </c>
      <c r="F90" s="180" t="s">
        <v>89</v>
      </c>
      <c r="G90" s="180" t="s">
        <v>89</v>
      </c>
      <c r="H90" s="180" t="s">
        <v>89</v>
      </c>
      <c r="I90" s="181" t="s">
        <v>108</v>
      </c>
      <c r="J90" s="182">
        <f t="shared" si="11"/>
        <v>44827</v>
      </c>
      <c r="K90" s="177">
        <v>96.0</v>
      </c>
      <c r="L90" s="181" t="s">
        <v>108</v>
      </c>
      <c r="M90" s="180" t="s">
        <v>91</v>
      </c>
      <c r="N90" s="177" t="s">
        <v>211</v>
      </c>
      <c r="O90" s="180" t="s">
        <v>89</v>
      </c>
      <c r="P90" s="181"/>
      <c r="Q90" s="177" t="s">
        <v>117</v>
      </c>
      <c r="R90" s="179">
        <f>IFERROR(VLOOKUP(Q90,'PRODUCT TABLE'!$A$2:$B$26,2,FALSE),"-")</f>
        <v>44011090</v>
      </c>
      <c r="S90" s="177">
        <v>30.0</v>
      </c>
      <c r="T90" s="177">
        <v>13.0</v>
      </c>
      <c r="U90" s="177" t="s">
        <v>95</v>
      </c>
      <c r="V90" s="183">
        <f t="shared" si="1"/>
        <v>390</v>
      </c>
      <c r="W90" s="168"/>
      <c r="X90" s="168"/>
      <c r="Y90" s="168">
        <v>0.0</v>
      </c>
      <c r="Z90" s="169">
        <f t="shared" si="2"/>
        <v>390</v>
      </c>
      <c r="AA90" s="167">
        <f t="shared" si="3"/>
        <v>0</v>
      </c>
      <c r="AB90" s="183"/>
      <c r="AC90" s="183">
        <f t="shared" si="4"/>
        <v>390</v>
      </c>
      <c r="AD90" s="183">
        <f t="shared" si="5"/>
        <v>0</v>
      </c>
      <c r="AE90" s="183">
        <f t="shared" si="6"/>
        <v>0</v>
      </c>
      <c r="AF90" s="184">
        <f t="shared" si="7"/>
        <v>0</v>
      </c>
      <c r="AG90" s="184">
        <f t="shared" si="8"/>
        <v>0</v>
      </c>
      <c r="AH90" s="158">
        <f t="shared" si="9"/>
        <v>9</v>
      </c>
      <c r="AI90" s="158">
        <f t="shared" si="10"/>
        <v>2022</v>
      </c>
    </row>
    <row r="91" ht="12.75" customHeight="1">
      <c r="A91" s="177" t="s">
        <v>212</v>
      </c>
      <c r="B91" s="178" t="s">
        <v>213</v>
      </c>
      <c r="C91" s="179" t="s">
        <v>89</v>
      </c>
      <c r="D91" s="162">
        <v>44826.0</v>
      </c>
      <c r="E91" s="179" t="s">
        <v>89</v>
      </c>
      <c r="F91" s="180" t="s">
        <v>89</v>
      </c>
      <c r="G91" s="180" t="s">
        <v>89</v>
      </c>
      <c r="H91" s="180" t="s">
        <v>89</v>
      </c>
      <c r="I91" s="181" t="s">
        <v>108</v>
      </c>
      <c r="J91" s="182">
        <f t="shared" si="11"/>
        <v>44826</v>
      </c>
      <c r="K91" s="177">
        <v>97.0</v>
      </c>
      <c r="L91" s="181" t="s">
        <v>108</v>
      </c>
      <c r="M91" s="180" t="s">
        <v>91</v>
      </c>
      <c r="N91" s="177" t="s">
        <v>125</v>
      </c>
      <c r="O91" s="180" t="s">
        <v>89</v>
      </c>
      <c r="P91" s="181"/>
      <c r="Q91" s="177" t="s">
        <v>117</v>
      </c>
      <c r="R91" s="179">
        <f>IFERROR(VLOOKUP(Q91,'PRODUCT TABLE'!$A$2:$B$26,2,FALSE),"-")</f>
        <v>44011090</v>
      </c>
      <c r="S91" s="177">
        <v>7620.0</v>
      </c>
      <c r="T91" s="177">
        <v>12.5</v>
      </c>
      <c r="U91" s="177" t="s">
        <v>95</v>
      </c>
      <c r="V91" s="183">
        <f t="shared" si="1"/>
        <v>95250</v>
      </c>
      <c r="W91" s="168">
        <v>0.025</v>
      </c>
      <c r="X91" s="168">
        <v>0.025</v>
      </c>
      <c r="Y91" s="168">
        <v>0.0</v>
      </c>
      <c r="Z91" s="169">
        <f t="shared" si="2"/>
        <v>100012</v>
      </c>
      <c r="AA91" s="167">
        <f t="shared" si="3"/>
        <v>-0.5</v>
      </c>
      <c r="AB91" s="183"/>
      <c r="AC91" s="183">
        <f t="shared" si="4"/>
        <v>95250</v>
      </c>
      <c r="AD91" s="183">
        <f t="shared" si="5"/>
        <v>2381.25</v>
      </c>
      <c r="AE91" s="183">
        <f t="shared" si="6"/>
        <v>2381.25</v>
      </c>
      <c r="AF91" s="184">
        <f t="shared" si="7"/>
        <v>0</v>
      </c>
      <c r="AG91" s="184">
        <f t="shared" si="8"/>
        <v>4762.5</v>
      </c>
      <c r="AH91" s="158">
        <f t="shared" si="9"/>
        <v>9</v>
      </c>
      <c r="AI91" s="158">
        <f t="shared" si="10"/>
        <v>2022</v>
      </c>
    </row>
    <row r="92" ht="12.75" customHeight="1">
      <c r="A92" s="177" t="s">
        <v>214</v>
      </c>
      <c r="B92" s="185" t="str">
        <f>iferror(VLOOKUP((LEFT(A92,6)),CUSTOMER_DETAILS,2,FALSE),"-")</f>
        <v>SHREE GAYATRI PACKAGING</v>
      </c>
      <c r="C92" s="179" t="s">
        <v>89</v>
      </c>
      <c r="D92" s="162">
        <v>44826.0</v>
      </c>
      <c r="E92" s="179" t="s">
        <v>89</v>
      </c>
      <c r="F92" s="180" t="s">
        <v>89</v>
      </c>
      <c r="G92" s="180" t="s">
        <v>89</v>
      </c>
      <c r="H92" s="180" t="s">
        <v>89</v>
      </c>
      <c r="I92" s="181" t="s">
        <v>108</v>
      </c>
      <c r="J92" s="182">
        <f t="shared" si="11"/>
        <v>44826</v>
      </c>
      <c r="K92" s="177">
        <v>98.0</v>
      </c>
      <c r="L92" s="181" t="s">
        <v>108</v>
      </c>
      <c r="M92" s="180" t="s">
        <v>91</v>
      </c>
      <c r="N92" s="177" t="s">
        <v>122</v>
      </c>
      <c r="O92" s="180" t="s">
        <v>89</v>
      </c>
      <c r="P92" s="181"/>
      <c r="Q92" s="177" t="s">
        <v>117</v>
      </c>
      <c r="R92" s="179">
        <f>IFERROR(VLOOKUP(Q92,'PRODUCT TABLE'!$A$2:$B$26,2,FALSE),"-")</f>
        <v>44011090</v>
      </c>
      <c r="S92" s="177">
        <v>870.0</v>
      </c>
      <c r="T92" s="177">
        <v>13.0</v>
      </c>
      <c r="U92" s="177" t="s">
        <v>95</v>
      </c>
      <c r="V92" s="183">
        <f t="shared" si="1"/>
        <v>11310</v>
      </c>
      <c r="W92" s="168">
        <v>0.025</v>
      </c>
      <c r="X92" s="168">
        <v>0.025</v>
      </c>
      <c r="Y92" s="168">
        <v>0.0</v>
      </c>
      <c r="Z92" s="169">
        <f t="shared" si="2"/>
        <v>11875</v>
      </c>
      <c r="AA92" s="167">
        <f t="shared" si="3"/>
        <v>-0.5</v>
      </c>
      <c r="AB92" s="183"/>
      <c r="AC92" s="183">
        <f t="shared" si="4"/>
        <v>11310</v>
      </c>
      <c r="AD92" s="183">
        <f t="shared" si="5"/>
        <v>282.75</v>
      </c>
      <c r="AE92" s="183">
        <f t="shared" si="6"/>
        <v>282.75</v>
      </c>
      <c r="AF92" s="184">
        <f t="shared" si="7"/>
        <v>0</v>
      </c>
      <c r="AG92" s="184">
        <f t="shared" si="8"/>
        <v>565.5</v>
      </c>
      <c r="AH92" s="158">
        <f t="shared" si="9"/>
        <v>9</v>
      </c>
      <c r="AI92" s="158">
        <f t="shared" si="10"/>
        <v>2022</v>
      </c>
    </row>
    <row r="93" ht="12.75" customHeight="1">
      <c r="A93" s="177" t="s">
        <v>215</v>
      </c>
      <c r="B93" s="185" t="str">
        <f>iferror(VLOOKUP((LEFT(A93,6)),CUSTOMER_DETAILS,2,FALSE),"-")</f>
        <v>KRISHNA ENTERPRISES</v>
      </c>
      <c r="C93" s="179" t="s">
        <v>89</v>
      </c>
      <c r="D93" s="162">
        <v>44823.0</v>
      </c>
      <c r="E93" s="179" t="s">
        <v>89</v>
      </c>
      <c r="F93" s="180" t="s">
        <v>89</v>
      </c>
      <c r="G93" s="180" t="s">
        <v>89</v>
      </c>
      <c r="H93" s="180" t="s">
        <v>89</v>
      </c>
      <c r="I93" s="181" t="s">
        <v>108</v>
      </c>
      <c r="J93" s="182">
        <f t="shared" si="11"/>
        <v>44823</v>
      </c>
      <c r="K93" s="177">
        <v>99.0</v>
      </c>
      <c r="L93" s="181" t="s">
        <v>108</v>
      </c>
      <c r="M93" s="180" t="s">
        <v>91</v>
      </c>
      <c r="N93" s="177" t="s">
        <v>125</v>
      </c>
      <c r="O93" s="180" t="s">
        <v>89</v>
      </c>
      <c r="P93" s="181"/>
      <c r="Q93" s="177" t="s">
        <v>117</v>
      </c>
      <c r="R93" s="179">
        <f>IFERROR(VLOOKUP(Q93,'PRODUCT TABLE'!$A$2:$B$26,2,FALSE),"-")</f>
        <v>44011090</v>
      </c>
      <c r="S93" s="177">
        <v>2090.0</v>
      </c>
      <c r="T93" s="177">
        <v>11.0</v>
      </c>
      <c r="U93" s="177" t="s">
        <v>95</v>
      </c>
      <c r="V93" s="183">
        <f t="shared" si="1"/>
        <v>22990</v>
      </c>
      <c r="W93" s="168">
        <v>0.025</v>
      </c>
      <c r="X93" s="168">
        <v>0.025</v>
      </c>
      <c r="Y93" s="168">
        <v>0.0</v>
      </c>
      <c r="Z93" s="169">
        <f t="shared" si="2"/>
        <v>24139</v>
      </c>
      <c r="AA93" s="167">
        <f t="shared" si="3"/>
        <v>-0.5</v>
      </c>
      <c r="AB93" s="183"/>
      <c r="AC93" s="183">
        <f t="shared" si="4"/>
        <v>22990</v>
      </c>
      <c r="AD93" s="183">
        <f t="shared" si="5"/>
        <v>574.75</v>
      </c>
      <c r="AE93" s="183">
        <f t="shared" si="6"/>
        <v>574.75</v>
      </c>
      <c r="AF93" s="184">
        <f t="shared" si="7"/>
        <v>0</v>
      </c>
      <c r="AG93" s="184">
        <f t="shared" si="8"/>
        <v>1149.5</v>
      </c>
      <c r="AH93" s="158">
        <f t="shared" si="9"/>
        <v>9</v>
      </c>
      <c r="AI93" s="158">
        <f t="shared" si="10"/>
        <v>2022</v>
      </c>
    </row>
    <row r="94" ht="12.75" customHeight="1">
      <c r="A94" s="177" t="s">
        <v>216</v>
      </c>
      <c r="B94" s="178" t="s">
        <v>217</v>
      </c>
      <c r="C94" s="179" t="s">
        <v>89</v>
      </c>
      <c r="D94" s="162">
        <v>44830.0</v>
      </c>
      <c r="E94" s="179" t="s">
        <v>89</v>
      </c>
      <c r="F94" s="180" t="s">
        <v>89</v>
      </c>
      <c r="G94" s="180" t="s">
        <v>89</v>
      </c>
      <c r="H94" s="180" t="s">
        <v>89</v>
      </c>
      <c r="I94" s="181" t="s">
        <v>108</v>
      </c>
      <c r="J94" s="182">
        <f t="shared" si="11"/>
        <v>44830</v>
      </c>
      <c r="K94" s="177">
        <v>100.0</v>
      </c>
      <c r="L94" s="181" t="s">
        <v>108</v>
      </c>
      <c r="M94" s="180" t="s">
        <v>91</v>
      </c>
      <c r="N94" s="177" t="s">
        <v>218</v>
      </c>
      <c r="O94" s="180" t="s">
        <v>89</v>
      </c>
      <c r="P94" s="181"/>
      <c r="Q94" s="177" t="s">
        <v>117</v>
      </c>
      <c r="R94" s="179">
        <f>IFERROR(VLOOKUP(Q94,'PRODUCT TABLE'!$A$2:$B$26,2,FALSE),"-")</f>
        <v>44011090</v>
      </c>
      <c r="S94" s="177">
        <v>2180.0</v>
      </c>
      <c r="T94" s="177">
        <v>12.25</v>
      </c>
      <c r="U94" s="177" t="s">
        <v>95</v>
      </c>
      <c r="V94" s="183">
        <f t="shared" si="1"/>
        <v>26705</v>
      </c>
      <c r="W94" s="168">
        <v>0.025</v>
      </c>
      <c r="X94" s="168">
        <v>0.025</v>
      </c>
      <c r="Y94" s="168">
        <v>0.0</v>
      </c>
      <c r="Z94" s="169">
        <f t="shared" si="2"/>
        <v>28040</v>
      </c>
      <c r="AA94" s="167">
        <f t="shared" si="3"/>
        <v>-0.25</v>
      </c>
      <c r="AB94" s="183"/>
      <c r="AC94" s="183">
        <f t="shared" si="4"/>
        <v>26705</v>
      </c>
      <c r="AD94" s="183">
        <f t="shared" si="5"/>
        <v>667.625</v>
      </c>
      <c r="AE94" s="183">
        <f t="shared" si="6"/>
        <v>667.625</v>
      </c>
      <c r="AF94" s="184">
        <f t="shared" si="7"/>
        <v>0</v>
      </c>
      <c r="AG94" s="184">
        <f t="shared" si="8"/>
        <v>1335.25</v>
      </c>
      <c r="AH94" s="158">
        <f t="shared" si="9"/>
        <v>9</v>
      </c>
      <c r="AI94" s="158">
        <f t="shared" si="10"/>
        <v>2022</v>
      </c>
    </row>
    <row r="95" ht="12.75" customHeight="1">
      <c r="A95" s="48" t="s">
        <v>219</v>
      </c>
      <c r="B95" s="160" t="str">
        <f>iferror(VLOOKUP((LEFT(A95,6)),CUSTOMER_DETAILS,2,FALSE),"-")</f>
        <v>KRISHNA ENTERPRISES</v>
      </c>
      <c r="C95" s="161" t="s">
        <v>89</v>
      </c>
      <c r="D95" s="162">
        <v>44832.0</v>
      </c>
      <c r="E95" s="161" t="s">
        <v>89</v>
      </c>
      <c r="F95" s="30" t="s">
        <v>89</v>
      </c>
      <c r="G95" s="30" t="s">
        <v>89</v>
      </c>
      <c r="H95" s="30" t="s">
        <v>89</v>
      </c>
      <c r="I95" s="48" t="s">
        <v>108</v>
      </c>
      <c r="J95" s="174">
        <f t="shared" si="11"/>
        <v>44832</v>
      </c>
      <c r="K95" s="48">
        <v>101.0</v>
      </c>
      <c r="L95" s="48" t="s">
        <v>108</v>
      </c>
      <c r="M95" s="30" t="s">
        <v>91</v>
      </c>
      <c r="N95" s="48" t="s">
        <v>125</v>
      </c>
      <c r="O95" s="30" t="s">
        <v>89</v>
      </c>
      <c r="P95" s="48"/>
      <c r="Q95" s="164" t="s">
        <v>117</v>
      </c>
      <c r="R95" s="161">
        <f>IFERROR(VLOOKUP(Q95,'PRODUCT TABLE'!$A$2:$B$26,2,FALSE),"-")</f>
        <v>44011090</v>
      </c>
      <c r="S95" s="48">
        <v>1710.0</v>
      </c>
      <c r="T95" s="48">
        <v>11.5</v>
      </c>
      <c r="U95" s="164" t="s">
        <v>95</v>
      </c>
      <c r="V95" s="161">
        <f t="shared" si="1"/>
        <v>19665</v>
      </c>
      <c r="W95" s="186">
        <v>0.025</v>
      </c>
      <c r="X95" s="186">
        <v>0.025</v>
      </c>
      <c r="Y95" s="186">
        <v>0.0</v>
      </c>
      <c r="Z95" s="169">
        <f t="shared" si="2"/>
        <v>20648</v>
      </c>
      <c r="AA95" s="167">
        <f t="shared" si="3"/>
        <v>-0.25</v>
      </c>
      <c r="AB95" s="161"/>
      <c r="AC95" s="161">
        <f t="shared" si="4"/>
        <v>19665</v>
      </c>
      <c r="AD95" s="161">
        <f t="shared" si="5"/>
        <v>491.625</v>
      </c>
      <c r="AE95" s="161">
        <f t="shared" si="6"/>
        <v>491.625</v>
      </c>
      <c r="AF95" s="167">
        <f t="shared" si="7"/>
        <v>0</v>
      </c>
      <c r="AG95" s="167">
        <f t="shared" si="8"/>
        <v>983.25</v>
      </c>
      <c r="AH95" s="158">
        <f t="shared" si="9"/>
        <v>9</v>
      </c>
      <c r="AI95" s="158">
        <f t="shared" si="10"/>
        <v>2022</v>
      </c>
    </row>
    <row r="96" ht="12.75" customHeight="1">
      <c r="A96" s="49" t="s">
        <v>220</v>
      </c>
      <c r="B96" s="176" t="s">
        <v>221</v>
      </c>
      <c r="C96" s="161" t="s">
        <v>89</v>
      </c>
      <c r="D96" s="162">
        <v>44833.0</v>
      </c>
      <c r="E96" s="161" t="s">
        <v>89</v>
      </c>
      <c r="F96" s="30" t="s">
        <v>89</v>
      </c>
      <c r="G96" s="30" t="s">
        <v>89</v>
      </c>
      <c r="H96" s="30" t="s">
        <v>89</v>
      </c>
      <c r="I96" s="48" t="s">
        <v>108</v>
      </c>
      <c r="J96" s="174">
        <f t="shared" si="11"/>
        <v>44833</v>
      </c>
      <c r="K96" s="48">
        <v>102.0</v>
      </c>
      <c r="L96" s="48" t="s">
        <v>108</v>
      </c>
      <c r="M96" s="30" t="s">
        <v>91</v>
      </c>
      <c r="N96" s="48" t="s">
        <v>222</v>
      </c>
      <c r="O96" s="30" t="s">
        <v>89</v>
      </c>
      <c r="P96" s="48"/>
      <c r="Q96" s="164" t="s">
        <v>151</v>
      </c>
      <c r="R96" s="161">
        <f>IFERROR(VLOOKUP(Q96,'PRODUCT TABLE'!$A$2:$B$26,2,FALSE),"-")</f>
        <v>23069026</v>
      </c>
      <c r="S96" s="48">
        <v>600.0</v>
      </c>
      <c r="T96" s="48">
        <v>15.0</v>
      </c>
      <c r="U96" s="164" t="s">
        <v>95</v>
      </c>
      <c r="V96" s="161">
        <f t="shared" si="1"/>
        <v>9000</v>
      </c>
      <c r="W96" s="186">
        <v>0.025</v>
      </c>
      <c r="X96" s="186">
        <v>0.025</v>
      </c>
      <c r="Y96" s="186">
        <v>0.0</v>
      </c>
      <c r="Z96" s="169">
        <f t="shared" si="2"/>
        <v>9450</v>
      </c>
      <c r="AA96" s="167">
        <f t="shared" si="3"/>
        <v>0</v>
      </c>
      <c r="AB96" s="161"/>
      <c r="AC96" s="161">
        <f t="shared" si="4"/>
        <v>9000</v>
      </c>
      <c r="AD96" s="161">
        <f t="shared" si="5"/>
        <v>225</v>
      </c>
      <c r="AE96" s="161">
        <f t="shared" si="6"/>
        <v>225</v>
      </c>
      <c r="AF96" s="167">
        <f t="shared" si="7"/>
        <v>0</v>
      </c>
      <c r="AG96" s="167">
        <f t="shared" si="8"/>
        <v>450</v>
      </c>
      <c r="AH96" s="158">
        <f t="shared" si="9"/>
        <v>9</v>
      </c>
      <c r="AI96" s="158">
        <f t="shared" si="10"/>
        <v>2022</v>
      </c>
    </row>
    <row r="97" ht="12.75" customHeight="1">
      <c r="A97" s="48" t="s">
        <v>223</v>
      </c>
      <c r="B97" s="160" t="str">
        <f>iferror(VLOOKUP((LEFT(A97,6)),CUSTOMER_DETAILS,2,FALSE),"-")</f>
        <v>NAGPUR FUELS</v>
      </c>
      <c r="C97" s="161" t="s">
        <v>89</v>
      </c>
      <c r="D97" s="162">
        <v>44833.0</v>
      </c>
      <c r="E97" s="161" t="s">
        <v>89</v>
      </c>
      <c r="F97" s="30" t="s">
        <v>89</v>
      </c>
      <c r="G97" s="30" t="s">
        <v>89</v>
      </c>
      <c r="H97" s="30" t="s">
        <v>89</v>
      </c>
      <c r="I97" s="48" t="s">
        <v>108</v>
      </c>
      <c r="J97" s="174">
        <f t="shared" si="11"/>
        <v>44833</v>
      </c>
      <c r="K97" s="48">
        <v>103.0</v>
      </c>
      <c r="L97" s="48" t="s">
        <v>108</v>
      </c>
      <c r="M97" s="30" t="s">
        <v>91</v>
      </c>
      <c r="N97" s="48" t="s">
        <v>125</v>
      </c>
      <c r="O97" s="30" t="s">
        <v>89</v>
      </c>
      <c r="P97" s="48"/>
      <c r="Q97" s="164" t="s">
        <v>117</v>
      </c>
      <c r="R97" s="161">
        <f>IFERROR(VLOOKUP(Q97,'PRODUCT TABLE'!$A$2:$B$26,2,FALSE),"-")</f>
        <v>44011090</v>
      </c>
      <c r="S97" s="48">
        <v>4110.0</v>
      </c>
      <c r="T97" s="48">
        <v>11.5</v>
      </c>
      <c r="U97" s="164" t="s">
        <v>95</v>
      </c>
      <c r="V97" s="161">
        <f t="shared" si="1"/>
        <v>47265</v>
      </c>
      <c r="W97" s="186">
        <v>0.025</v>
      </c>
      <c r="X97" s="186">
        <v>0.025</v>
      </c>
      <c r="Y97" s="186">
        <v>0.0</v>
      </c>
      <c r="Z97" s="169">
        <f t="shared" si="2"/>
        <v>49628</v>
      </c>
      <c r="AA97" s="167">
        <f t="shared" si="3"/>
        <v>-0.25</v>
      </c>
      <c r="AB97" s="161"/>
      <c r="AC97" s="161">
        <f t="shared" si="4"/>
        <v>47265</v>
      </c>
      <c r="AD97" s="161">
        <f t="shared" si="5"/>
        <v>1181.625</v>
      </c>
      <c r="AE97" s="161">
        <f t="shared" si="6"/>
        <v>1181.625</v>
      </c>
      <c r="AF97" s="167">
        <f t="shared" si="7"/>
        <v>0</v>
      </c>
      <c r="AG97" s="167">
        <f t="shared" si="8"/>
        <v>2363.25</v>
      </c>
      <c r="AH97" s="158">
        <f t="shared" si="9"/>
        <v>9</v>
      </c>
      <c r="AI97" s="158">
        <f t="shared" si="10"/>
        <v>2022</v>
      </c>
    </row>
    <row r="98" ht="12.75" customHeight="1">
      <c r="A98" s="48" t="s">
        <v>224</v>
      </c>
      <c r="B98" s="160" t="str">
        <f>iferror(VLOOKUP((LEFT(A98,6)),CUSTOMER_DETAILS,2,FALSE),"-")</f>
        <v>NAGPUR FUELS</v>
      </c>
      <c r="C98" s="161" t="s">
        <v>89</v>
      </c>
      <c r="D98" s="162">
        <v>44836.0</v>
      </c>
      <c r="E98" s="161" t="s">
        <v>89</v>
      </c>
      <c r="F98" s="30" t="s">
        <v>89</v>
      </c>
      <c r="G98" s="30" t="s">
        <v>89</v>
      </c>
      <c r="H98" s="30" t="s">
        <v>89</v>
      </c>
      <c r="I98" s="48" t="s">
        <v>108</v>
      </c>
      <c r="J98" s="174">
        <f t="shared" si="11"/>
        <v>44836</v>
      </c>
      <c r="K98" s="48">
        <v>104.0</v>
      </c>
      <c r="L98" s="48" t="s">
        <v>108</v>
      </c>
      <c r="M98" s="30" t="s">
        <v>91</v>
      </c>
      <c r="N98" s="48" t="s">
        <v>125</v>
      </c>
      <c r="O98" s="30" t="s">
        <v>89</v>
      </c>
      <c r="P98" s="48"/>
      <c r="Q98" s="164" t="s">
        <v>117</v>
      </c>
      <c r="R98" s="161">
        <f>IFERROR(VLOOKUP(Q98,'PRODUCT TABLE'!$A$2:$B$26,2,FALSE),"-")</f>
        <v>44011090</v>
      </c>
      <c r="S98" s="48">
        <v>7690.0</v>
      </c>
      <c r="T98" s="48">
        <v>11.5</v>
      </c>
      <c r="U98" s="164" t="s">
        <v>95</v>
      </c>
      <c r="V98" s="161">
        <f t="shared" si="1"/>
        <v>88435</v>
      </c>
      <c r="W98" s="186">
        <v>0.025</v>
      </c>
      <c r="X98" s="186">
        <v>0.025</v>
      </c>
      <c r="Y98" s="186">
        <v>0.0</v>
      </c>
      <c r="Z98" s="169">
        <f t="shared" si="2"/>
        <v>92857</v>
      </c>
      <c r="AA98" s="167">
        <f t="shared" si="3"/>
        <v>0.25</v>
      </c>
      <c r="AB98" s="161"/>
      <c r="AC98" s="161">
        <f t="shared" si="4"/>
        <v>88435</v>
      </c>
      <c r="AD98" s="161">
        <f t="shared" si="5"/>
        <v>2210.875</v>
      </c>
      <c r="AE98" s="161">
        <f t="shared" si="6"/>
        <v>2210.875</v>
      </c>
      <c r="AF98" s="167">
        <f t="shared" si="7"/>
        <v>0</v>
      </c>
      <c r="AG98" s="167">
        <f t="shared" si="8"/>
        <v>4421.75</v>
      </c>
      <c r="AH98" s="158">
        <f t="shared" si="9"/>
        <v>10</v>
      </c>
      <c r="AI98" s="158">
        <f t="shared" si="10"/>
        <v>2022</v>
      </c>
    </row>
    <row r="99" ht="12.75" customHeight="1">
      <c r="A99" s="48" t="s">
        <v>225</v>
      </c>
      <c r="B99" s="160" t="str">
        <f>iferror(VLOOKUP((LEFT(A99,6)),CUSTOMER_DETAILS,2,FALSE),"-")</f>
        <v>LECILITE INGREDIENTS PVT LTD</v>
      </c>
      <c r="C99" s="161" t="s">
        <v>89</v>
      </c>
      <c r="D99" s="162">
        <v>44838.0</v>
      </c>
      <c r="E99" s="161" t="s">
        <v>89</v>
      </c>
      <c r="F99" s="30" t="s">
        <v>89</v>
      </c>
      <c r="G99" s="30" t="s">
        <v>89</v>
      </c>
      <c r="H99" s="30" t="s">
        <v>89</v>
      </c>
      <c r="I99" s="48" t="s">
        <v>108</v>
      </c>
      <c r="J99" s="174">
        <f t="shared" si="11"/>
        <v>44838</v>
      </c>
      <c r="K99" s="48">
        <v>105.0</v>
      </c>
      <c r="L99" s="48" t="s">
        <v>108</v>
      </c>
      <c r="M99" s="30" t="s">
        <v>91</v>
      </c>
      <c r="N99" s="48" t="s">
        <v>135</v>
      </c>
      <c r="O99" s="30" t="s">
        <v>89</v>
      </c>
      <c r="P99" s="48"/>
      <c r="Q99" s="164" t="s">
        <v>94</v>
      </c>
      <c r="R99" s="161">
        <f>IFERROR(VLOOKUP(Q99,'PRODUCT TABLE'!$A$2:$B$26,2,FALSE),"-")</f>
        <v>44011090</v>
      </c>
      <c r="S99" s="48">
        <v>8285.0</v>
      </c>
      <c r="T99" s="48">
        <v>8.0</v>
      </c>
      <c r="U99" s="164" t="s">
        <v>95</v>
      </c>
      <c r="V99" s="161">
        <f t="shared" si="1"/>
        <v>66280</v>
      </c>
      <c r="W99" s="186">
        <v>0.025</v>
      </c>
      <c r="X99" s="186">
        <v>0.025</v>
      </c>
      <c r="Y99" s="186">
        <v>0.0</v>
      </c>
      <c r="Z99" s="169">
        <f t="shared" si="2"/>
        <v>69594</v>
      </c>
      <c r="AA99" s="167">
        <f t="shared" si="3"/>
        <v>0</v>
      </c>
      <c r="AB99" s="161"/>
      <c r="AC99" s="161">
        <f t="shared" si="4"/>
        <v>66280</v>
      </c>
      <c r="AD99" s="161">
        <f t="shared" si="5"/>
        <v>1657</v>
      </c>
      <c r="AE99" s="161">
        <f t="shared" si="6"/>
        <v>1657</v>
      </c>
      <c r="AF99" s="167">
        <f t="shared" si="7"/>
        <v>0</v>
      </c>
      <c r="AG99" s="167">
        <f t="shared" si="8"/>
        <v>3314</v>
      </c>
      <c r="AH99" s="158">
        <f t="shared" si="9"/>
        <v>10</v>
      </c>
      <c r="AI99" s="158">
        <f t="shared" si="10"/>
        <v>2022</v>
      </c>
    </row>
    <row r="100" ht="12.75" customHeight="1">
      <c r="A100" s="48" t="s">
        <v>226</v>
      </c>
      <c r="B100" s="160" t="str">
        <f>iferror(VLOOKUP((LEFT(A100,6)),CUSTOMER_DETAILS,2,FALSE),"-")</f>
        <v>ACI CLEAN ENERGY PVT LTD</v>
      </c>
      <c r="C100" s="161" t="s">
        <v>89</v>
      </c>
      <c r="D100" s="162">
        <v>44838.0</v>
      </c>
      <c r="E100" s="161" t="s">
        <v>89</v>
      </c>
      <c r="F100" s="30" t="s">
        <v>89</v>
      </c>
      <c r="G100" s="30" t="s">
        <v>89</v>
      </c>
      <c r="H100" s="30" t="s">
        <v>89</v>
      </c>
      <c r="I100" s="48" t="s">
        <v>108</v>
      </c>
      <c r="J100" s="174">
        <f t="shared" si="11"/>
        <v>44838</v>
      </c>
      <c r="K100" s="48">
        <v>106.0</v>
      </c>
      <c r="L100" s="48" t="s">
        <v>108</v>
      </c>
      <c r="M100" s="30" t="s">
        <v>91</v>
      </c>
      <c r="N100" s="48" t="s">
        <v>135</v>
      </c>
      <c r="O100" s="30" t="s">
        <v>89</v>
      </c>
      <c r="P100" s="48"/>
      <c r="Q100" s="164" t="s">
        <v>227</v>
      </c>
      <c r="R100" s="161" t="str">
        <f>IFERROR(VLOOKUP(Q100,'PRODUCT TABLE'!$A$2:$B$26,2,FALSE),"-")</f>
        <v>-</v>
      </c>
      <c r="S100" s="48">
        <v>9670.0</v>
      </c>
      <c r="T100" s="48">
        <v>4.5</v>
      </c>
      <c r="U100" s="164" t="s">
        <v>95</v>
      </c>
      <c r="V100" s="161">
        <f t="shared" si="1"/>
        <v>43515</v>
      </c>
      <c r="W100" s="186">
        <v>0.025</v>
      </c>
      <c r="X100" s="186">
        <v>0.025</v>
      </c>
      <c r="Y100" s="186">
        <v>0.0</v>
      </c>
      <c r="Z100" s="169">
        <f t="shared" si="2"/>
        <v>45691</v>
      </c>
      <c r="AA100" s="167">
        <f t="shared" si="3"/>
        <v>0.25</v>
      </c>
      <c r="AB100" s="161"/>
      <c r="AC100" s="161">
        <f t="shared" si="4"/>
        <v>43515</v>
      </c>
      <c r="AD100" s="161">
        <f t="shared" si="5"/>
        <v>1087.875</v>
      </c>
      <c r="AE100" s="161">
        <f t="shared" si="6"/>
        <v>1087.875</v>
      </c>
      <c r="AF100" s="167">
        <f t="shared" si="7"/>
        <v>0</v>
      </c>
      <c r="AG100" s="167">
        <f t="shared" si="8"/>
        <v>2175.75</v>
      </c>
      <c r="AH100" s="158">
        <f t="shared" si="9"/>
        <v>10</v>
      </c>
      <c r="AI100" s="158">
        <f t="shared" si="10"/>
        <v>2022</v>
      </c>
    </row>
    <row r="101" ht="12.75" customHeight="1">
      <c r="A101" s="48" t="s">
        <v>228</v>
      </c>
      <c r="B101" s="160" t="str">
        <f>iferror(VLOOKUP((LEFT(A101,6)),CUSTOMER_DETAILS,2,FALSE),"-")</f>
        <v>NAGPUR FUELS</v>
      </c>
      <c r="C101" s="161" t="s">
        <v>89</v>
      </c>
      <c r="D101" s="162">
        <v>44841.0</v>
      </c>
      <c r="E101" s="161" t="s">
        <v>89</v>
      </c>
      <c r="F101" s="30" t="s">
        <v>89</v>
      </c>
      <c r="G101" s="30" t="s">
        <v>89</v>
      </c>
      <c r="H101" s="30" t="s">
        <v>89</v>
      </c>
      <c r="I101" s="48" t="s">
        <v>108</v>
      </c>
      <c r="J101" s="174">
        <f t="shared" si="11"/>
        <v>44841</v>
      </c>
      <c r="K101" s="48">
        <v>107.0</v>
      </c>
      <c r="L101" s="48" t="s">
        <v>108</v>
      </c>
      <c r="M101" s="30" t="s">
        <v>91</v>
      </c>
      <c r="N101" s="48" t="s">
        <v>125</v>
      </c>
      <c r="O101" s="30" t="s">
        <v>89</v>
      </c>
      <c r="P101" s="48"/>
      <c r="Q101" s="164" t="s">
        <v>117</v>
      </c>
      <c r="R101" s="161">
        <f>IFERROR(VLOOKUP(Q101,'PRODUCT TABLE'!$A$2:$B$26,2,FALSE),"-")</f>
        <v>44011090</v>
      </c>
      <c r="S101" s="48">
        <v>4210.0</v>
      </c>
      <c r="T101" s="48">
        <v>11.5</v>
      </c>
      <c r="U101" s="164" t="s">
        <v>95</v>
      </c>
      <c r="V101" s="161">
        <f t="shared" si="1"/>
        <v>48415</v>
      </c>
      <c r="W101" s="186">
        <v>0.025</v>
      </c>
      <c r="X101" s="186">
        <v>0.025</v>
      </c>
      <c r="Y101" s="186">
        <v>0.0</v>
      </c>
      <c r="Z101" s="169">
        <f t="shared" si="2"/>
        <v>50836</v>
      </c>
      <c r="AA101" s="167">
        <f t="shared" si="3"/>
        <v>0.25</v>
      </c>
      <c r="AB101" s="161"/>
      <c r="AC101" s="161">
        <f t="shared" si="4"/>
        <v>48415</v>
      </c>
      <c r="AD101" s="161">
        <f t="shared" si="5"/>
        <v>1210.375</v>
      </c>
      <c r="AE101" s="161">
        <f t="shared" si="6"/>
        <v>1210.375</v>
      </c>
      <c r="AF101" s="167">
        <f t="shared" si="7"/>
        <v>0</v>
      </c>
      <c r="AG101" s="167">
        <f t="shared" si="8"/>
        <v>2420.75</v>
      </c>
      <c r="AH101" s="158">
        <f t="shared" si="9"/>
        <v>10</v>
      </c>
      <c r="AI101" s="158">
        <f t="shared" si="10"/>
        <v>2022</v>
      </c>
    </row>
    <row r="102" ht="12.75" customHeight="1">
      <c r="A102" s="48" t="s">
        <v>229</v>
      </c>
      <c r="B102" s="160" t="str">
        <f>iferror(VLOOKUP((LEFT(A102,6)),CUSTOMER_DETAILS,2,FALSE),"-")</f>
        <v>KABRA FOODS</v>
      </c>
      <c r="C102" s="161" t="s">
        <v>89</v>
      </c>
      <c r="D102" s="162">
        <v>44846.0</v>
      </c>
      <c r="E102" s="161" t="s">
        <v>89</v>
      </c>
      <c r="F102" s="30" t="s">
        <v>89</v>
      </c>
      <c r="G102" s="30" t="s">
        <v>89</v>
      </c>
      <c r="H102" s="30" t="s">
        <v>89</v>
      </c>
      <c r="I102" s="48" t="s">
        <v>108</v>
      </c>
      <c r="J102" s="174">
        <f t="shared" si="11"/>
        <v>44846</v>
      </c>
      <c r="K102" s="48">
        <v>108.0</v>
      </c>
      <c r="L102" s="48" t="s">
        <v>108</v>
      </c>
      <c r="M102" s="30" t="s">
        <v>91</v>
      </c>
      <c r="N102" s="48" t="s">
        <v>125</v>
      </c>
      <c r="O102" s="30" t="s">
        <v>89</v>
      </c>
      <c r="P102" s="48"/>
      <c r="Q102" s="164" t="s">
        <v>117</v>
      </c>
      <c r="R102" s="161">
        <f>IFERROR(VLOOKUP(Q102,'PRODUCT TABLE'!$A$2:$B$26,2,FALSE),"-")</f>
        <v>44011090</v>
      </c>
      <c r="S102" s="48">
        <v>300.0</v>
      </c>
      <c r="T102" s="48">
        <v>14.0</v>
      </c>
      <c r="U102" s="164" t="s">
        <v>95</v>
      </c>
      <c r="V102" s="161">
        <f t="shared" si="1"/>
        <v>4200</v>
      </c>
      <c r="W102" s="186">
        <v>0.025</v>
      </c>
      <c r="X102" s="186">
        <v>0.025</v>
      </c>
      <c r="Y102" s="186">
        <v>0.0</v>
      </c>
      <c r="Z102" s="169">
        <f t="shared" si="2"/>
        <v>4410</v>
      </c>
      <c r="AA102" s="167">
        <f t="shared" si="3"/>
        <v>0</v>
      </c>
      <c r="AB102" s="161"/>
      <c r="AC102" s="161">
        <f t="shared" si="4"/>
        <v>4200</v>
      </c>
      <c r="AD102" s="161">
        <f t="shared" si="5"/>
        <v>105</v>
      </c>
      <c r="AE102" s="161">
        <f t="shared" si="6"/>
        <v>105</v>
      </c>
      <c r="AF102" s="167">
        <f t="shared" si="7"/>
        <v>0</v>
      </c>
      <c r="AG102" s="167">
        <f t="shared" si="8"/>
        <v>210</v>
      </c>
      <c r="AH102" s="158">
        <f t="shared" si="9"/>
        <v>10</v>
      </c>
      <c r="AI102" s="158">
        <f t="shared" si="10"/>
        <v>2022</v>
      </c>
    </row>
    <row r="103" ht="12.75" customHeight="1">
      <c r="A103" s="48" t="s">
        <v>230</v>
      </c>
      <c r="B103" s="160" t="str">
        <f>iferror(VLOOKUP((LEFT(A103,6)),CUSTOMER_DETAILS,2,FALSE),"-")</f>
        <v>ACI CLEAN ENERGY PVT LTD</v>
      </c>
      <c r="C103" s="161" t="s">
        <v>89</v>
      </c>
      <c r="D103" s="162">
        <v>44849.0</v>
      </c>
      <c r="E103" s="161" t="s">
        <v>89</v>
      </c>
      <c r="F103" s="30" t="s">
        <v>89</v>
      </c>
      <c r="G103" s="30" t="s">
        <v>89</v>
      </c>
      <c r="H103" s="30" t="s">
        <v>89</v>
      </c>
      <c r="I103" s="48" t="s">
        <v>108</v>
      </c>
      <c r="J103" s="174">
        <f t="shared" si="11"/>
        <v>44849</v>
      </c>
      <c r="K103" s="48">
        <v>109.0</v>
      </c>
      <c r="L103" s="48" t="s">
        <v>108</v>
      </c>
      <c r="M103" s="30" t="s">
        <v>91</v>
      </c>
      <c r="N103" s="48" t="s">
        <v>135</v>
      </c>
      <c r="O103" s="30" t="s">
        <v>89</v>
      </c>
      <c r="P103" s="48"/>
      <c r="Q103" s="164" t="s">
        <v>117</v>
      </c>
      <c r="R103" s="161">
        <f>IFERROR(VLOOKUP(Q103,'PRODUCT TABLE'!$A$2:$B$26,2,FALSE),"-")</f>
        <v>44011090</v>
      </c>
      <c r="S103" s="48">
        <v>6843.0</v>
      </c>
      <c r="T103" s="48">
        <v>10.75</v>
      </c>
      <c r="U103" s="164" t="s">
        <v>95</v>
      </c>
      <c r="V103" s="161">
        <f t="shared" si="1"/>
        <v>73562.25</v>
      </c>
      <c r="W103" s="186">
        <v>0.025</v>
      </c>
      <c r="X103" s="186">
        <v>0.025</v>
      </c>
      <c r="Y103" s="186">
        <v>0.0</v>
      </c>
      <c r="Z103" s="169">
        <f t="shared" si="2"/>
        <v>77240</v>
      </c>
      <c r="AA103" s="167">
        <f t="shared" si="3"/>
        <v>-0.3625</v>
      </c>
      <c r="AB103" s="161"/>
      <c r="AC103" s="161">
        <f t="shared" si="4"/>
        <v>73562.25</v>
      </c>
      <c r="AD103" s="161">
        <f t="shared" si="5"/>
        <v>1839.05625</v>
      </c>
      <c r="AE103" s="161">
        <f t="shared" si="6"/>
        <v>1839.05625</v>
      </c>
      <c r="AF103" s="167">
        <f t="shared" si="7"/>
        <v>0</v>
      </c>
      <c r="AG103" s="167">
        <f t="shared" si="8"/>
        <v>3678.1125</v>
      </c>
      <c r="AH103" s="158">
        <f t="shared" si="9"/>
        <v>10</v>
      </c>
      <c r="AI103" s="158">
        <f t="shared" si="10"/>
        <v>2022</v>
      </c>
    </row>
    <row r="104" ht="12.75" customHeight="1">
      <c r="A104" s="48" t="s">
        <v>231</v>
      </c>
      <c r="B104" s="160" t="str">
        <f>iferror(VLOOKUP((LEFT(A104,6)),CUSTOMER_DETAILS,2,FALSE),"-")</f>
        <v>NAGPUR FUELS</v>
      </c>
      <c r="C104" s="161" t="s">
        <v>89</v>
      </c>
      <c r="D104" s="162">
        <v>44848.0</v>
      </c>
      <c r="E104" s="161" t="s">
        <v>89</v>
      </c>
      <c r="F104" s="30" t="s">
        <v>89</v>
      </c>
      <c r="G104" s="30" t="s">
        <v>89</v>
      </c>
      <c r="H104" s="30" t="s">
        <v>89</v>
      </c>
      <c r="I104" s="48" t="s">
        <v>108</v>
      </c>
      <c r="J104" s="174">
        <f t="shared" si="11"/>
        <v>44848</v>
      </c>
      <c r="K104" s="48">
        <v>110.0</v>
      </c>
      <c r="L104" s="48" t="s">
        <v>108</v>
      </c>
      <c r="M104" s="30" t="s">
        <v>91</v>
      </c>
      <c r="N104" s="48" t="s">
        <v>125</v>
      </c>
      <c r="O104" s="30" t="s">
        <v>89</v>
      </c>
      <c r="P104" s="48"/>
      <c r="Q104" s="164" t="s">
        <v>117</v>
      </c>
      <c r="R104" s="161">
        <f>IFERROR(VLOOKUP(Q104,'PRODUCT TABLE'!$A$2:$B$26,2,FALSE),"-")</f>
        <v>44011090</v>
      </c>
      <c r="S104" s="48">
        <v>3000.0</v>
      </c>
      <c r="T104" s="48">
        <v>11.5</v>
      </c>
      <c r="U104" s="164" t="s">
        <v>95</v>
      </c>
      <c r="V104" s="161">
        <f t="shared" si="1"/>
        <v>34500</v>
      </c>
      <c r="W104" s="186">
        <v>0.025</v>
      </c>
      <c r="X104" s="186">
        <v>0.025</v>
      </c>
      <c r="Y104" s="186">
        <v>0.0</v>
      </c>
      <c r="Z104" s="169">
        <f t="shared" si="2"/>
        <v>36225</v>
      </c>
      <c r="AA104" s="167">
        <f t="shared" si="3"/>
        <v>0</v>
      </c>
      <c r="AB104" s="161"/>
      <c r="AC104" s="161">
        <f t="shared" si="4"/>
        <v>34500</v>
      </c>
      <c r="AD104" s="161">
        <f t="shared" si="5"/>
        <v>862.5</v>
      </c>
      <c r="AE104" s="161">
        <f t="shared" si="6"/>
        <v>862.5</v>
      </c>
      <c r="AF104" s="167">
        <f t="shared" si="7"/>
        <v>0</v>
      </c>
      <c r="AG104" s="167">
        <f t="shared" si="8"/>
        <v>1725</v>
      </c>
      <c r="AH104" s="158">
        <f t="shared" si="9"/>
        <v>10</v>
      </c>
      <c r="AI104" s="158">
        <f t="shared" si="10"/>
        <v>2022</v>
      </c>
    </row>
    <row r="105" ht="12.75" customHeight="1">
      <c r="A105" s="48" t="s">
        <v>232</v>
      </c>
      <c r="B105" s="160" t="str">
        <f>iferror(VLOOKUP((LEFT(A105,6)),CUSTOMER_DETAILS,2,FALSE),"-")</f>
        <v>NAGPUR FUELS</v>
      </c>
      <c r="C105" s="161" t="s">
        <v>89</v>
      </c>
      <c r="D105" s="162">
        <v>44855.0</v>
      </c>
      <c r="E105" s="161" t="s">
        <v>89</v>
      </c>
      <c r="F105" s="30" t="s">
        <v>89</v>
      </c>
      <c r="G105" s="30" t="s">
        <v>89</v>
      </c>
      <c r="H105" s="30" t="s">
        <v>89</v>
      </c>
      <c r="I105" s="48" t="s">
        <v>108</v>
      </c>
      <c r="J105" s="174">
        <f t="shared" si="11"/>
        <v>44855</v>
      </c>
      <c r="K105" s="48">
        <v>111.0</v>
      </c>
      <c r="L105" s="48" t="s">
        <v>108</v>
      </c>
      <c r="M105" s="30" t="s">
        <v>91</v>
      </c>
      <c r="N105" s="48" t="s">
        <v>125</v>
      </c>
      <c r="O105" s="30" t="s">
        <v>89</v>
      </c>
      <c r="P105" s="48"/>
      <c r="Q105" s="164" t="s">
        <v>233</v>
      </c>
      <c r="R105" s="161">
        <f>IFERROR(VLOOKUP(Q105,'PRODUCT TABLE'!$A$2:$B$26,2,FALSE),"-")</f>
        <v>44011090</v>
      </c>
      <c r="S105" s="48">
        <v>8495.0</v>
      </c>
      <c r="T105" s="48">
        <v>11.5</v>
      </c>
      <c r="U105" s="164" t="s">
        <v>95</v>
      </c>
      <c r="V105" s="161">
        <f t="shared" si="1"/>
        <v>97692.5</v>
      </c>
      <c r="W105" s="186">
        <v>0.025</v>
      </c>
      <c r="X105" s="186">
        <v>0.025</v>
      </c>
      <c r="Y105" s="186">
        <v>0.0</v>
      </c>
      <c r="Z105" s="169">
        <f t="shared" si="2"/>
        <v>102577</v>
      </c>
      <c r="AA105" s="167">
        <f t="shared" si="3"/>
        <v>-0.125</v>
      </c>
      <c r="AB105" s="161"/>
      <c r="AC105" s="161">
        <f t="shared" si="4"/>
        <v>97692.5</v>
      </c>
      <c r="AD105" s="161">
        <f t="shared" si="5"/>
        <v>2442.3125</v>
      </c>
      <c r="AE105" s="161">
        <f t="shared" si="6"/>
        <v>2442.3125</v>
      </c>
      <c r="AF105" s="167">
        <f t="shared" si="7"/>
        <v>0</v>
      </c>
      <c r="AG105" s="167">
        <f t="shared" si="8"/>
        <v>4884.625</v>
      </c>
      <c r="AH105" s="158">
        <f t="shared" si="9"/>
        <v>10</v>
      </c>
      <c r="AI105" s="158">
        <f t="shared" si="10"/>
        <v>2022</v>
      </c>
    </row>
    <row r="106" ht="12.75" customHeight="1">
      <c r="A106" s="48" t="s">
        <v>234</v>
      </c>
      <c r="B106" s="160" t="str">
        <f>iferror(VLOOKUP((LEFT(A106,6)),CUSTOMER_DETAILS,2,FALSE),"-")</f>
        <v>NAGPUR FUELS</v>
      </c>
      <c r="C106" s="161" t="s">
        <v>89</v>
      </c>
      <c r="D106" s="162">
        <v>44867.0</v>
      </c>
      <c r="E106" s="161" t="s">
        <v>89</v>
      </c>
      <c r="F106" s="30" t="s">
        <v>89</v>
      </c>
      <c r="G106" s="30" t="s">
        <v>89</v>
      </c>
      <c r="H106" s="30" t="s">
        <v>89</v>
      </c>
      <c r="I106" s="48" t="s">
        <v>108</v>
      </c>
      <c r="J106" s="174">
        <f t="shared" si="11"/>
        <v>44867</v>
      </c>
      <c r="K106" s="48">
        <v>113.0</v>
      </c>
      <c r="L106" s="48" t="s">
        <v>108</v>
      </c>
      <c r="M106" s="30" t="s">
        <v>91</v>
      </c>
      <c r="N106" s="48" t="s">
        <v>125</v>
      </c>
      <c r="O106" s="30" t="s">
        <v>89</v>
      </c>
      <c r="P106" s="48"/>
      <c r="Q106" s="164" t="s">
        <v>117</v>
      </c>
      <c r="R106" s="161">
        <f>IFERROR(VLOOKUP(Q106,'PRODUCT TABLE'!$A$2:$B$26,2,FALSE),"-")</f>
        <v>44011090</v>
      </c>
      <c r="S106" s="48">
        <v>10350.0</v>
      </c>
      <c r="T106" s="48">
        <v>11.5</v>
      </c>
      <c r="U106" s="164" t="s">
        <v>95</v>
      </c>
      <c r="V106" s="161">
        <f t="shared" si="1"/>
        <v>119025</v>
      </c>
      <c r="W106" s="186">
        <v>0.025</v>
      </c>
      <c r="X106" s="186">
        <v>0.025</v>
      </c>
      <c r="Y106" s="186">
        <v>0.0</v>
      </c>
      <c r="Z106" s="169">
        <f t="shared" si="2"/>
        <v>124976</v>
      </c>
      <c r="AA106" s="167">
        <f t="shared" si="3"/>
        <v>-0.25</v>
      </c>
      <c r="AB106" s="161"/>
      <c r="AC106" s="161">
        <f t="shared" si="4"/>
        <v>119025</v>
      </c>
      <c r="AD106" s="161">
        <f t="shared" si="5"/>
        <v>2975.625</v>
      </c>
      <c r="AE106" s="161">
        <f t="shared" si="6"/>
        <v>2975.625</v>
      </c>
      <c r="AF106" s="167">
        <f t="shared" si="7"/>
        <v>0</v>
      </c>
      <c r="AG106" s="167">
        <f t="shared" si="8"/>
        <v>5951.25</v>
      </c>
      <c r="AH106" s="158">
        <f t="shared" si="9"/>
        <v>11</v>
      </c>
      <c r="AI106" s="158">
        <f t="shared" si="10"/>
        <v>2022</v>
      </c>
    </row>
    <row r="107" ht="12.75" customHeight="1">
      <c r="A107" s="48" t="s">
        <v>235</v>
      </c>
      <c r="B107" s="160" t="str">
        <f>iferror(VLOOKUP((LEFT(A107,6)),CUSTOMER_DETAILS,2,FALSE),"-")</f>
        <v>NAGPUR FUELS</v>
      </c>
      <c r="C107" s="161" t="s">
        <v>89</v>
      </c>
      <c r="D107" s="162">
        <v>44869.0</v>
      </c>
      <c r="E107" s="161" t="s">
        <v>89</v>
      </c>
      <c r="F107" s="30" t="s">
        <v>89</v>
      </c>
      <c r="G107" s="30" t="s">
        <v>89</v>
      </c>
      <c r="H107" s="30" t="s">
        <v>89</v>
      </c>
      <c r="I107" s="48" t="s">
        <v>108</v>
      </c>
      <c r="J107" s="174">
        <f t="shared" si="11"/>
        <v>44869</v>
      </c>
      <c r="K107" s="48">
        <v>114.0</v>
      </c>
      <c r="L107" s="48" t="s">
        <v>108</v>
      </c>
      <c r="M107" s="30" t="s">
        <v>91</v>
      </c>
      <c r="N107" s="48" t="s">
        <v>125</v>
      </c>
      <c r="O107" s="30" t="s">
        <v>89</v>
      </c>
      <c r="P107" s="48"/>
      <c r="Q107" s="164" t="s">
        <v>117</v>
      </c>
      <c r="R107" s="161">
        <f>IFERROR(VLOOKUP(Q107,'PRODUCT TABLE'!$A$2:$B$26,2,FALSE),"-")</f>
        <v>44011090</v>
      </c>
      <c r="S107" s="48">
        <v>7224.0</v>
      </c>
      <c r="T107" s="48">
        <v>10.75</v>
      </c>
      <c r="U107" s="164" t="s">
        <v>95</v>
      </c>
      <c r="V107" s="161">
        <f t="shared" si="1"/>
        <v>77658</v>
      </c>
      <c r="W107" s="186">
        <v>0.025</v>
      </c>
      <c r="X107" s="186">
        <v>0.025</v>
      </c>
      <c r="Y107" s="186">
        <v>0.0</v>
      </c>
      <c r="Z107" s="169">
        <f t="shared" si="2"/>
        <v>81541</v>
      </c>
      <c r="AA107" s="167">
        <f t="shared" si="3"/>
        <v>0.1</v>
      </c>
      <c r="AB107" s="161"/>
      <c r="AC107" s="161">
        <f t="shared" si="4"/>
        <v>77658</v>
      </c>
      <c r="AD107" s="161">
        <f t="shared" si="5"/>
        <v>1941.45</v>
      </c>
      <c r="AE107" s="161">
        <f t="shared" si="6"/>
        <v>1941.45</v>
      </c>
      <c r="AF107" s="167">
        <f t="shared" si="7"/>
        <v>0</v>
      </c>
      <c r="AG107" s="167">
        <f t="shared" si="8"/>
        <v>3882.9</v>
      </c>
      <c r="AH107" s="158">
        <f t="shared" si="9"/>
        <v>11</v>
      </c>
      <c r="AI107" s="158">
        <f t="shared" si="10"/>
        <v>2022</v>
      </c>
    </row>
    <row r="108" ht="12.75" customHeight="1">
      <c r="A108" s="48" t="s">
        <v>236</v>
      </c>
      <c r="B108" s="160" t="str">
        <f>iferror(VLOOKUP((LEFT(A108,6)),CUSTOMER_DETAILS,2,FALSE),"-")</f>
        <v>ACI CLEAN ENERGY PVT LTD</v>
      </c>
      <c r="C108" s="161" t="s">
        <v>89</v>
      </c>
      <c r="D108" s="162">
        <v>44872.0</v>
      </c>
      <c r="E108" s="161" t="s">
        <v>89</v>
      </c>
      <c r="F108" s="30" t="s">
        <v>89</v>
      </c>
      <c r="G108" s="30" t="s">
        <v>89</v>
      </c>
      <c r="H108" s="30" t="s">
        <v>89</v>
      </c>
      <c r="I108" s="48" t="s">
        <v>108</v>
      </c>
      <c r="J108" s="174">
        <f t="shared" si="11"/>
        <v>44872</v>
      </c>
      <c r="K108" s="48">
        <v>115.0</v>
      </c>
      <c r="L108" s="48" t="s">
        <v>108</v>
      </c>
      <c r="M108" s="30" t="s">
        <v>91</v>
      </c>
      <c r="N108" s="48" t="s">
        <v>135</v>
      </c>
      <c r="O108" s="30" t="s">
        <v>89</v>
      </c>
      <c r="P108" s="48"/>
      <c r="Q108" s="164" t="s">
        <v>227</v>
      </c>
      <c r="R108" s="161" t="str">
        <f>IFERROR(VLOOKUP(Q108,'PRODUCT TABLE'!$A$2:$B$26,2,FALSE),"-")</f>
        <v>-</v>
      </c>
      <c r="S108" s="48">
        <v>10000.0</v>
      </c>
      <c r="T108" s="48">
        <v>4.7</v>
      </c>
      <c r="U108" s="164" t="s">
        <v>95</v>
      </c>
      <c r="V108" s="161">
        <f t="shared" si="1"/>
        <v>47000</v>
      </c>
      <c r="W108" s="186">
        <v>0.025</v>
      </c>
      <c r="X108" s="186">
        <v>0.025</v>
      </c>
      <c r="Y108" s="186">
        <v>0.0</v>
      </c>
      <c r="Z108" s="169">
        <f t="shared" si="2"/>
        <v>49350</v>
      </c>
      <c r="AA108" s="167">
        <f t="shared" si="3"/>
        <v>0</v>
      </c>
      <c r="AB108" s="161"/>
      <c r="AC108" s="161">
        <f t="shared" si="4"/>
        <v>47000</v>
      </c>
      <c r="AD108" s="161">
        <f t="shared" si="5"/>
        <v>1175</v>
      </c>
      <c r="AE108" s="161">
        <f t="shared" si="6"/>
        <v>1175</v>
      </c>
      <c r="AF108" s="167">
        <f t="shared" si="7"/>
        <v>0</v>
      </c>
      <c r="AG108" s="167">
        <f t="shared" si="8"/>
        <v>2350</v>
      </c>
      <c r="AH108" s="158">
        <f t="shared" si="9"/>
        <v>11</v>
      </c>
      <c r="AI108" s="158">
        <f t="shared" si="10"/>
        <v>2022</v>
      </c>
    </row>
    <row r="109" ht="12.75" customHeight="1">
      <c r="A109" s="48" t="s">
        <v>237</v>
      </c>
      <c r="B109" s="160" t="str">
        <f>iferror(VLOOKUP((LEFT(A109,6)),CUSTOMER_DETAILS,2,FALSE),"-")</f>
        <v>ACI CLEAN ENERGY PVT LTD</v>
      </c>
      <c r="C109" s="161" t="s">
        <v>89</v>
      </c>
      <c r="D109" s="162">
        <v>44874.0</v>
      </c>
      <c r="E109" s="161" t="s">
        <v>89</v>
      </c>
      <c r="F109" s="30" t="s">
        <v>89</v>
      </c>
      <c r="G109" s="30" t="s">
        <v>89</v>
      </c>
      <c r="H109" s="30" t="s">
        <v>89</v>
      </c>
      <c r="I109" s="48" t="s">
        <v>108</v>
      </c>
      <c r="J109" s="174">
        <f t="shared" si="11"/>
        <v>44874</v>
      </c>
      <c r="K109" s="48">
        <v>116.0</v>
      </c>
      <c r="L109" s="48" t="s">
        <v>108</v>
      </c>
      <c r="M109" s="30" t="s">
        <v>91</v>
      </c>
      <c r="N109" s="48" t="s">
        <v>135</v>
      </c>
      <c r="O109" s="30" t="s">
        <v>89</v>
      </c>
      <c r="P109" s="48"/>
      <c r="Q109" s="164" t="s">
        <v>227</v>
      </c>
      <c r="R109" s="161" t="str">
        <f>IFERROR(VLOOKUP(Q109,'PRODUCT TABLE'!$A$2:$B$26,2,FALSE),"-")</f>
        <v>-</v>
      </c>
      <c r="S109" s="48">
        <v>9830.0</v>
      </c>
      <c r="T109" s="48">
        <v>4.7</v>
      </c>
      <c r="U109" s="164" t="s">
        <v>95</v>
      </c>
      <c r="V109" s="161">
        <f t="shared" si="1"/>
        <v>46201</v>
      </c>
      <c r="W109" s="186">
        <v>0.025</v>
      </c>
      <c r="X109" s="186">
        <v>0.025</v>
      </c>
      <c r="Y109" s="186">
        <v>0.0</v>
      </c>
      <c r="Z109" s="169">
        <f t="shared" si="2"/>
        <v>48511</v>
      </c>
      <c r="AA109" s="167">
        <f t="shared" si="3"/>
        <v>-0.05</v>
      </c>
      <c r="AB109" s="161"/>
      <c r="AC109" s="161">
        <f t="shared" si="4"/>
        <v>46201</v>
      </c>
      <c r="AD109" s="161">
        <f t="shared" si="5"/>
        <v>1155.025</v>
      </c>
      <c r="AE109" s="161">
        <f t="shared" si="6"/>
        <v>1155.025</v>
      </c>
      <c r="AF109" s="167">
        <f t="shared" si="7"/>
        <v>0</v>
      </c>
      <c r="AG109" s="167">
        <f t="shared" si="8"/>
        <v>2310.05</v>
      </c>
      <c r="AH109" s="158">
        <f t="shared" si="9"/>
        <v>11</v>
      </c>
      <c r="AI109" s="158">
        <f t="shared" si="10"/>
        <v>2022</v>
      </c>
    </row>
    <row r="110" ht="12.75" customHeight="1">
      <c r="A110" s="48" t="s">
        <v>238</v>
      </c>
      <c r="B110" s="160" t="str">
        <f>iferror(VLOOKUP((LEFT(A110,6)),CUSTOMER_DETAILS,2,FALSE),"-")</f>
        <v>ACI CLEAN ENERGY PVT LTD</v>
      </c>
      <c r="C110" s="161" t="s">
        <v>89</v>
      </c>
      <c r="D110" s="162">
        <v>44875.0</v>
      </c>
      <c r="E110" s="161" t="s">
        <v>89</v>
      </c>
      <c r="F110" s="30" t="s">
        <v>89</v>
      </c>
      <c r="G110" s="30" t="s">
        <v>89</v>
      </c>
      <c r="H110" s="30" t="s">
        <v>89</v>
      </c>
      <c r="I110" s="48" t="s">
        <v>108</v>
      </c>
      <c r="J110" s="174">
        <f t="shared" si="11"/>
        <v>44875</v>
      </c>
      <c r="K110" s="48">
        <v>117.0</v>
      </c>
      <c r="L110" s="48" t="s">
        <v>108</v>
      </c>
      <c r="M110" s="30" t="s">
        <v>91</v>
      </c>
      <c r="N110" s="48" t="s">
        <v>135</v>
      </c>
      <c r="O110" s="30" t="s">
        <v>89</v>
      </c>
      <c r="P110" s="48"/>
      <c r="Q110" s="164" t="s">
        <v>227</v>
      </c>
      <c r="R110" s="161" t="str">
        <f>IFERROR(VLOOKUP(Q110,'PRODUCT TABLE'!$A$2:$B$26,2,FALSE),"-")</f>
        <v>-</v>
      </c>
      <c r="S110" s="48">
        <v>10110.0</v>
      </c>
      <c r="T110" s="48">
        <v>4.5</v>
      </c>
      <c r="U110" s="164" t="s">
        <v>95</v>
      </c>
      <c r="V110" s="161">
        <f t="shared" si="1"/>
        <v>45495</v>
      </c>
      <c r="W110" s="186">
        <v>0.025</v>
      </c>
      <c r="X110" s="186">
        <v>0.025</v>
      </c>
      <c r="Y110" s="186">
        <v>0.0</v>
      </c>
      <c r="Z110" s="169">
        <f t="shared" si="2"/>
        <v>47770</v>
      </c>
      <c r="AA110" s="167">
        <f t="shared" si="3"/>
        <v>0.25</v>
      </c>
      <c r="AB110" s="161"/>
      <c r="AC110" s="161">
        <f t="shared" si="4"/>
        <v>45495</v>
      </c>
      <c r="AD110" s="161">
        <f t="shared" si="5"/>
        <v>1137.375</v>
      </c>
      <c r="AE110" s="161">
        <f t="shared" si="6"/>
        <v>1137.375</v>
      </c>
      <c r="AF110" s="167">
        <f t="shared" si="7"/>
        <v>0</v>
      </c>
      <c r="AG110" s="167">
        <f t="shared" si="8"/>
        <v>2274.75</v>
      </c>
      <c r="AH110" s="158">
        <f t="shared" si="9"/>
        <v>11</v>
      </c>
      <c r="AI110" s="158">
        <f t="shared" si="10"/>
        <v>2022</v>
      </c>
    </row>
    <row r="111" ht="12.75" customHeight="1">
      <c r="A111" s="48" t="s">
        <v>239</v>
      </c>
      <c r="B111" s="160" t="str">
        <f>iferror(VLOOKUP((LEFT(A111,6)),CUSTOMER_DETAILS,2,FALSE),"-")</f>
        <v>NAGPUR FUELS</v>
      </c>
      <c r="C111" s="161" t="s">
        <v>89</v>
      </c>
      <c r="D111" s="162">
        <v>44876.0</v>
      </c>
      <c r="E111" s="161" t="s">
        <v>89</v>
      </c>
      <c r="F111" s="30" t="s">
        <v>89</v>
      </c>
      <c r="G111" s="30" t="s">
        <v>89</v>
      </c>
      <c r="H111" s="30" t="s">
        <v>89</v>
      </c>
      <c r="I111" s="48" t="s">
        <v>108</v>
      </c>
      <c r="J111" s="174">
        <f t="shared" si="11"/>
        <v>44876</v>
      </c>
      <c r="K111" s="48">
        <v>118.0</v>
      </c>
      <c r="L111" s="48" t="s">
        <v>108</v>
      </c>
      <c r="M111" s="30" t="s">
        <v>91</v>
      </c>
      <c r="N111" s="48" t="s">
        <v>125</v>
      </c>
      <c r="O111" s="30" t="s">
        <v>89</v>
      </c>
      <c r="P111" s="48"/>
      <c r="Q111" s="164" t="s">
        <v>117</v>
      </c>
      <c r="R111" s="161">
        <f>IFERROR(VLOOKUP(Q111,'PRODUCT TABLE'!$A$2:$B$26,2,FALSE),"-")</f>
        <v>44011090</v>
      </c>
      <c r="S111" s="48">
        <v>2040.0</v>
      </c>
      <c r="T111" s="48">
        <v>11.5</v>
      </c>
      <c r="U111" s="164" t="s">
        <v>95</v>
      </c>
      <c r="V111" s="161">
        <f t="shared" si="1"/>
        <v>23460</v>
      </c>
      <c r="W111" s="186">
        <v>0.025</v>
      </c>
      <c r="X111" s="186">
        <v>0.025</v>
      </c>
      <c r="Y111" s="186">
        <v>0.0</v>
      </c>
      <c r="Z111" s="169">
        <f t="shared" si="2"/>
        <v>24633</v>
      </c>
      <c r="AA111" s="167">
        <f t="shared" si="3"/>
        <v>0</v>
      </c>
      <c r="AB111" s="161"/>
      <c r="AC111" s="161">
        <f t="shared" si="4"/>
        <v>23460</v>
      </c>
      <c r="AD111" s="161">
        <f t="shared" si="5"/>
        <v>586.5</v>
      </c>
      <c r="AE111" s="161">
        <f t="shared" si="6"/>
        <v>586.5</v>
      </c>
      <c r="AF111" s="167">
        <f t="shared" si="7"/>
        <v>0</v>
      </c>
      <c r="AG111" s="167">
        <f t="shared" si="8"/>
        <v>1173</v>
      </c>
      <c r="AH111" s="158">
        <f t="shared" si="9"/>
        <v>11</v>
      </c>
      <c r="AI111" s="158">
        <f t="shared" si="10"/>
        <v>2022</v>
      </c>
    </row>
    <row r="112" ht="12.75" customHeight="1">
      <c r="A112" s="48" t="s">
        <v>240</v>
      </c>
      <c r="B112" s="160" t="str">
        <f>iferror(VLOOKUP((LEFT(A112,6)),CUSTOMER_DETAILS,2,FALSE),"-")</f>
        <v>ACI CLEAN ENERGY PVT LTD</v>
      </c>
      <c r="C112" s="161" t="s">
        <v>89</v>
      </c>
      <c r="D112" s="162">
        <v>44880.0</v>
      </c>
      <c r="E112" s="161" t="s">
        <v>89</v>
      </c>
      <c r="F112" s="30" t="s">
        <v>89</v>
      </c>
      <c r="G112" s="30" t="s">
        <v>89</v>
      </c>
      <c r="H112" s="30" t="s">
        <v>89</v>
      </c>
      <c r="I112" s="48" t="s">
        <v>108</v>
      </c>
      <c r="J112" s="174">
        <f t="shared" si="11"/>
        <v>44880</v>
      </c>
      <c r="K112" s="48">
        <v>119.0</v>
      </c>
      <c r="L112" s="48" t="s">
        <v>108</v>
      </c>
      <c r="M112" s="30" t="s">
        <v>91</v>
      </c>
      <c r="N112" s="48" t="s">
        <v>135</v>
      </c>
      <c r="O112" s="30" t="s">
        <v>89</v>
      </c>
      <c r="P112" s="48"/>
      <c r="Q112" s="164" t="s">
        <v>227</v>
      </c>
      <c r="R112" s="161" t="str">
        <f>IFERROR(VLOOKUP(Q112,'PRODUCT TABLE'!$A$2:$B$26,2,FALSE),"-")</f>
        <v>-</v>
      </c>
      <c r="S112" s="48">
        <v>9700.0</v>
      </c>
      <c r="T112" s="48">
        <v>4.7</v>
      </c>
      <c r="U112" s="164" t="s">
        <v>95</v>
      </c>
      <c r="V112" s="161">
        <f t="shared" si="1"/>
        <v>45590</v>
      </c>
      <c r="W112" s="186">
        <v>0.025</v>
      </c>
      <c r="X112" s="186">
        <v>0.025</v>
      </c>
      <c r="Y112" s="186">
        <v>0.0</v>
      </c>
      <c r="Z112" s="169">
        <f t="shared" si="2"/>
        <v>47869</v>
      </c>
      <c r="AA112" s="167">
        <f t="shared" si="3"/>
        <v>-0.5</v>
      </c>
      <c r="AB112" s="161"/>
      <c r="AC112" s="161">
        <f t="shared" si="4"/>
        <v>45590</v>
      </c>
      <c r="AD112" s="161">
        <f t="shared" si="5"/>
        <v>1139.75</v>
      </c>
      <c r="AE112" s="161">
        <f t="shared" si="6"/>
        <v>1139.75</v>
      </c>
      <c r="AF112" s="167">
        <f t="shared" si="7"/>
        <v>0</v>
      </c>
      <c r="AG112" s="167">
        <f t="shared" si="8"/>
        <v>2279.5</v>
      </c>
      <c r="AH112" s="158">
        <f t="shared" si="9"/>
        <v>11</v>
      </c>
      <c r="AI112" s="158">
        <f t="shared" si="10"/>
        <v>2022</v>
      </c>
    </row>
    <row r="113" ht="12.75" customHeight="1">
      <c r="A113" s="48" t="s">
        <v>241</v>
      </c>
      <c r="B113" s="160" t="str">
        <f>iferror(VLOOKUP((LEFT(A113,6)),CUSTOMER_DETAILS,2,FALSE),"-")</f>
        <v>AMAN TRADERS</v>
      </c>
      <c r="C113" s="161" t="s">
        <v>89</v>
      </c>
      <c r="D113" s="162">
        <v>44882.0</v>
      </c>
      <c r="E113" s="161" t="s">
        <v>89</v>
      </c>
      <c r="F113" s="30" t="s">
        <v>89</v>
      </c>
      <c r="G113" s="30" t="s">
        <v>89</v>
      </c>
      <c r="H113" s="30" t="s">
        <v>89</v>
      </c>
      <c r="I113" s="48" t="s">
        <v>108</v>
      </c>
      <c r="J113" s="174">
        <f t="shared" si="11"/>
        <v>44882</v>
      </c>
      <c r="K113" s="48">
        <v>120.0</v>
      </c>
      <c r="L113" s="48" t="s">
        <v>108</v>
      </c>
      <c r="M113" s="30" t="s">
        <v>91</v>
      </c>
      <c r="N113" s="48" t="s">
        <v>242</v>
      </c>
      <c r="O113" s="30" t="s">
        <v>89</v>
      </c>
      <c r="P113" s="48"/>
      <c r="Q113" s="164" t="s">
        <v>117</v>
      </c>
      <c r="R113" s="161">
        <f>IFERROR(VLOOKUP(Q113,'PRODUCT TABLE'!$A$2:$B$26,2,FALSE),"-")</f>
        <v>44011090</v>
      </c>
      <c r="S113" s="48">
        <v>9810.0</v>
      </c>
      <c r="T113" s="48">
        <v>17.5</v>
      </c>
      <c r="U113" s="164" t="s">
        <v>95</v>
      </c>
      <c r="V113" s="161">
        <f t="shared" si="1"/>
        <v>171675</v>
      </c>
      <c r="W113" s="186">
        <v>0.025</v>
      </c>
      <c r="X113" s="186">
        <v>0.025</v>
      </c>
      <c r="Y113" s="186">
        <v>0.0</v>
      </c>
      <c r="Z113" s="169">
        <f t="shared" si="2"/>
        <v>180259</v>
      </c>
      <c r="AA113" s="167">
        <f t="shared" si="3"/>
        <v>0.25</v>
      </c>
      <c r="AB113" s="161"/>
      <c r="AC113" s="161">
        <f t="shared" si="4"/>
        <v>171675</v>
      </c>
      <c r="AD113" s="161">
        <f t="shared" si="5"/>
        <v>4291.875</v>
      </c>
      <c r="AE113" s="161">
        <f t="shared" si="6"/>
        <v>4291.875</v>
      </c>
      <c r="AF113" s="167">
        <f t="shared" si="7"/>
        <v>0</v>
      </c>
      <c r="AG113" s="167">
        <f t="shared" si="8"/>
        <v>8583.75</v>
      </c>
      <c r="AH113" s="158">
        <f t="shared" si="9"/>
        <v>11</v>
      </c>
      <c r="AI113" s="158">
        <f t="shared" si="10"/>
        <v>2022</v>
      </c>
    </row>
    <row r="114" ht="12.75" customHeight="1">
      <c r="A114" s="48" t="s">
        <v>243</v>
      </c>
      <c r="B114" s="160" t="str">
        <f>iferror(VLOOKUP((LEFT(A114,6)),CUSTOMER_DETAILS,2,FALSE),"-")</f>
        <v>KRISHNA ENTERPRISES</v>
      </c>
      <c r="C114" s="161" t="s">
        <v>89</v>
      </c>
      <c r="D114" s="162">
        <v>44882.0</v>
      </c>
      <c r="E114" s="161" t="s">
        <v>89</v>
      </c>
      <c r="F114" s="30" t="s">
        <v>89</v>
      </c>
      <c r="G114" s="30" t="s">
        <v>89</v>
      </c>
      <c r="H114" s="30" t="s">
        <v>89</v>
      </c>
      <c r="I114" s="48" t="s">
        <v>108</v>
      </c>
      <c r="J114" s="174">
        <f t="shared" si="11"/>
        <v>44882</v>
      </c>
      <c r="K114" s="48">
        <v>121.0</v>
      </c>
      <c r="L114" s="48" t="s">
        <v>108</v>
      </c>
      <c r="M114" s="30" t="s">
        <v>91</v>
      </c>
      <c r="N114" s="48" t="s">
        <v>125</v>
      </c>
      <c r="O114" s="30" t="s">
        <v>89</v>
      </c>
      <c r="P114" s="48"/>
      <c r="Q114" s="164" t="s">
        <v>117</v>
      </c>
      <c r="R114" s="161">
        <f>IFERROR(VLOOKUP(Q114,'PRODUCT TABLE'!$A$2:$B$26,2,FALSE),"-")</f>
        <v>44011090</v>
      </c>
      <c r="S114" s="48">
        <v>9130.0</v>
      </c>
      <c r="T114" s="48">
        <v>11.5</v>
      </c>
      <c r="U114" s="164" t="s">
        <v>95</v>
      </c>
      <c r="V114" s="161">
        <f t="shared" si="1"/>
        <v>104995</v>
      </c>
      <c r="W114" s="186">
        <v>0.025</v>
      </c>
      <c r="X114" s="186">
        <v>0.025</v>
      </c>
      <c r="Y114" s="186">
        <v>0.0</v>
      </c>
      <c r="Z114" s="169">
        <f t="shared" si="2"/>
        <v>110245</v>
      </c>
      <c r="AA114" s="167">
        <f t="shared" si="3"/>
        <v>0.25</v>
      </c>
      <c r="AB114" s="161"/>
      <c r="AC114" s="161">
        <f t="shared" si="4"/>
        <v>104995</v>
      </c>
      <c r="AD114" s="161">
        <f t="shared" si="5"/>
        <v>2624.875</v>
      </c>
      <c r="AE114" s="161">
        <f t="shared" si="6"/>
        <v>2624.875</v>
      </c>
      <c r="AF114" s="167">
        <f t="shared" si="7"/>
        <v>0</v>
      </c>
      <c r="AG114" s="167">
        <f t="shared" si="8"/>
        <v>5249.75</v>
      </c>
      <c r="AH114" s="158">
        <f t="shared" si="9"/>
        <v>11</v>
      </c>
      <c r="AI114" s="158">
        <f t="shared" si="10"/>
        <v>2022</v>
      </c>
    </row>
    <row r="115" ht="12.75" customHeight="1">
      <c r="A115" s="48" t="s">
        <v>244</v>
      </c>
      <c r="B115" s="160" t="str">
        <f>iferror(VLOOKUP((LEFT(A115,6)),CUSTOMER_DETAILS,2,FALSE),"-")</f>
        <v>SHREE GAYATRI PACKAGING</v>
      </c>
      <c r="C115" s="161" t="s">
        <v>89</v>
      </c>
      <c r="D115" s="162">
        <v>44882.0</v>
      </c>
      <c r="E115" s="161" t="s">
        <v>89</v>
      </c>
      <c r="F115" s="30" t="s">
        <v>89</v>
      </c>
      <c r="G115" s="30" t="s">
        <v>89</v>
      </c>
      <c r="H115" s="30" t="s">
        <v>89</v>
      </c>
      <c r="I115" s="48" t="s">
        <v>108</v>
      </c>
      <c r="J115" s="174">
        <f t="shared" si="11"/>
        <v>44882</v>
      </c>
      <c r="K115" s="48">
        <v>122.0</v>
      </c>
      <c r="L115" s="48" t="s">
        <v>108</v>
      </c>
      <c r="M115" s="164" t="s">
        <v>245</v>
      </c>
      <c r="N115" s="48" t="s">
        <v>122</v>
      </c>
      <c r="O115" s="30" t="s">
        <v>89</v>
      </c>
      <c r="P115" s="48"/>
      <c r="Q115" s="164" t="s">
        <v>117</v>
      </c>
      <c r="R115" s="161">
        <f>IFERROR(VLOOKUP(Q115,'PRODUCT TABLE'!$A$2:$B$26,2,FALSE),"-")</f>
        <v>44011090</v>
      </c>
      <c r="S115" s="48">
        <v>1410.0</v>
      </c>
      <c r="T115" s="48">
        <v>13.0</v>
      </c>
      <c r="U115" s="164" t="s">
        <v>95</v>
      </c>
      <c r="V115" s="161">
        <f t="shared" si="1"/>
        <v>18330</v>
      </c>
      <c r="W115" s="186">
        <v>0.025</v>
      </c>
      <c r="X115" s="186">
        <v>0.025</v>
      </c>
      <c r="Y115" s="186">
        <v>0.0</v>
      </c>
      <c r="Z115" s="169">
        <f t="shared" si="2"/>
        <v>19246</v>
      </c>
      <c r="AA115" s="167">
        <f t="shared" si="3"/>
        <v>-0.5</v>
      </c>
      <c r="AB115" s="161"/>
      <c r="AC115" s="161">
        <f t="shared" si="4"/>
        <v>18330</v>
      </c>
      <c r="AD115" s="161">
        <f t="shared" si="5"/>
        <v>458.25</v>
      </c>
      <c r="AE115" s="161">
        <f t="shared" si="6"/>
        <v>458.25</v>
      </c>
      <c r="AF115" s="167">
        <f t="shared" si="7"/>
        <v>0</v>
      </c>
      <c r="AG115" s="167">
        <f t="shared" si="8"/>
        <v>916.5</v>
      </c>
      <c r="AH115" s="158">
        <f t="shared" si="9"/>
        <v>11</v>
      </c>
      <c r="AI115" s="158">
        <f t="shared" si="10"/>
        <v>2022</v>
      </c>
    </row>
    <row r="116" ht="12.75" customHeight="1">
      <c r="A116" s="48" t="s">
        <v>246</v>
      </c>
      <c r="B116" s="187" t="s">
        <v>247</v>
      </c>
      <c r="C116" s="161" t="s">
        <v>89</v>
      </c>
      <c r="D116" s="162">
        <v>44891.0</v>
      </c>
      <c r="E116" s="161" t="s">
        <v>89</v>
      </c>
      <c r="F116" s="30" t="s">
        <v>89</v>
      </c>
      <c r="G116" s="30" t="s">
        <v>89</v>
      </c>
      <c r="H116" s="30" t="s">
        <v>89</v>
      </c>
      <c r="I116" s="48" t="s">
        <v>108</v>
      </c>
      <c r="J116" s="174">
        <f t="shared" si="11"/>
        <v>44891</v>
      </c>
      <c r="K116" s="48">
        <v>123.0</v>
      </c>
      <c r="L116" s="48" t="s">
        <v>108</v>
      </c>
      <c r="M116" s="164" t="s">
        <v>245</v>
      </c>
      <c r="N116" s="48" t="s">
        <v>125</v>
      </c>
      <c r="O116" s="30" t="s">
        <v>89</v>
      </c>
      <c r="P116" s="48"/>
      <c r="Q116" s="164" t="s">
        <v>117</v>
      </c>
      <c r="R116" s="161">
        <f>IFERROR(VLOOKUP(Q116,'PRODUCT TABLE'!$A$2:$B$26,2,FALSE),"-")</f>
        <v>44011090</v>
      </c>
      <c r="S116" s="48">
        <v>63.0</v>
      </c>
      <c r="T116" s="48">
        <v>12.85</v>
      </c>
      <c r="U116" s="164" t="s">
        <v>95</v>
      </c>
      <c r="V116" s="161">
        <f t="shared" si="1"/>
        <v>809.55</v>
      </c>
      <c r="W116" s="186">
        <v>0.025</v>
      </c>
      <c r="X116" s="186">
        <v>0.025</v>
      </c>
      <c r="Y116" s="186">
        <v>0.0</v>
      </c>
      <c r="Z116" s="169">
        <f t="shared" si="2"/>
        <v>850</v>
      </c>
      <c r="AA116" s="167">
        <f t="shared" si="3"/>
        <v>-0.0275</v>
      </c>
      <c r="AB116" s="161"/>
      <c r="AC116" s="161">
        <f t="shared" si="4"/>
        <v>809.55</v>
      </c>
      <c r="AD116" s="161">
        <f t="shared" si="5"/>
        <v>20.23875</v>
      </c>
      <c r="AE116" s="161">
        <f t="shared" si="6"/>
        <v>20.23875</v>
      </c>
      <c r="AF116" s="167">
        <f t="shared" si="7"/>
        <v>0</v>
      </c>
      <c r="AG116" s="167">
        <f t="shared" si="8"/>
        <v>40.4775</v>
      </c>
      <c r="AH116" s="158">
        <f t="shared" si="9"/>
        <v>11</v>
      </c>
      <c r="AI116" s="158">
        <f t="shared" si="10"/>
        <v>2022</v>
      </c>
    </row>
    <row r="117" ht="12.75" customHeight="1">
      <c r="A117" s="48" t="s">
        <v>248</v>
      </c>
      <c r="B117" s="160" t="str">
        <f>iferror(VLOOKUP((LEFT(A117,6)),CUSTOMER_DETAILS,2,FALSE),"-")</f>
        <v>ACI CLEAN ENERGY PVT LTD</v>
      </c>
      <c r="C117" s="161" t="s">
        <v>89</v>
      </c>
      <c r="D117" s="162">
        <v>44892.0</v>
      </c>
      <c r="E117" s="161" t="s">
        <v>89</v>
      </c>
      <c r="F117" s="30" t="s">
        <v>89</v>
      </c>
      <c r="G117" s="30" t="s">
        <v>89</v>
      </c>
      <c r="H117" s="30" t="s">
        <v>89</v>
      </c>
      <c r="I117" s="48" t="s">
        <v>108</v>
      </c>
      <c r="J117" s="174">
        <f t="shared" si="11"/>
        <v>44892</v>
      </c>
      <c r="K117" s="48">
        <v>124.0</v>
      </c>
      <c r="L117" s="48" t="s">
        <v>108</v>
      </c>
      <c r="M117" s="30" t="s">
        <v>91</v>
      </c>
      <c r="N117" s="48" t="s">
        <v>135</v>
      </c>
      <c r="O117" s="30" t="s">
        <v>89</v>
      </c>
      <c r="P117" s="48"/>
      <c r="Q117" s="164" t="s">
        <v>227</v>
      </c>
      <c r="R117" s="161" t="str">
        <f>IFERROR(VLOOKUP(Q117,'PRODUCT TABLE'!$A$2:$B$26,2,FALSE),"-")</f>
        <v>-</v>
      </c>
      <c r="S117" s="48">
        <v>10800.0</v>
      </c>
      <c r="T117" s="48">
        <v>4.7</v>
      </c>
      <c r="U117" s="164" t="s">
        <v>95</v>
      </c>
      <c r="V117" s="161">
        <f t="shared" si="1"/>
        <v>50760</v>
      </c>
      <c r="W117" s="186">
        <v>0.025</v>
      </c>
      <c r="X117" s="186">
        <v>0.025</v>
      </c>
      <c r="Y117" s="186">
        <v>0.0</v>
      </c>
      <c r="Z117" s="169">
        <f t="shared" si="2"/>
        <v>53298</v>
      </c>
      <c r="AA117" s="167">
        <f t="shared" si="3"/>
        <v>0</v>
      </c>
      <c r="AB117" s="161"/>
      <c r="AC117" s="161">
        <f t="shared" si="4"/>
        <v>50760</v>
      </c>
      <c r="AD117" s="161">
        <f t="shared" si="5"/>
        <v>1269</v>
      </c>
      <c r="AE117" s="161">
        <f t="shared" si="6"/>
        <v>1269</v>
      </c>
      <c r="AF117" s="167">
        <f t="shared" si="7"/>
        <v>0</v>
      </c>
      <c r="AG117" s="167">
        <f t="shared" si="8"/>
        <v>2538</v>
      </c>
      <c r="AH117" s="158">
        <f t="shared" si="9"/>
        <v>11</v>
      </c>
      <c r="AI117" s="158">
        <f t="shared" si="10"/>
        <v>2022</v>
      </c>
    </row>
    <row r="118" ht="12.75" customHeight="1">
      <c r="A118" s="48" t="s">
        <v>249</v>
      </c>
      <c r="B118" s="160" t="str">
        <f>iferror(VLOOKUP((LEFT(A118,6)),CUSTOMER_DETAILS,2,FALSE),"-")</f>
        <v>NAGPUR FUELS</v>
      </c>
      <c r="C118" s="161" t="s">
        <v>89</v>
      </c>
      <c r="D118" s="162">
        <v>44892.0</v>
      </c>
      <c r="E118" s="161" t="s">
        <v>89</v>
      </c>
      <c r="F118" s="30" t="s">
        <v>89</v>
      </c>
      <c r="G118" s="30" t="s">
        <v>89</v>
      </c>
      <c r="H118" s="30" t="s">
        <v>89</v>
      </c>
      <c r="I118" s="48" t="s">
        <v>108</v>
      </c>
      <c r="J118" s="174">
        <f t="shared" si="11"/>
        <v>44892</v>
      </c>
      <c r="K118" s="48">
        <v>125.0</v>
      </c>
      <c r="L118" s="48" t="s">
        <v>108</v>
      </c>
      <c r="M118" s="30" t="s">
        <v>91</v>
      </c>
      <c r="N118" s="48" t="s">
        <v>125</v>
      </c>
      <c r="O118" s="30" t="s">
        <v>89</v>
      </c>
      <c r="P118" s="48"/>
      <c r="Q118" s="164" t="s">
        <v>233</v>
      </c>
      <c r="R118" s="161">
        <f>IFERROR(VLOOKUP(Q118,'PRODUCT TABLE'!$A$2:$B$26,2,FALSE),"-")</f>
        <v>44011090</v>
      </c>
      <c r="S118" s="48">
        <v>5530.0</v>
      </c>
      <c r="T118" s="48">
        <v>11.0</v>
      </c>
      <c r="U118" s="164" t="s">
        <v>95</v>
      </c>
      <c r="V118" s="161">
        <f t="shared" si="1"/>
        <v>60830</v>
      </c>
      <c r="W118" s="186">
        <v>0.025</v>
      </c>
      <c r="X118" s="186">
        <v>0.025</v>
      </c>
      <c r="Y118" s="186">
        <v>0.0</v>
      </c>
      <c r="Z118" s="169">
        <f t="shared" si="2"/>
        <v>63871</v>
      </c>
      <c r="AA118" s="167">
        <f t="shared" si="3"/>
        <v>-0.5</v>
      </c>
      <c r="AB118" s="161"/>
      <c r="AC118" s="161">
        <f t="shared" si="4"/>
        <v>60830</v>
      </c>
      <c r="AD118" s="161">
        <f t="shared" si="5"/>
        <v>1520.75</v>
      </c>
      <c r="AE118" s="161">
        <f t="shared" si="6"/>
        <v>1520.75</v>
      </c>
      <c r="AF118" s="167">
        <f t="shared" si="7"/>
        <v>0</v>
      </c>
      <c r="AG118" s="167">
        <f t="shared" si="8"/>
        <v>3041.5</v>
      </c>
      <c r="AH118" s="158">
        <f t="shared" si="9"/>
        <v>11</v>
      </c>
      <c r="AI118" s="158">
        <f t="shared" si="10"/>
        <v>2022</v>
      </c>
    </row>
    <row r="119" ht="12.75" customHeight="1">
      <c r="A119" s="48" t="s">
        <v>250</v>
      </c>
      <c r="B119" s="160" t="str">
        <f>iferror(VLOOKUP((LEFT(A119,6)),CUSTOMER_DETAILS,2,FALSE),"-")</f>
        <v>NAGPUR FUELS</v>
      </c>
      <c r="C119" s="161" t="s">
        <v>89</v>
      </c>
      <c r="D119" s="162">
        <v>44896.0</v>
      </c>
      <c r="E119" s="161" t="s">
        <v>89</v>
      </c>
      <c r="F119" s="30" t="s">
        <v>89</v>
      </c>
      <c r="G119" s="30" t="s">
        <v>89</v>
      </c>
      <c r="H119" s="30" t="s">
        <v>89</v>
      </c>
      <c r="I119" s="48" t="s">
        <v>108</v>
      </c>
      <c r="J119" s="174">
        <f t="shared" si="11"/>
        <v>44896</v>
      </c>
      <c r="K119" s="48">
        <v>126.0</v>
      </c>
      <c r="L119" s="48" t="s">
        <v>108</v>
      </c>
      <c r="M119" s="30" t="s">
        <v>91</v>
      </c>
      <c r="N119" s="48" t="s">
        <v>125</v>
      </c>
      <c r="O119" s="30" t="s">
        <v>89</v>
      </c>
      <c r="P119" s="48"/>
      <c r="Q119" s="164" t="s">
        <v>117</v>
      </c>
      <c r="R119" s="161">
        <f>IFERROR(VLOOKUP(Q119,'PRODUCT TABLE'!$A$2:$B$26,2,FALSE),"-")</f>
        <v>44011090</v>
      </c>
      <c r="S119" s="48">
        <v>20470.0</v>
      </c>
      <c r="T119" s="48">
        <v>11.5</v>
      </c>
      <c r="U119" s="164" t="s">
        <v>95</v>
      </c>
      <c r="V119" s="161">
        <f t="shared" si="1"/>
        <v>235405</v>
      </c>
      <c r="W119" s="186">
        <v>0.025</v>
      </c>
      <c r="X119" s="186">
        <v>0.025</v>
      </c>
      <c r="Y119" s="186">
        <v>0.0</v>
      </c>
      <c r="Z119" s="169">
        <f t="shared" si="2"/>
        <v>247175</v>
      </c>
      <c r="AA119" s="167">
        <f t="shared" si="3"/>
        <v>-0.25</v>
      </c>
      <c r="AB119" s="161"/>
      <c r="AC119" s="161">
        <f t="shared" si="4"/>
        <v>235405</v>
      </c>
      <c r="AD119" s="161">
        <f t="shared" si="5"/>
        <v>5885.125</v>
      </c>
      <c r="AE119" s="161">
        <f t="shared" si="6"/>
        <v>5885.125</v>
      </c>
      <c r="AF119" s="167">
        <f t="shared" si="7"/>
        <v>0</v>
      </c>
      <c r="AG119" s="167">
        <f t="shared" si="8"/>
        <v>11770.25</v>
      </c>
      <c r="AH119" s="158">
        <f t="shared" si="9"/>
        <v>12</v>
      </c>
      <c r="AI119" s="158">
        <f t="shared" si="10"/>
        <v>2022</v>
      </c>
    </row>
    <row r="120" ht="12.75" customHeight="1">
      <c r="A120" s="48" t="s">
        <v>251</v>
      </c>
      <c r="B120" s="160" t="str">
        <f>iferror(VLOOKUP((LEFT(A120,6)),CUSTOMER_DETAILS,2,FALSE),"-")</f>
        <v>ACI CLEAN ENERGY PVT LTD</v>
      </c>
      <c r="C120" s="161" t="s">
        <v>89</v>
      </c>
      <c r="D120" s="162">
        <v>44896.0</v>
      </c>
      <c r="E120" s="161" t="s">
        <v>89</v>
      </c>
      <c r="F120" s="30" t="s">
        <v>89</v>
      </c>
      <c r="G120" s="30" t="s">
        <v>89</v>
      </c>
      <c r="H120" s="30" t="s">
        <v>89</v>
      </c>
      <c r="I120" s="48" t="s">
        <v>108</v>
      </c>
      <c r="J120" s="174">
        <f t="shared" si="11"/>
        <v>44896</v>
      </c>
      <c r="K120" s="48">
        <v>128.0</v>
      </c>
      <c r="L120" s="48" t="s">
        <v>108</v>
      </c>
      <c r="M120" s="30" t="s">
        <v>91</v>
      </c>
      <c r="N120" s="48" t="s">
        <v>135</v>
      </c>
      <c r="O120" s="30" t="s">
        <v>89</v>
      </c>
      <c r="P120" s="48"/>
      <c r="Q120" s="164" t="s">
        <v>227</v>
      </c>
      <c r="R120" s="161" t="str">
        <f>IFERROR(VLOOKUP(Q120,'PRODUCT TABLE'!$A$2:$B$26,2,FALSE),"-")</f>
        <v>-</v>
      </c>
      <c r="S120" s="48">
        <v>10390.0</v>
      </c>
      <c r="T120" s="48">
        <v>4.7</v>
      </c>
      <c r="U120" s="164" t="s">
        <v>95</v>
      </c>
      <c r="V120" s="161">
        <f t="shared" si="1"/>
        <v>48833</v>
      </c>
      <c r="W120" s="186">
        <v>0.025</v>
      </c>
      <c r="X120" s="186">
        <v>0.025</v>
      </c>
      <c r="Y120" s="186">
        <v>0.0</v>
      </c>
      <c r="Z120" s="169">
        <f t="shared" si="2"/>
        <v>51275</v>
      </c>
      <c r="AA120" s="167">
        <f t="shared" si="3"/>
        <v>0.35</v>
      </c>
      <c r="AB120" s="161"/>
      <c r="AC120" s="161">
        <f t="shared" si="4"/>
        <v>48833</v>
      </c>
      <c r="AD120" s="161">
        <f t="shared" si="5"/>
        <v>1220.825</v>
      </c>
      <c r="AE120" s="161">
        <f t="shared" si="6"/>
        <v>1220.825</v>
      </c>
      <c r="AF120" s="167">
        <f t="shared" si="7"/>
        <v>0</v>
      </c>
      <c r="AG120" s="167">
        <f t="shared" si="8"/>
        <v>2441.65</v>
      </c>
      <c r="AH120" s="158">
        <f t="shared" si="9"/>
        <v>12</v>
      </c>
      <c r="AI120" s="158">
        <f t="shared" si="10"/>
        <v>2022</v>
      </c>
    </row>
    <row r="121" ht="12.75" customHeight="1">
      <c r="A121" s="48" t="s">
        <v>252</v>
      </c>
      <c r="B121" s="160" t="str">
        <f>iferror(VLOOKUP((LEFT(A121,6)),CUSTOMER_DETAILS,2,FALSE),"-")</f>
        <v>ACI CLEAN ENERGY PVT LTD</v>
      </c>
      <c r="C121" s="161" t="s">
        <v>89</v>
      </c>
      <c r="D121" s="162">
        <v>44899.0</v>
      </c>
      <c r="E121" s="161" t="s">
        <v>89</v>
      </c>
      <c r="F121" s="30" t="s">
        <v>89</v>
      </c>
      <c r="G121" s="30" t="s">
        <v>89</v>
      </c>
      <c r="H121" s="30" t="s">
        <v>89</v>
      </c>
      <c r="I121" s="48" t="s">
        <v>108</v>
      </c>
      <c r="J121" s="174">
        <f t="shared" si="11"/>
        <v>44899</v>
      </c>
      <c r="K121" s="48">
        <v>129.0</v>
      </c>
      <c r="L121" s="48" t="s">
        <v>108</v>
      </c>
      <c r="M121" s="30" t="s">
        <v>91</v>
      </c>
      <c r="N121" s="48" t="s">
        <v>135</v>
      </c>
      <c r="O121" s="30" t="s">
        <v>89</v>
      </c>
      <c r="P121" s="48"/>
      <c r="Q121" s="164" t="s">
        <v>227</v>
      </c>
      <c r="R121" s="161" t="str">
        <f>IFERROR(VLOOKUP(Q121,'PRODUCT TABLE'!$A$2:$B$26,2,FALSE),"-")</f>
        <v>-</v>
      </c>
      <c r="S121" s="48">
        <v>8540.0</v>
      </c>
      <c r="T121" s="48">
        <v>4.7</v>
      </c>
      <c r="U121" s="164" t="s">
        <v>95</v>
      </c>
      <c r="V121" s="161">
        <f t="shared" si="1"/>
        <v>40138</v>
      </c>
      <c r="W121" s="186">
        <v>0.025</v>
      </c>
      <c r="X121" s="186">
        <v>0.025</v>
      </c>
      <c r="Y121" s="186">
        <v>0.0</v>
      </c>
      <c r="Z121" s="169">
        <f t="shared" si="2"/>
        <v>42145</v>
      </c>
      <c r="AA121" s="167">
        <f t="shared" si="3"/>
        <v>0.1</v>
      </c>
      <c r="AB121" s="161"/>
      <c r="AC121" s="161">
        <f t="shared" si="4"/>
        <v>40138</v>
      </c>
      <c r="AD121" s="161">
        <f t="shared" si="5"/>
        <v>1003.45</v>
      </c>
      <c r="AE121" s="161">
        <f t="shared" si="6"/>
        <v>1003.45</v>
      </c>
      <c r="AF121" s="167">
        <f t="shared" si="7"/>
        <v>0</v>
      </c>
      <c r="AG121" s="167">
        <f t="shared" si="8"/>
        <v>2006.9</v>
      </c>
      <c r="AH121" s="158">
        <f t="shared" si="9"/>
        <v>12</v>
      </c>
      <c r="AI121" s="158">
        <f t="shared" si="10"/>
        <v>2022</v>
      </c>
    </row>
    <row r="122" ht="12.75" customHeight="1">
      <c r="A122" s="48" t="s">
        <v>253</v>
      </c>
      <c r="B122" s="160" t="str">
        <f>iferror(VLOOKUP((LEFT(A122,6)),CUSTOMER_DETAILS,2,FALSE),"-")</f>
        <v>VIDARBHA SALES</v>
      </c>
      <c r="C122" s="161" t="s">
        <v>89</v>
      </c>
      <c r="D122" s="162">
        <v>44897.0</v>
      </c>
      <c r="E122" s="161" t="s">
        <v>89</v>
      </c>
      <c r="F122" s="30" t="s">
        <v>89</v>
      </c>
      <c r="G122" s="30" t="s">
        <v>89</v>
      </c>
      <c r="H122" s="30" t="s">
        <v>89</v>
      </c>
      <c r="I122" s="48" t="s">
        <v>108</v>
      </c>
      <c r="J122" s="174">
        <f t="shared" si="11"/>
        <v>44897</v>
      </c>
      <c r="K122" s="48">
        <v>130.0</v>
      </c>
      <c r="L122" s="48" t="s">
        <v>108</v>
      </c>
      <c r="M122" s="30" t="s">
        <v>91</v>
      </c>
      <c r="N122" s="48" t="s">
        <v>254</v>
      </c>
      <c r="O122" s="30" t="s">
        <v>89</v>
      </c>
      <c r="P122" s="48"/>
      <c r="Q122" s="164" t="s">
        <v>151</v>
      </c>
      <c r="R122" s="161">
        <f>IFERROR(VLOOKUP(Q122,'PRODUCT TABLE'!$A$2:$B$26,2,FALSE),"-")</f>
        <v>23069026</v>
      </c>
      <c r="S122" s="48">
        <v>10020.0</v>
      </c>
      <c r="T122" s="48">
        <v>15.7</v>
      </c>
      <c r="U122" s="164" t="s">
        <v>95</v>
      </c>
      <c r="V122" s="161">
        <f t="shared" si="1"/>
        <v>157314</v>
      </c>
      <c r="W122" s="186">
        <v>0.025</v>
      </c>
      <c r="X122" s="186">
        <v>0.025</v>
      </c>
      <c r="Y122" s="186">
        <v>0.0</v>
      </c>
      <c r="Z122" s="169">
        <f t="shared" si="2"/>
        <v>165180</v>
      </c>
      <c r="AA122" s="167">
        <f t="shared" si="3"/>
        <v>0.3</v>
      </c>
      <c r="AB122" s="161"/>
      <c r="AC122" s="161">
        <f t="shared" si="4"/>
        <v>157314</v>
      </c>
      <c r="AD122" s="161">
        <f t="shared" si="5"/>
        <v>3932.85</v>
      </c>
      <c r="AE122" s="161">
        <f t="shared" si="6"/>
        <v>3932.85</v>
      </c>
      <c r="AF122" s="167">
        <f t="shared" si="7"/>
        <v>0</v>
      </c>
      <c r="AG122" s="167">
        <f t="shared" si="8"/>
        <v>7865.7</v>
      </c>
      <c r="AH122" s="158">
        <f t="shared" si="9"/>
        <v>12</v>
      </c>
      <c r="AI122" s="158">
        <f t="shared" si="10"/>
        <v>2022</v>
      </c>
    </row>
    <row r="123" ht="12.75" customHeight="1">
      <c r="A123" s="48" t="s">
        <v>255</v>
      </c>
      <c r="B123" s="160" t="str">
        <f>iferror(VLOOKUP((LEFT(A123,6)),CUSTOMER_DETAILS,2,FALSE),"-")</f>
        <v>SHRI SHIVAY AGRO ENERGIES</v>
      </c>
      <c r="C123" s="161" t="s">
        <v>89</v>
      </c>
      <c r="D123" s="162">
        <v>44901.0</v>
      </c>
      <c r="E123" s="161" t="s">
        <v>89</v>
      </c>
      <c r="F123" s="30" t="s">
        <v>89</v>
      </c>
      <c r="G123" s="30" t="s">
        <v>89</v>
      </c>
      <c r="H123" s="30" t="s">
        <v>89</v>
      </c>
      <c r="I123" s="48" t="s">
        <v>108</v>
      </c>
      <c r="J123" s="174">
        <f t="shared" si="11"/>
        <v>44901</v>
      </c>
      <c r="K123" s="48">
        <v>131.0</v>
      </c>
      <c r="L123" s="48" t="s">
        <v>108</v>
      </c>
      <c r="M123" s="30" t="s">
        <v>91</v>
      </c>
      <c r="N123" s="48" t="s">
        <v>175</v>
      </c>
      <c r="O123" s="30" t="s">
        <v>89</v>
      </c>
      <c r="P123" s="48"/>
      <c r="Q123" s="164" t="s">
        <v>151</v>
      </c>
      <c r="R123" s="161">
        <f>IFERROR(VLOOKUP(Q123,'PRODUCT TABLE'!$A$2:$B$26,2,FALSE),"-")</f>
        <v>23069026</v>
      </c>
      <c r="S123" s="48">
        <v>7740.0</v>
      </c>
      <c r="T123" s="48">
        <v>16.5</v>
      </c>
      <c r="U123" s="164" t="s">
        <v>95</v>
      </c>
      <c r="V123" s="161">
        <f t="shared" si="1"/>
        <v>127710</v>
      </c>
      <c r="W123" s="186">
        <v>0.025</v>
      </c>
      <c r="X123" s="186">
        <v>0.025</v>
      </c>
      <c r="Y123" s="186">
        <v>0.0</v>
      </c>
      <c r="Z123" s="169">
        <f t="shared" si="2"/>
        <v>134095</v>
      </c>
      <c r="AA123" s="167">
        <f t="shared" si="3"/>
        <v>-0.5</v>
      </c>
      <c r="AB123" s="161"/>
      <c r="AC123" s="161">
        <f t="shared" si="4"/>
        <v>127710</v>
      </c>
      <c r="AD123" s="161">
        <f t="shared" si="5"/>
        <v>3192.75</v>
      </c>
      <c r="AE123" s="161">
        <f t="shared" si="6"/>
        <v>3192.75</v>
      </c>
      <c r="AF123" s="167">
        <f t="shared" si="7"/>
        <v>0</v>
      </c>
      <c r="AG123" s="167">
        <f t="shared" si="8"/>
        <v>6385.5</v>
      </c>
      <c r="AH123" s="158">
        <f t="shared" si="9"/>
        <v>12</v>
      </c>
      <c r="AI123" s="158">
        <f t="shared" si="10"/>
        <v>2022</v>
      </c>
    </row>
    <row r="124" ht="12.75" customHeight="1">
      <c r="A124" s="48" t="s">
        <v>256</v>
      </c>
      <c r="B124" s="160" t="str">
        <f>iferror(VLOOKUP((LEFT(A124,6)),CUSTOMER_DETAILS,2,FALSE),"-")</f>
        <v>ACI CLEAN ENERGY PVT LTD</v>
      </c>
      <c r="C124" s="161" t="s">
        <v>89</v>
      </c>
      <c r="D124" s="162">
        <v>44902.0</v>
      </c>
      <c r="E124" s="161" t="s">
        <v>89</v>
      </c>
      <c r="F124" s="30" t="s">
        <v>89</v>
      </c>
      <c r="G124" s="30" t="s">
        <v>89</v>
      </c>
      <c r="H124" s="30" t="s">
        <v>89</v>
      </c>
      <c r="I124" s="48" t="s">
        <v>108</v>
      </c>
      <c r="J124" s="174">
        <f t="shared" si="11"/>
        <v>44902</v>
      </c>
      <c r="K124" s="48">
        <v>132.0</v>
      </c>
      <c r="L124" s="48" t="s">
        <v>108</v>
      </c>
      <c r="M124" s="30" t="s">
        <v>91</v>
      </c>
      <c r="N124" s="48" t="s">
        <v>135</v>
      </c>
      <c r="O124" s="30" t="s">
        <v>89</v>
      </c>
      <c r="P124" s="48"/>
      <c r="Q124" s="164" t="s">
        <v>227</v>
      </c>
      <c r="R124" s="161" t="str">
        <f>IFERROR(VLOOKUP(Q124,'PRODUCT TABLE'!$A$2:$B$26,2,FALSE),"-")</f>
        <v>-</v>
      </c>
      <c r="S124" s="48">
        <v>10420.0</v>
      </c>
      <c r="T124" s="48">
        <v>4.7</v>
      </c>
      <c r="U124" s="164" t="s">
        <v>95</v>
      </c>
      <c r="V124" s="161">
        <f t="shared" si="1"/>
        <v>48974</v>
      </c>
      <c r="W124" s="186">
        <v>0.025</v>
      </c>
      <c r="X124" s="186">
        <v>0.025</v>
      </c>
      <c r="Y124" s="186">
        <v>0.0</v>
      </c>
      <c r="Z124" s="169">
        <f t="shared" si="2"/>
        <v>51423</v>
      </c>
      <c r="AA124" s="167">
        <f t="shared" si="3"/>
        <v>0.3</v>
      </c>
      <c r="AB124" s="161"/>
      <c r="AC124" s="161">
        <f t="shared" si="4"/>
        <v>48974</v>
      </c>
      <c r="AD124" s="161">
        <f t="shared" si="5"/>
        <v>1224.35</v>
      </c>
      <c r="AE124" s="161">
        <f t="shared" si="6"/>
        <v>1224.35</v>
      </c>
      <c r="AF124" s="167">
        <f t="shared" si="7"/>
        <v>0</v>
      </c>
      <c r="AG124" s="167">
        <f t="shared" si="8"/>
        <v>2448.7</v>
      </c>
      <c r="AH124" s="158">
        <f t="shared" si="9"/>
        <v>12</v>
      </c>
      <c r="AI124" s="158">
        <f t="shared" si="10"/>
        <v>2022</v>
      </c>
    </row>
    <row r="125" ht="12.75" customHeight="1">
      <c r="A125" s="48" t="s">
        <v>257</v>
      </c>
      <c r="B125" s="160" t="str">
        <f>iferror(VLOOKUP((LEFT(A125,6)),CUSTOMER_DETAILS,2,FALSE),"-")</f>
        <v>NAGPUR FUELS</v>
      </c>
      <c r="C125" s="161" t="s">
        <v>89</v>
      </c>
      <c r="D125" s="162">
        <v>44902.0</v>
      </c>
      <c r="E125" s="161" t="s">
        <v>89</v>
      </c>
      <c r="F125" s="30" t="s">
        <v>89</v>
      </c>
      <c r="G125" s="30" t="s">
        <v>89</v>
      </c>
      <c r="H125" s="30" t="s">
        <v>89</v>
      </c>
      <c r="I125" s="48" t="s">
        <v>108</v>
      </c>
      <c r="J125" s="174">
        <f t="shared" si="11"/>
        <v>44902</v>
      </c>
      <c r="K125" s="48">
        <v>133.0</v>
      </c>
      <c r="L125" s="48" t="s">
        <v>108</v>
      </c>
      <c r="M125" s="30" t="s">
        <v>91</v>
      </c>
      <c r="N125" s="48" t="s">
        <v>125</v>
      </c>
      <c r="O125" s="30" t="s">
        <v>89</v>
      </c>
      <c r="P125" s="48"/>
      <c r="Q125" s="164" t="s">
        <v>117</v>
      </c>
      <c r="R125" s="161">
        <f>IFERROR(VLOOKUP(Q125,'PRODUCT TABLE'!$A$2:$B$26,2,FALSE),"-")</f>
        <v>44011090</v>
      </c>
      <c r="S125" s="48">
        <v>7454.0</v>
      </c>
      <c r="T125" s="48">
        <v>11.5</v>
      </c>
      <c r="U125" s="164" t="s">
        <v>95</v>
      </c>
      <c r="V125" s="161">
        <f t="shared" si="1"/>
        <v>85721</v>
      </c>
      <c r="W125" s="186">
        <v>0.025</v>
      </c>
      <c r="X125" s="186">
        <v>0.025</v>
      </c>
      <c r="Y125" s="186">
        <v>0.0</v>
      </c>
      <c r="Z125" s="169">
        <f t="shared" si="2"/>
        <v>90007</v>
      </c>
      <c r="AA125" s="167">
        <f t="shared" si="3"/>
        <v>-0.05</v>
      </c>
      <c r="AB125" s="161"/>
      <c r="AC125" s="161">
        <f t="shared" si="4"/>
        <v>85721</v>
      </c>
      <c r="AD125" s="161">
        <f t="shared" si="5"/>
        <v>2143.025</v>
      </c>
      <c r="AE125" s="161">
        <f t="shared" si="6"/>
        <v>2143.025</v>
      </c>
      <c r="AF125" s="167">
        <f t="shared" si="7"/>
        <v>0</v>
      </c>
      <c r="AG125" s="167">
        <f t="shared" si="8"/>
        <v>4286.05</v>
      </c>
      <c r="AH125" s="158">
        <f t="shared" si="9"/>
        <v>12</v>
      </c>
      <c r="AI125" s="158">
        <f t="shared" si="10"/>
        <v>2022</v>
      </c>
    </row>
    <row r="126" ht="12.75" customHeight="1">
      <c r="A126" s="48" t="s">
        <v>258</v>
      </c>
      <c r="B126" s="160" t="str">
        <f>iferror(VLOOKUP((LEFT(A126,6)),CUSTOMER_DETAILS,2,FALSE),"-")</f>
        <v>ACI CLEAN ENERGY PVT LTD</v>
      </c>
      <c r="C126" s="161" t="s">
        <v>89</v>
      </c>
      <c r="D126" s="162">
        <v>44905.0</v>
      </c>
      <c r="E126" s="161" t="s">
        <v>89</v>
      </c>
      <c r="F126" s="30" t="s">
        <v>89</v>
      </c>
      <c r="G126" s="30" t="s">
        <v>89</v>
      </c>
      <c r="H126" s="30" t="s">
        <v>89</v>
      </c>
      <c r="I126" s="48" t="s">
        <v>108</v>
      </c>
      <c r="J126" s="174">
        <f t="shared" si="11"/>
        <v>44905</v>
      </c>
      <c r="K126" s="48">
        <v>134.0</v>
      </c>
      <c r="L126" s="48" t="s">
        <v>108</v>
      </c>
      <c r="M126" s="30" t="s">
        <v>91</v>
      </c>
      <c r="N126" s="48" t="s">
        <v>125</v>
      </c>
      <c r="O126" s="30" t="s">
        <v>89</v>
      </c>
      <c r="P126" s="48"/>
      <c r="Q126" s="164" t="s">
        <v>227</v>
      </c>
      <c r="R126" s="161" t="str">
        <f>IFERROR(VLOOKUP(Q126,'PRODUCT TABLE'!$A$2:$B$26,2,FALSE),"-")</f>
        <v>-</v>
      </c>
      <c r="S126" s="48">
        <v>11000.0</v>
      </c>
      <c r="T126" s="48">
        <v>4.7</v>
      </c>
      <c r="U126" s="164" t="s">
        <v>95</v>
      </c>
      <c r="V126" s="161">
        <f t="shared" si="1"/>
        <v>51700</v>
      </c>
      <c r="W126" s="186">
        <v>0.025</v>
      </c>
      <c r="X126" s="186">
        <v>0.025</v>
      </c>
      <c r="Y126" s="186">
        <v>0.0</v>
      </c>
      <c r="Z126" s="169">
        <f t="shared" si="2"/>
        <v>54285</v>
      </c>
      <c r="AA126" s="167">
        <f t="shared" si="3"/>
        <v>0</v>
      </c>
      <c r="AB126" s="161"/>
      <c r="AC126" s="161">
        <f t="shared" si="4"/>
        <v>51700</v>
      </c>
      <c r="AD126" s="161">
        <f t="shared" si="5"/>
        <v>1292.5</v>
      </c>
      <c r="AE126" s="161">
        <f t="shared" si="6"/>
        <v>1292.5</v>
      </c>
      <c r="AF126" s="167">
        <f t="shared" si="7"/>
        <v>0</v>
      </c>
      <c r="AG126" s="167">
        <f t="shared" si="8"/>
        <v>2585</v>
      </c>
      <c r="AH126" s="158">
        <f t="shared" si="9"/>
        <v>12</v>
      </c>
      <c r="AI126" s="158">
        <f t="shared" si="10"/>
        <v>2022</v>
      </c>
    </row>
    <row r="127" ht="12.75" customHeight="1">
      <c r="A127" s="48" t="s">
        <v>259</v>
      </c>
      <c r="B127" s="160" t="str">
        <f>iferror(VLOOKUP((LEFT(A127,6)),CUSTOMER_DETAILS,2,FALSE),"-")</f>
        <v>SHREE GAYATRI PACKAGING</v>
      </c>
      <c r="C127" s="161" t="s">
        <v>89</v>
      </c>
      <c r="D127" s="162">
        <v>44907.0</v>
      </c>
      <c r="E127" s="161" t="s">
        <v>89</v>
      </c>
      <c r="F127" s="30" t="s">
        <v>89</v>
      </c>
      <c r="G127" s="30" t="s">
        <v>89</v>
      </c>
      <c r="H127" s="30" t="s">
        <v>89</v>
      </c>
      <c r="I127" s="48" t="s">
        <v>108</v>
      </c>
      <c r="J127" s="174">
        <f t="shared" si="11"/>
        <v>44907</v>
      </c>
      <c r="K127" s="48">
        <v>135.0</v>
      </c>
      <c r="L127" s="48" t="s">
        <v>108</v>
      </c>
      <c r="M127" s="30" t="s">
        <v>91</v>
      </c>
      <c r="N127" s="48" t="s">
        <v>122</v>
      </c>
      <c r="O127" s="30" t="s">
        <v>89</v>
      </c>
      <c r="P127" s="48"/>
      <c r="Q127" s="164" t="s">
        <v>117</v>
      </c>
      <c r="R127" s="161">
        <f>IFERROR(VLOOKUP(Q127,'PRODUCT TABLE'!$A$2:$B$26,2,FALSE),"-")</f>
        <v>44011090</v>
      </c>
      <c r="S127" s="48">
        <v>1530.0</v>
      </c>
      <c r="T127" s="48">
        <v>13.0</v>
      </c>
      <c r="U127" s="164" t="s">
        <v>95</v>
      </c>
      <c r="V127" s="161">
        <f t="shared" si="1"/>
        <v>19890</v>
      </c>
      <c r="W127" s="186">
        <v>0.025</v>
      </c>
      <c r="X127" s="186">
        <v>0.025</v>
      </c>
      <c r="Y127" s="186">
        <v>0.0</v>
      </c>
      <c r="Z127" s="169">
        <f t="shared" si="2"/>
        <v>20884</v>
      </c>
      <c r="AA127" s="167">
        <f t="shared" si="3"/>
        <v>-0.5</v>
      </c>
      <c r="AB127" s="161"/>
      <c r="AC127" s="161">
        <f t="shared" si="4"/>
        <v>19890</v>
      </c>
      <c r="AD127" s="161">
        <f t="shared" si="5"/>
        <v>497.25</v>
      </c>
      <c r="AE127" s="161">
        <f t="shared" si="6"/>
        <v>497.25</v>
      </c>
      <c r="AF127" s="167">
        <f t="shared" si="7"/>
        <v>0</v>
      </c>
      <c r="AG127" s="167">
        <f t="shared" si="8"/>
        <v>994.5</v>
      </c>
      <c r="AH127" s="158">
        <f t="shared" si="9"/>
        <v>12</v>
      </c>
      <c r="AI127" s="158">
        <f t="shared" si="10"/>
        <v>2022</v>
      </c>
    </row>
    <row r="128" ht="12.75" customHeight="1">
      <c r="A128" s="48" t="s">
        <v>260</v>
      </c>
      <c r="B128" s="160" t="str">
        <f>iferror(VLOOKUP((LEFT(A128,6)),CUSTOMER_DETAILS,2,FALSE),"-")</f>
        <v>ACI CLEAN ENERGY PVT LTD</v>
      </c>
      <c r="C128" s="161" t="s">
        <v>89</v>
      </c>
      <c r="D128" s="162">
        <v>44908.0</v>
      </c>
      <c r="E128" s="161" t="s">
        <v>89</v>
      </c>
      <c r="F128" s="30" t="s">
        <v>89</v>
      </c>
      <c r="G128" s="30" t="s">
        <v>89</v>
      </c>
      <c r="H128" s="30" t="s">
        <v>89</v>
      </c>
      <c r="I128" s="48" t="s">
        <v>108</v>
      </c>
      <c r="J128" s="174">
        <f t="shared" si="11"/>
        <v>44908</v>
      </c>
      <c r="K128" s="48">
        <v>137.0</v>
      </c>
      <c r="L128" s="48" t="s">
        <v>108</v>
      </c>
      <c r="M128" s="30" t="s">
        <v>91</v>
      </c>
      <c r="N128" s="48" t="s">
        <v>135</v>
      </c>
      <c r="O128" s="30" t="s">
        <v>89</v>
      </c>
      <c r="P128" s="48"/>
      <c r="Q128" s="164" t="s">
        <v>151</v>
      </c>
      <c r="R128" s="161">
        <f>IFERROR(VLOOKUP(Q128,'PRODUCT TABLE'!$A$2:$B$26,2,FALSE),"-")</f>
        <v>23069026</v>
      </c>
      <c r="S128" s="48">
        <v>5760.0</v>
      </c>
      <c r="T128" s="48">
        <v>16.35</v>
      </c>
      <c r="U128" s="164" t="s">
        <v>95</v>
      </c>
      <c r="V128" s="161">
        <f t="shared" si="1"/>
        <v>94176</v>
      </c>
      <c r="W128" s="186">
        <v>0.025</v>
      </c>
      <c r="X128" s="186">
        <v>0.025</v>
      </c>
      <c r="Y128" s="186">
        <v>0.0</v>
      </c>
      <c r="Z128" s="169">
        <f t="shared" si="2"/>
        <v>98885</v>
      </c>
      <c r="AA128" s="167">
        <f t="shared" si="3"/>
        <v>0.2</v>
      </c>
      <c r="AB128" s="161"/>
      <c r="AC128" s="161">
        <f t="shared" si="4"/>
        <v>94176</v>
      </c>
      <c r="AD128" s="161">
        <f t="shared" si="5"/>
        <v>2354.4</v>
      </c>
      <c r="AE128" s="161">
        <f t="shared" si="6"/>
        <v>2354.4</v>
      </c>
      <c r="AF128" s="167">
        <f t="shared" si="7"/>
        <v>0</v>
      </c>
      <c r="AG128" s="167">
        <f t="shared" si="8"/>
        <v>4708.8</v>
      </c>
      <c r="AH128" s="158">
        <f t="shared" si="9"/>
        <v>12</v>
      </c>
      <c r="AI128" s="158">
        <f t="shared" si="10"/>
        <v>2022</v>
      </c>
    </row>
    <row r="129" ht="12.75" customHeight="1">
      <c r="A129" s="48" t="s">
        <v>261</v>
      </c>
      <c r="B129" s="160" t="str">
        <f>iferror(VLOOKUP((LEFT(A129,6)),CUSTOMER_DETAILS,2,FALSE),"-")</f>
        <v>NAGPUR FUELS</v>
      </c>
      <c r="C129" s="161" t="s">
        <v>89</v>
      </c>
      <c r="D129" s="162">
        <v>44910.0</v>
      </c>
      <c r="E129" s="161" t="s">
        <v>89</v>
      </c>
      <c r="F129" s="30" t="s">
        <v>89</v>
      </c>
      <c r="G129" s="30" t="s">
        <v>89</v>
      </c>
      <c r="H129" s="30" t="s">
        <v>89</v>
      </c>
      <c r="I129" s="48" t="s">
        <v>108</v>
      </c>
      <c r="J129" s="174">
        <f t="shared" si="11"/>
        <v>44910</v>
      </c>
      <c r="K129" s="48">
        <v>138.0</v>
      </c>
      <c r="L129" s="48" t="s">
        <v>108</v>
      </c>
      <c r="M129" s="30" t="s">
        <v>91</v>
      </c>
      <c r="N129" s="48" t="s">
        <v>125</v>
      </c>
      <c r="O129" s="30" t="s">
        <v>89</v>
      </c>
      <c r="P129" s="48"/>
      <c r="Q129" s="164" t="s">
        <v>117</v>
      </c>
      <c r="R129" s="161">
        <f>IFERROR(VLOOKUP(Q129,'PRODUCT TABLE'!$A$2:$B$26,2,FALSE),"-")</f>
        <v>44011090</v>
      </c>
      <c r="S129" s="48">
        <v>11990.0</v>
      </c>
      <c r="T129" s="48">
        <v>11.5</v>
      </c>
      <c r="U129" s="164" t="s">
        <v>95</v>
      </c>
      <c r="V129" s="161">
        <f t="shared" si="1"/>
        <v>137885</v>
      </c>
      <c r="W129" s="186">
        <v>0.025</v>
      </c>
      <c r="X129" s="186">
        <v>0.025</v>
      </c>
      <c r="Y129" s="186">
        <v>0.0</v>
      </c>
      <c r="Z129" s="169">
        <f t="shared" si="2"/>
        <v>144779</v>
      </c>
      <c r="AA129" s="167">
        <f t="shared" si="3"/>
        <v>-0.25</v>
      </c>
      <c r="AB129" s="161"/>
      <c r="AC129" s="161">
        <f t="shared" si="4"/>
        <v>137885</v>
      </c>
      <c r="AD129" s="161">
        <f t="shared" si="5"/>
        <v>3447.125</v>
      </c>
      <c r="AE129" s="161">
        <f t="shared" si="6"/>
        <v>3447.125</v>
      </c>
      <c r="AF129" s="167">
        <f t="shared" si="7"/>
        <v>0</v>
      </c>
      <c r="AG129" s="167">
        <f t="shared" si="8"/>
        <v>6894.25</v>
      </c>
      <c r="AH129" s="158">
        <f t="shared" si="9"/>
        <v>12</v>
      </c>
      <c r="AI129" s="158">
        <f t="shared" si="10"/>
        <v>2022</v>
      </c>
    </row>
    <row r="130" ht="12.75" customHeight="1">
      <c r="A130" s="48" t="s">
        <v>262</v>
      </c>
      <c r="B130" s="160" t="str">
        <f>iferror(VLOOKUP((LEFT(A130,6)),CUSTOMER_DETAILS,2,FALSE),"-")</f>
        <v>SHREE BAIDYANATH AYUR BHAWAN PVT LTD</v>
      </c>
      <c r="C130" s="161" t="s">
        <v>89</v>
      </c>
      <c r="D130" s="162">
        <v>44911.0</v>
      </c>
      <c r="E130" s="161" t="s">
        <v>89</v>
      </c>
      <c r="F130" s="30" t="s">
        <v>89</v>
      </c>
      <c r="G130" s="30" t="s">
        <v>89</v>
      </c>
      <c r="H130" s="30" t="s">
        <v>89</v>
      </c>
      <c r="I130" s="48" t="s">
        <v>108</v>
      </c>
      <c r="J130" s="174">
        <f t="shared" si="11"/>
        <v>44911</v>
      </c>
      <c r="K130" s="48">
        <v>139.0</v>
      </c>
      <c r="L130" s="48" t="s">
        <v>108</v>
      </c>
      <c r="M130" s="30" t="s">
        <v>91</v>
      </c>
      <c r="N130" s="48" t="s">
        <v>263</v>
      </c>
      <c r="O130" s="30" t="s">
        <v>89</v>
      </c>
      <c r="P130" s="48"/>
      <c r="Q130" s="164" t="s">
        <v>94</v>
      </c>
      <c r="R130" s="161">
        <f>IFERROR(VLOOKUP(Q130,'PRODUCT TABLE'!$A$2:$B$26,2,FALSE),"-")</f>
        <v>44011090</v>
      </c>
      <c r="S130" s="48">
        <v>10500.0</v>
      </c>
      <c r="T130" s="48">
        <v>6.7</v>
      </c>
      <c r="U130" s="164" t="s">
        <v>95</v>
      </c>
      <c r="V130" s="161">
        <f t="shared" si="1"/>
        <v>70350</v>
      </c>
      <c r="W130" s="186">
        <v>0.025</v>
      </c>
      <c r="X130" s="186">
        <v>0.025</v>
      </c>
      <c r="Y130" s="186">
        <v>0.0</v>
      </c>
      <c r="Z130" s="169">
        <f t="shared" si="2"/>
        <v>73867</v>
      </c>
      <c r="AA130" s="167">
        <f t="shared" si="3"/>
        <v>-0.5</v>
      </c>
      <c r="AB130" s="161"/>
      <c r="AC130" s="161">
        <f t="shared" si="4"/>
        <v>70350</v>
      </c>
      <c r="AD130" s="161">
        <f t="shared" si="5"/>
        <v>1758.75</v>
      </c>
      <c r="AE130" s="161">
        <f t="shared" si="6"/>
        <v>1758.75</v>
      </c>
      <c r="AF130" s="167">
        <f t="shared" si="7"/>
        <v>0</v>
      </c>
      <c r="AG130" s="167">
        <f t="shared" si="8"/>
        <v>3517.5</v>
      </c>
      <c r="AH130" s="158">
        <f t="shared" si="9"/>
        <v>12</v>
      </c>
      <c r="AI130" s="158">
        <f t="shared" si="10"/>
        <v>2022</v>
      </c>
    </row>
    <row r="131" ht="12.75" customHeight="1">
      <c r="A131" s="48" t="s">
        <v>264</v>
      </c>
      <c r="B131" s="160" t="str">
        <f>iferror(VLOOKUP((LEFT(A131,6)),CUSTOMER_DETAILS,2,FALSE),"-")</f>
        <v>SHREE GAYATRI PACKAGING</v>
      </c>
      <c r="C131" s="161" t="s">
        <v>89</v>
      </c>
      <c r="D131" s="162">
        <v>44868.0</v>
      </c>
      <c r="E131" s="161" t="s">
        <v>89</v>
      </c>
      <c r="F131" s="30" t="s">
        <v>89</v>
      </c>
      <c r="G131" s="30" t="s">
        <v>89</v>
      </c>
      <c r="H131" s="30" t="s">
        <v>89</v>
      </c>
      <c r="I131" s="48" t="s">
        <v>108</v>
      </c>
      <c r="J131" s="174">
        <f t="shared" si="11"/>
        <v>44868</v>
      </c>
      <c r="K131" s="48">
        <v>140.0</v>
      </c>
      <c r="L131" s="48" t="s">
        <v>108</v>
      </c>
      <c r="M131" s="30" t="s">
        <v>91</v>
      </c>
      <c r="N131" s="48" t="s">
        <v>122</v>
      </c>
      <c r="O131" s="30" t="s">
        <v>89</v>
      </c>
      <c r="P131" s="48"/>
      <c r="Q131" s="164" t="s">
        <v>117</v>
      </c>
      <c r="R131" s="161">
        <f>IFERROR(VLOOKUP(Q131,'PRODUCT TABLE'!$A$2:$B$26,2,FALSE),"-")</f>
        <v>44011090</v>
      </c>
      <c r="S131" s="48">
        <v>900.0</v>
      </c>
      <c r="T131" s="48">
        <v>13.0</v>
      </c>
      <c r="U131" s="164" t="s">
        <v>95</v>
      </c>
      <c r="V131" s="161">
        <f t="shared" si="1"/>
        <v>11700</v>
      </c>
      <c r="W131" s="186">
        <v>0.025</v>
      </c>
      <c r="X131" s="186">
        <v>0.025</v>
      </c>
      <c r="Y131" s="186">
        <v>0.0</v>
      </c>
      <c r="Z131" s="169">
        <f t="shared" si="2"/>
        <v>12285</v>
      </c>
      <c r="AA131" s="167">
        <f t="shared" si="3"/>
        <v>0</v>
      </c>
      <c r="AB131" s="161"/>
      <c r="AC131" s="161">
        <f t="shared" si="4"/>
        <v>11700</v>
      </c>
      <c r="AD131" s="161">
        <f t="shared" si="5"/>
        <v>292.5</v>
      </c>
      <c r="AE131" s="161">
        <f t="shared" si="6"/>
        <v>292.5</v>
      </c>
      <c r="AF131" s="167">
        <f t="shared" si="7"/>
        <v>0</v>
      </c>
      <c r="AG131" s="167">
        <f t="shared" si="8"/>
        <v>585</v>
      </c>
      <c r="AH131" s="158">
        <f t="shared" si="9"/>
        <v>11</v>
      </c>
      <c r="AI131" s="158">
        <f t="shared" si="10"/>
        <v>2022</v>
      </c>
    </row>
    <row r="132" ht="12.75" customHeight="1">
      <c r="A132" s="48" t="s">
        <v>265</v>
      </c>
      <c r="B132" s="160" t="str">
        <f>iferror(VLOOKUP((LEFT(A132,6)),CUSTOMER_DETAILS,2,FALSE),"-")</f>
        <v>SHREE GAYATRI PACKAGING</v>
      </c>
      <c r="C132" s="161" t="s">
        <v>89</v>
      </c>
      <c r="D132" s="162">
        <v>44916.0</v>
      </c>
      <c r="E132" s="161" t="s">
        <v>89</v>
      </c>
      <c r="F132" s="30" t="s">
        <v>89</v>
      </c>
      <c r="G132" s="30" t="s">
        <v>89</v>
      </c>
      <c r="H132" s="30" t="s">
        <v>89</v>
      </c>
      <c r="I132" s="48" t="s">
        <v>108</v>
      </c>
      <c r="J132" s="174">
        <f t="shared" si="11"/>
        <v>44916</v>
      </c>
      <c r="K132" s="48">
        <v>143.0</v>
      </c>
      <c r="L132" s="48" t="s">
        <v>108</v>
      </c>
      <c r="M132" s="30" t="s">
        <v>91</v>
      </c>
      <c r="N132" s="48" t="s">
        <v>122</v>
      </c>
      <c r="O132" s="30" t="s">
        <v>89</v>
      </c>
      <c r="P132" s="48"/>
      <c r="Q132" s="164" t="s">
        <v>117</v>
      </c>
      <c r="R132" s="161">
        <f>IFERROR(VLOOKUP(Q132,'PRODUCT TABLE'!$A$2:$B$26,2,FALSE),"-")</f>
        <v>44011090</v>
      </c>
      <c r="S132" s="48">
        <v>1050.0</v>
      </c>
      <c r="T132" s="48">
        <v>13.0</v>
      </c>
      <c r="U132" s="164" t="s">
        <v>95</v>
      </c>
      <c r="V132" s="161">
        <f t="shared" si="1"/>
        <v>13650</v>
      </c>
      <c r="W132" s="186">
        <v>0.025</v>
      </c>
      <c r="X132" s="186">
        <v>0.025</v>
      </c>
      <c r="Y132" s="186">
        <v>0.0</v>
      </c>
      <c r="Z132" s="169">
        <f t="shared" si="2"/>
        <v>14332</v>
      </c>
      <c r="AA132" s="167">
        <f t="shared" si="3"/>
        <v>-0.5</v>
      </c>
      <c r="AB132" s="161"/>
      <c r="AC132" s="161">
        <f t="shared" si="4"/>
        <v>13650</v>
      </c>
      <c r="AD132" s="161">
        <f t="shared" si="5"/>
        <v>341.25</v>
      </c>
      <c r="AE132" s="161">
        <f t="shared" si="6"/>
        <v>341.25</v>
      </c>
      <c r="AF132" s="167">
        <f t="shared" si="7"/>
        <v>0</v>
      </c>
      <c r="AG132" s="167">
        <f t="shared" si="8"/>
        <v>682.5</v>
      </c>
      <c r="AH132" s="158">
        <f t="shared" si="9"/>
        <v>12</v>
      </c>
      <c r="AI132" s="158">
        <f t="shared" si="10"/>
        <v>2022</v>
      </c>
    </row>
    <row r="133" ht="12.75" customHeight="1">
      <c r="A133" s="48" t="s">
        <v>266</v>
      </c>
      <c r="B133" s="160" t="str">
        <f>iferror(VLOOKUP((LEFT(A133,6)),CUSTOMER_DETAILS,2,FALSE),"-")</f>
        <v>SHREE BAIDYANATH AYUR BHAWAN PVT LTD</v>
      </c>
      <c r="C133" s="161" t="s">
        <v>89</v>
      </c>
      <c r="D133" s="162">
        <v>44918.0</v>
      </c>
      <c r="E133" s="161" t="s">
        <v>89</v>
      </c>
      <c r="F133" s="30" t="s">
        <v>89</v>
      </c>
      <c r="G133" s="30" t="s">
        <v>89</v>
      </c>
      <c r="H133" s="30" t="s">
        <v>89</v>
      </c>
      <c r="I133" s="48" t="s">
        <v>108</v>
      </c>
      <c r="J133" s="174">
        <f t="shared" si="11"/>
        <v>44918</v>
      </c>
      <c r="K133" s="48">
        <v>144.0</v>
      </c>
      <c r="L133" s="48" t="s">
        <v>108</v>
      </c>
      <c r="M133" s="30" t="s">
        <v>91</v>
      </c>
      <c r="N133" s="48" t="s">
        <v>263</v>
      </c>
      <c r="O133" s="30" t="s">
        <v>89</v>
      </c>
      <c r="P133" s="48"/>
      <c r="Q133" s="164" t="s">
        <v>94</v>
      </c>
      <c r="R133" s="161">
        <f>IFERROR(VLOOKUP(Q133,'PRODUCT TABLE'!$A$2:$B$26,2,FALSE),"-")</f>
        <v>44011090</v>
      </c>
      <c r="S133" s="48">
        <v>10100.0</v>
      </c>
      <c r="T133" s="48">
        <v>6.7</v>
      </c>
      <c r="U133" s="164" t="s">
        <v>95</v>
      </c>
      <c r="V133" s="161">
        <f t="shared" si="1"/>
        <v>67670</v>
      </c>
      <c r="W133" s="186">
        <v>0.025</v>
      </c>
      <c r="X133" s="186">
        <v>0.025</v>
      </c>
      <c r="Y133" s="186">
        <v>0.0</v>
      </c>
      <c r="Z133" s="169">
        <f t="shared" si="2"/>
        <v>71053</v>
      </c>
      <c r="AA133" s="167">
        <f t="shared" si="3"/>
        <v>-0.5</v>
      </c>
      <c r="AB133" s="161"/>
      <c r="AC133" s="161">
        <f t="shared" si="4"/>
        <v>67670</v>
      </c>
      <c r="AD133" s="161">
        <f t="shared" si="5"/>
        <v>1691.75</v>
      </c>
      <c r="AE133" s="161">
        <f t="shared" si="6"/>
        <v>1691.75</v>
      </c>
      <c r="AF133" s="167">
        <f t="shared" si="7"/>
        <v>0</v>
      </c>
      <c r="AG133" s="167">
        <f t="shared" si="8"/>
        <v>3383.5</v>
      </c>
      <c r="AH133" s="158">
        <f t="shared" si="9"/>
        <v>12</v>
      </c>
      <c r="AI133" s="158">
        <f t="shared" si="10"/>
        <v>2022</v>
      </c>
    </row>
    <row r="134" ht="12.75" customHeight="1">
      <c r="A134" s="48" t="s">
        <v>267</v>
      </c>
      <c r="B134" s="160" t="str">
        <f>iferror(VLOOKUP((LEFT(A134,6)),CUSTOMER_DETAILS,2,FALSE),"-")</f>
        <v>ACI CLEAN ENERGY PVT LTD</v>
      </c>
      <c r="C134" s="161" t="s">
        <v>89</v>
      </c>
      <c r="D134" s="162">
        <v>44920.0</v>
      </c>
      <c r="E134" s="161" t="s">
        <v>89</v>
      </c>
      <c r="F134" s="30" t="s">
        <v>89</v>
      </c>
      <c r="G134" s="30" t="s">
        <v>89</v>
      </c>
      <c r="H134" s="30" t="s">
        <v>89</v>
      </c>
      <c r="I134" s="48" t="s">
        <v>108</v>
      </c>
      <c r="J134" s="174">
        <f t="shared" si="11"/>
        <v>44920</v>
      </c>
      <c r="K134" s="48">
        <v>146.0</v>
      </c>
      <c r="L134" s="48" t="s">
        <v>108</v>
      </c>
      <c r="M134" s="30" t="s">
        <v>91</v>
      </c>
      <c r="N134" s="48" t="s">
        <v>135</v>
      </c>
      <c r="O134" s="30" t="s">
        <v>89</v>
      </c>
      <c r="P134" s="48"/>
      <c r="Q134" s="164" t="s">
        <v>151</v>
      </c>
      <c r="R134" s="161">
        <f>IFERROR(VLOOKUP(Q134,'PRODUCT TABLE'!$A$2:$B$26,2,FALSE),"-")</f>
        <v>23069026</v>
      </c>
      <c r="S134" s="48">
        <v>5180.0</v>
      </c>
      <c r="T134" s="48">
        <v>16.8</v>
      </c>
      <c r="U134" s="164" t="s">
        <v>95</v>
      </c>
      <c r="V134" s="161">
        <f t="shared" si="1"/>
        <v>87024</v>
      </c>
      <c r="W134" s="186">
        <v>0.025</v>
      </c>
      <c r="X134" s="186">
        <v>0.025</v>
      </c>
      <c r="Y134" s="186">
        <v>0.0</v>
      </c>
      <c r="Z134" s="169">
        <f t="shared" si="2"/>
        <v>91375</v>
      </c>
      <c r="AA134" s="167">
        <f t="shared" si="3"/>
        <v>-0.2</v>
      </c>
      <c r="AB134" s="161"/>
      <c r="AC134" s="161">
        <f t="shared" si="4"/>
        <v>87024</v>
      </c>
      <c r="AD134" s="161">
        <f t="shared" si="5"/>
        <v>2175.6</v>
      </c>
      <c r="AE134" s="161">
        <f t="shared" si="6"/>
        <v>2175.6</v>
      </c>
      <c r="AF134" s="167">
        <f t="shared" si="7"/>
        <v>0</v>
      </c>
      <c r="AG134" s="167">
        <f t="shared" si="8"/>
        <v>4351.2</v>
      </c>
      <c r="AH134" s="158">
        <f t="shared" si="9"/>
        <v>12</v>
      </c>
      <c r="AI134" s="158">
        <f t="shared" si="10"/>
        <v>2022</v>
      </c>
    </row>
    <row r="135" ht="12.75" customHeight="1">
      <c r="A135" s="48" t="s">
        <v>268</v>
      </c>
      <c r="B135" s="160" t="str">
        <f>iferror(VLOOKUP((LEFT(A135,6)),CUSTOMER_DETAILS,2,FALSE),"-")</f>
        <v>SIDDHAYU AYURVEDIC RESEARCH FOUNDATION PVT LTD</v>
      </c>
      <c r="C135" s="161" t="s">
        <v>89</v>
      </c>
      <c r="D135" s="162">
        <v>44921.0</v>
      </c>
      <c r="E135" s="161" t="s">
        <v>89</v>
      </c>
      <c r="F135" s="30" t="s">
        <v>89</v>
      </c>
      <c r="G135" s="30" t="s">
        <v>89</v>
      </c>
      <c r="H135" s="30" t="s">
        <v>89</v>
      </c>
      <c r="I135" s="48" t="s">
        <v>108</v>
      </c>
      <c r="J135" s="174">
        <f t="shared" si="11"/>
        <v>44921</v>
      </c>
      <c r="K135" s="48">
        <v>147.0</v>
      </c>
      <c r="L135" s="48" t="s">
        <v>108</v>
      </c>
      <c r="M135" s="30" t="s">
        <v>91</v>
      </c>
      <c r="N135" s="48" t="s">
        <v>269</v>
      </c>
      <c r="O135" s="30" t="s">
        <v>89</v>
      </c>
      <c r="P135" s="48"/>
      <c r="Q135" s="164" t="s">
        <v>94</v>
      </c>
      <c r="R135" s="161">
        <f>IFERROR(VLOOKUP(Q135,'PRODUCT TABLE'!$A$2:$B$26,2,FALSE),"-")</f>
        <v>44011090</v>
      </c>
      <c r="S135" s="48">
        <v>10100.0</v>
      </c>
      <c r="T135" s="48">
        <v>6.7</v>
      </c>
      <c r="U135" s="164" t="s">
        <v>95</v>
      </c>
      <c r="V135" s="161">
        <f t="shared" si="1"/>
        <v>67670</v>
      </c>
      <c r="W135" s="186">
        <v>0.025</v>
      </c>
      <c r="X135" s="186">
        <v>0.025</v>
      </c>
      <c r="Y135" s="186">
        <v>0.0</v>
      </c>
      <c r="Z135" s="169">
        <f t="shared" si="2"/>
        <v>71053</v>
      </c>
      <c r="AA135" s="167">
        <f t="shared" si="3"/>
        <v>-0.5</v>
      </c>
      <c r="AB135" s="161"/>
      <c r="AC135" s="161">
        <f t="shared" si="4"/>
        <v>67670</v>
      </c>
      <c r="AD135" s="161">
        <f t="shared" si="5"/>
        <v>1691.75</v>
      </c>
      <c r="AE135" s="161">
        <f t="shared" si="6"/>
        <v>1691.75</v>
      </c>
      <c r="AF135" s="167">
        <f t="shared" si="7"/>
        <v>0</v>
      </c>
      <c r="AG135" s="167">
        <f t="shared" si="8"/>
        <v>3383.5</v>
      </c>
      <c r="AH135" s="158">
        <f t="shared" si="9"/>
        <v>12</v>
      </c>
      <c r="AI135" s="158">
        <f t="shared" si="10"/>
        <v>2022</v>
      </c>
    </row>
    <row r="136" ht="12.75" customHeight="1">
      <c r="A136" s="48" t="s">
        <v>270</v>
      </c>
      <c r="B136" s="160" t="str">
        <f>iferror(VLOOKUP((LEFT(A136,6)),CUSTOMER_DETAILS,2,FALSE),"-")</f>
        <v>SIDDHAYU AYURVEDIC RESEARCH FOUNDATION PVT LTD</v>
      </c>
      <c r="C136" s="161" t="s">
        <v>89</v>
      </c>
      <c r="D136" s="162">
        <v>44921.0</v>
      </c>
      <c r="E136" s="161" t="s">
        <v>89</v>
      </c>
      <c r="F136" s="30" t="s">
        <v>89</v>
      </c>
      <c r="G136" s="30" t="s">
        <v>89</v>
      </c>
      <c r="H136" s="30" t="s">
        <v>89</v>
      </c>
      <c r="I136" s="48" t="s">
        <v>108</v>
      </c>
      <c r="J136" s="174">
        <f t="shared" si="11"/>
        <v>44921</v>
      </c>
      <c r="K136" s="48">
        <v>148.0</v>
      </c>
      <c r="L136" s="48" t="s">
        <v>108</v>
      </c>
      <c r="M136" s="30" t="s">
        <v>91</v>
      </c>
      <c r="N136" s="48" t="s">
        <v>269</v>
      </c>
      <c r="O136" s="30" t="s">
        <v>89</v>
      </c>
      <c r="P136" s="48"/>
      <c r="Q136" s="164" t="s">
        <v>94</v>
      </c>
      <c r="R136" s="161">
        <f>IFERROR(VLOOKUP(Q136,'PRODUCT TABLE'!$A$2:$B$26,2,FALSE),"-")</f>
        <v>44011090</v>
      </c>
      <c r="S136" s="48">
        <v>7650.0</v>
      </c>
      <c r="T136" s="48">
        <v>6.7</v>
      </c>
      <c r="U136" s="164" t="s">
        <v>95</v>
      </c>
      <c r="V136" s="161">
        <f t="shared" si="1"/>
        <v>51255</v>
      </c>
      <c r="W136" s="186">
        <v>0.025</v>
      </c>
      <c r="X136" s="186">
        <v>0.025</v>
      </c>
      <c r="Y136" s="186">
        <v>0.0</v>
      </c>
      <c r="Z136" s="169">
        <f t="shared" si="2"/>
        <v>53818</v>
      </c>
      <c r="AA136" s="167">
        <f t="shared" si="3"/>
        <v>0.25</v>
      </c>
      <c r="AB136" s="161"/>
      <c r="AC136" s="161">
        <f t="shared" si="4"/>
        <v>51255</v>
      </c>
      <c r="AD136" s="161">
        <f t="shared" si="5"/>
        <v>1281.375</v>
      </c>
      <c r="AE136" s="161">
        <f t="shared" si="6"/>
        <v>1281.375</v>
      </c>
      <c r="AF136" s="167">
        <f t="shared" si="7"/>
        <v>0</v>
      </c>
      <c r="AG136" s="167">
        <f t="shared" si="8"/>
        <v>2562.75</v>
      </c>
      <c r="AH136" s="158">
        <f t="shared" si="9"/>
        <v>12</v>
      </c>
      <c r="AI136" s="158">
        <f t="shared" si="10"/>
        <v>2022</v>
      </c>
    </row>
    <row r="137" ht="12.75" customHeight="1">
      <c r="A137" s="48" t="s">
        <v>271</v>
      </c>
      <c r="B137" s="160" t="str">
        <f>iferror(VLOOKUP((LEFT(A137,6)),CUSTOMER_DETAILS,2,FALSE),"-")</f>
        <v>KRISHNA ENTERPRISES</v>
      </c>
      <c r="C137" s="161" t="s">
        <v>89</v>
      </c>
      <c r="D137" s="162">
        <v>44922.0</v>
      </c>
      <c r="E137" s="161" t="s">
        <v>89</v>
      </c>
      <c r="F137" s="30" t="s">
        <v>89</v>
      </c>
      <c r="G137" s="30" t="s">
        <v>89</v>
      </c>
      <c r="H137" s="30" t="s">
        <v>89</v>
      </c>
      <c r="I137" s="48" t="s">
        <v>108</v>
      </c>
      <c r="J137" s="174">
        <f t="shared" si="11"/>
        <v>44922</v>
      </c>
      <c r="K137" s="48">
        <v>149.0</v>
      </c>
      <c r="L137" s="48" t="s">
        <v>108</v>
      </c>
      <c r="M137" s="30" t="s">
        <v>91</v>
      </c>
      <c r="N137" s="48" t="s">
        <v>125</v>
      </c>
      <c r="O137" s="30" t="s">
        <v>89</v>
      </c>
      <c r="P137" s="48"/>
      <c r="Q137" s="164" t="s">
        <v>117</v>
      </c>
      <c r="R137" s="161">
        <f>IFERROR(VLOOKUP(Q137,'PRODUCT TABLE'!$A$2:$B$26,2,FALSE),"-")</f>
        <v>44011090</v>
      </c>
      <c r="S137" s="48">
        <v>10160.0</v>
      </c>
      <c r="T137" s="48">
        <v>11.5</v>
      </c>
      <c r="U137" s="164" t="s">
        <v>95</v>
      </c>
      <c r="V137" s="161">
        <f t="shared" si="1"/>
        <v>116840</v>
      </c>
      <c r="W137" s="186">
        <v>0.025</v>
      </c>
      <c r="X137" s="186">
        <v>0.025</v>
      </c>
      <c r="Y137" s="186">
        <v>0.0</v>
      </c>
      <c r="Z137" s="169">
        <f t="shared" si="2"/>
        <v>122682</v>
      </c>
      <c r="AA137" s="167">
        <f t="shared" si="3"/>
        <v>0</v>
      </c>
      <c r="AB137" s="161"/>
      <c r="AC137" s="161">
        <f t="shared" si="4"/>
        <v>116840</v>
      </c>
      <c r="AD137" s="161">
        <f t="shared" si="5"/>
        <v>2921</v>
      </c>
      <c r="AE137" s="161">
        <f t="shared" si="6"/>
        <v>2921</v>
      </c>
      <c r="AF137" s="167">
        <f t="shared" si="7"/>
        <v>0</v>
      </c>
      <c r="AG137" s="167">
        <f t="shared" si="8"/>
        <v>5842</v>
      </c>
      <c r="AH137" s="158">
        <f t="shared" si="9"/>
        <v>12</v>
      </c>
      <c r="AI137" s="158">
        <f t="shared" si="10"/>
        <v>2022</v>
      </c>
    </row>
    <row r="138" ht="12.75" customHeight="1">
      <c r="A138" s="48" t="s">
        <v>272</v>
      </c>
      <c r="B138" s="160" t="str">
        <f>iferror(VLOOKUP((LEFT(A138,6)),CUSTOMER_DETAILS,2,FALSE),"-")</f>
        <v>SHREE GAYATRI PACKAGING</v>
      </c>
      <c r="C138" s="161" t="s">
        <v>89</v>
      </c>
      <c r="D138" s="162">
        <v>44921.0</v>
      </c>
      <c r="E138" s="161" t="s">
        <v>89</v>
      </c>
      <c r="F138" s="30" t="s">
        <v>89</v>
      </c>
      <c r="G138" s="30" t="s">
        <v>89</v>
      </c>
      <c r="H138" s="30" t="s">
        <v>89</v>
      </c>
      <c r="I138" s="48" t="s">
        <v>108</v>
      </c>
      <c r="J138" s="174">
        <f t="shared" si="11"/>
        <v>44921</v>
      </c>
      <c r="K138" s="48">
        <v>150.0</v>
      </c>
      <c r="L138" s="48" t="s">
        <v>108</v>
      </c>
      <c r="M138" s="30" t="s">
        <v>91</v>
      </c>
      <c r="N138" s="48" t="s">
        <v>122</v>
      </c>
      <c r="O138" s="30" t="s">
        <v>89</v>
      </c>
      <c r="P138" s="48"/>
      <c r="Q138" s="164" t="s">
        <v>117</v>
      </c>
      <c r="R138" s="161">
        <f>IFERROR(VLOOKUP(Q138,'PRODUCT TABLE'!$A$2:$B$26,2,FALSE),"-")</f>
        <v>44011090</v>
      </c>
      <c r="S138" s="48">
        <v>1050.0</v>
      </c>
      <c r="T138" s="48">
        <v>13.0</v>
      </c>
      <c r="U138" s="164" t="s">
        <v>95</v>
      </c>
      <c r="V138" s="161">
        <f t="shared" si="1"/>
        <v>13650</v>
      </c>
      <c r="W138" s="186">
        <v>0.025</v>
      </c>
      <c r="X138" s="186">
        <v>0.025</v>
      </c>
      <c r="Y138" s="186">
        <v>0.0</v>
      </c>
      <c r="Z138" s="169">
        <f t="shared" si="2"/>
        <v>14332</v>
      </c>
      <c r="AA138" s="167">
        <f t="shared" si="3"/>
        <v>-0.5</v>
      </c>
      <c r="AB138" s="161"/>
      <c r="AC138" s="161">
        <f t="shared" si="4"/>
        <v>13650</v>
      </c>
      <c r="AD138" s="161">
        <f t="shared" si="5"/>
        <v>341.25</v>
      </c>
      <c r="AE138" s="161">
        <f t="shared" si="6"/>
        <v>341.25</v>
      </c>
      <c r="AF138" s="167">
        <f t="shared" si="7"/>
        <v>0</v>
      </c>
      <c r="AG138" s="167">
        <f t="shared" si="8"/>
        <v>682.5</v>
      </c>
      <c r="AH138" s="158">
        <f t="shared" si="9"/>
        <v>12</v>
      </c>
      <c r="AI138" s="158">
        <f t="shared" si="10"/>
        <v>2022</v>
      </c>
    </row>
    <row r="139" ht="12.75" customHeight="1">
      <c r="A139" s="48" t="s">
        <v>273</v>
      </c>
      <c r="B139" s="160" t="str">
        <f>iferror(VLOOKUP((LEFT(A139,6)),CUSTOMER_DETAILS,2,FALSE),"-")</f>
        <v>KRISHNA ENTERPRISES</v>
      </c>
      <c r="C139" s="161" t="s">
        <v>89</v>
      </c>
      <c r="D139" s="162">
        <v>44926.0</v>
      </c>
      <c r="E139" s="161" t="s">
        <v>89</v>
      </c>
      <c r="F139" s="30" t="s">
        <v>89</v>
      </c>
      <c r="G139" s="30" t="s">
        <v>89</v>
      </c>
      <c r="H139" s="30" t="s">
        <v>89</v>
      </c>
      <c r="I139" s="48" t="s">
        <v>108</v>
      </c>
      <c r="J139" s="174">
        <f t="shared" si="11"/>
        <v>44926</v>
      </c>
      <c r="K139" s="48">
        <v>151.0</v>
      </c>
      <c r="L139" s="48" t="s">
        <v>108</v>
      </c>
      <c r="M139" s="30" t="s">
        <v>91</v>
      </c>
      <c r="N139" s="48" t="s">
        <v>125</v>
      </c>
      <c r="O139" s="30" t="s">
        <v>89</v>
      </c>
      <c r="P139" s="48"/>
      <c r="Q139" s="164" t="s">
        <v>117</v>
      </c>
      <c r="R139" s="161">
        <f>IFERROR(VLOOKUP(Q139,'PRODUCT TABLE'!$A$2:$B$26,2,FALSE),"-")</f>
        <v>44011090</v>
      </c>
      <c r="S139" s="48">
        <v>10050.0</v>
      </c>
      <c r="T139" s="48">
        <v>11.5</v>
      </c>
      <c r="U139" s="164" t="s">
        <v>95</v>
      </c>
      <c r="V139" s="161">
        <f t="shared" si="1"/>
        <v>115575</v>
      </c>
      <c r="W139" s="186">
        <v>0.025</v>
      </c>
      <c r="X139" s="186">
        <v>0.025</v>
      </c>
      <c r="Y139" s="186">
        <v>0.0</v>
      </c>
      <c r="Z139" s="169">
        <f t="shared" si="2"/>
        <v>121354</v>
      </c>
      <c r="AA139" s="167">
        <f t="shared" si="3"/>
        <v>0.25</v>
      </c>
      <c r="AB139" s="161"/>
      <c r="AC139" s="161">
        <f t="shared" si="4"/>
        <v>115575</v>
      </c>
      <c r="AD139" s="161">
        <f t="shared" si="5"/>
        <v>2889.375</v>
      </c>
      <c r="AE139" s="161">
        <f t="shared" si="6"/>
        <v>2889.375</v>
      </c>
      <c r="AF139" s="167">
        <f t="shared" si="7"/>
        <v>0</v>
      </c>
      <c r="AG139" s="167">
        <f t="shared" si="8"/>
        <v>5778.75</v>
      </c>
      <c r="AH139" s="158">
        <f t="shared" si="9"/>
        <v>12</v>
      </c>
      <c r="AI139" s="158">
        <f t="shared" si="10"/>
        <v>2022</v>
      </c>
    </row>
    <row r="140" ht="12.75" customHeight="1">
      <c r="A140" s="48" t="s">
        <v>274</v>
      </c>
      <c r="B140" s="160" t="str">
        <f>iferror(VLOOKUP((LEFT(A140,6)),CUSTOMER_DETAILS,2,FALSE),"-")</f>
        <v>SHREE GAYATRI PACKAGING</v>
      </c>
      <c r="C140" s="161" t="s">
        <v>89</v>
      </c>
      <c r="D140" s="162">
        <v>44929.0</v>
      </c>
      <c r="E140" s="161" t="s">
        <v>89</v>
      </c>
      <c r="F140" s="30" t="s">
        <v>89</v>
      </c>
      <c r="G140" s="30" t="s">
        <v>89</v>
      </c>
      <c r="H140" s="30" t="s">
        <v>89</v>
      </c>
      <c r="I140" s="48" t="s">
        <v>108</v>
      </c>
      <c r="J140" s="174">
        <f t="shared" si="11"/>
        <v>44929</v>
      </c>
      <c r="K140" s="48">
        <v>152.0</v>
      </c>
      <c r="L140" s="48" t="s">
        <v>108</v>
      </c>
      <c r="M140" s="30" t="s">
        <v>91</v>
      </c>
      <c r="N140" s="48" t="s">
        <v>122</v>
      </c>
      <c r="O140" s="30" t="s">
        <v>89</v>
      </c>
      <c r="P140" s="48"/>
      <c r="Q140" s="164" t="s">
        <v>117</v>
      </c>
      <c r="R140" s="161">
        <f>IFERROR(VLOOKUP(Q140,'PRODUCT TABLE'!$A$2:$B$26,2,FALSE),"-")</f>
        <v>44011090</v>
      </c>
      <c r="S140" s="48">
        <v>2010.0</v>
      </c>
      <c r="T140" s="48">
        <v>13.0</v>
      </c>
      <c r="U140" s="164" t="s">
        <v>95</v>
      </c>
      <c r="V140" s="161">
        <f t="shared" si="1"/>
        <v>26130</v>
      </c>
      <c r="W140" s="186">
        <v>0.025</v>
      </c>
      <c r="X140" s="186">
        <v>0.025</v>
      </c>
      <c r="Y140" s="186">
        <v>0.0</v>
      </c>
      <c r="Z140" s="169">
        <f t="shared" si="2"/>
        <v>27436</v>
      </c>
      <c r="AA140" s="167">
        <f t="shared" si="3"/>
        <v>-0.5</v>
      </c>
      <c r="AB140" s="161"/>
      <c r="AC140" s="161">
        <f t="shared" si="4"/>
        <v>26130</v>
      </c>
      <c r="AD140" s="161">
        <f t="shared" si="5"/>
        <v>653.25</v>
      </c>
      <c r="AE140" s="161">
        <f t="shared" si="6"/>
        <v>653.25</v>
      </c>
      <c r="AF140" s="167">
        <f t="shared" si="7"/>
        <v>0</v>
      </c>
      <c r="AG140" s="167">
        <f t="shared" si="8"/>
        <v>1306.5</v>
      </c>
      <c r="AH140" s="158">
        <f t="shared" si="9"/>
        <v>1</v>
      </c>
      <c r="AI140" s="158">
        <f t="shared" si="10"/>
        <v>2023</v>
      </c>
    </row>
    <row r="141" ht="12.75" customHeight="1">
      <c r="A141" s="48" t="s">
        <v>275</v>
      </c>
      <c r="B141" s="160" t="str">
        <f>iferror(VLOOKUP((LEFT(A141,6)),CUSTOMER_DETAILS,2,FALSE),"-")</f>
        <v>SHREE BAIDYANATH AYUR BHAWAN PVT LTD</v>
      </c>
      <c r="C141" s="161" t="s">
        <v>89</v>
      </c>
      <c r="D141" s="162">
        <v>44930.0</v>
      </c>
      <c r="E141" s="161" t="s">
        <v>89</v>
      </c>
      <c r="F141" s="30" t="s">
        <v>89</v>
      </c>
      <c r="G141" s="30" t="s">
        <v>89</v>
      </c>
      <c r="H141" s="30" t="s">
        <v>89</v>
      </c>
      <c r="I141" s="48" t="s">
        <v>108</v>
      </c>
      <c r="J141" s="174">
        <f t="shared" si="11"/>
        <v>44930</v>
      </c>
      <c r="K141" s="48">
        <v>154.0</v>
      </c>
      <c r="L141" s="48" t="s">
        <v>108</v>
      </c>
      <c r="M141" s="30" t="s">
        <v>91</v>
      </c>
      <c r="N141" s="48" t="s">
        <v>263</v>
      </c>
      <c r="O141" s="30" t="s">
        <v>89</v>
      </c>
      <c r="P141" s="48"/>
      <c r="Q141" s="164" t="s">
        <v>94</v>
      </c>
      <c r="R141" s="161">
        <f>IFERROR(VLOOKUP(Q141,'PRODUCT TABLE'!$A$2:$B$26,2,FALSE),"-")</f>
        <v>44011090</v>
      </c>
      <c r="S141" s="48">
        <v>16600.0</v>
      </c>
      <c r="T141" s="48">
        <v>6.7</v>
      </c>
      <c r="U141" s="164" t="s">
        <v>95</v>
      </c>
      <c r="V141" s="161">
        <f t="shared" si="1"/>
        <v>111220</v>
      </c>
      <c r="W141" s="186">
        <v>0.025</v>
      </c>
      <c r="X141" s="186">
        <v>0.025</v>
      </c>
      <c r="Y141" s="168"/>
      <c r="Z141" s="169">
        <f t="shared" si="2"/>
        <v>116781</v>
      </c>
      <c r="AA141" s="167">
        <f t="shared" si="3"/>
        <v>0</v>
      </c>
      <c r="AB141" s="161"/>
      <c r="AC141" s="161">
        <f t="shared" si="4"/>
        <v>111220</v>
      </c>
      <c r="AD141" s="161">
        <f t="shared" si="5"/>
        <v>2780.5</v>
      </c>
      <c r="AE141" s="161">
        <f t="shared" si="6"/>
        <v>2780.5</v>
      </c>
      <c r="AF141" s="167">
        <f t="shared" si="7"/>
        <v>0</v>
      </c>
      <c r="AG141" s="167">
        <f t="shared" si="8"/>
        <v>5561</v>
      </c>
      <c r="AH141" s="158">
        <f t="shared" si="9"/>
        <v>1</v>
      </c>
      <c r="AI141" s="158">
        <f t="shared" si="10"/>
        <v>2023</v>
      </c>
    </row>
    <row r="142" ht="12.75" customHeight="1">
      <c r="A142" s="48" t="s">
        <v>276</v>
      </c>
      <c r="B142" s="160" t="str">
        <f>iferror(VLOOKUP((LEFT(A142,6)),CUSTOMER_DETAILS,2,FALSE),"-")</f>
        <v>SHREE BAIDYANATH AYUR BHAWAN PVT LTD</v>
      </c>
      <c r="C142" s="161" t="s">
        <v>89</v>
      </c>
      <c r="D142" s="162">
        <v>44931.0</v>
      </c>
      <c r="E142" s="161" t="s">
        <v>89</v>
      </c>
      <c r="F142" s="30" t="s">
        <v>89</v>
      </c>
      <c r="G142" s="30" t="s">
        <v>89</v>
      </c>
      <c r="H142" s="30" t="s">
        <v>89</v>
      </c>
      <c r="I142" s="48" t="s">
        <v>108</v>
      </c>
      <c r="J142" s="174">
        <f t="shared" si="11"/>
        <v>44931</v>
      </c>
      <c r="K142" s="48">
        <v>155.0</v>
      </c>
      <c r="L142" s="48" t="s">
        <v>108</v>
      </c>
      <c r="M142" s="30" t="s">
        <v>91</v>
      </c>
      <c r="N142" s="48" t="s">
        <v>263</v>
      </c>
      <c r="O142" s="30" t="s">
        <v>89</v>
      </c>
      <c r="P142" s="48"/>
      <c r="Q142" s="164" t="s">
        <v>94</v>
      </c>
      <c r="R142" s="161">
        <f>IFERROR(VLOOKUP(Q142,'PRODUCT TABLE'!$A$2:$B$26,2,FALSE),"-")</f>
        <v>44011090</v>
      </c>
      <c r="S142" s="48">
        <v>9725.0</v>
      </c>
      <c r="T142" s="48">
        <v>6.7</v>
      </c>
      <c r="U142" s="164" t="s">
        <v>95</v>
      </c>
      <c r="V142" s="161">
        <f t="shared" si="1"/>
        <v>65157.5</v>
      </c>
      <c r="W142" s="186">
        <v>0.025</v>
      </c>
      <c r="X142" s="186">
        <v>0.025</v>
      </c>
      <c r="Y142" s="168"/>
      <c r="Z142" s="169">
        <f t="shared" si="2"/>
        <v>68415</v>
      </c>
      <c r="AA142" s="167">
        <f t="shared" si="3"/>
        <v>-0.375</v>
      </c>
      <c r="AB142" s="161"/>
      <c r="AC142" s="161">
        <f t="shared" si="4"/>
        <v>65157.5</v>
      </c>
      <c r="AD142" s="161">
        <f t="shared" si="5"/>
        <v>1628.9375</v>
      </c>
      <c r="AE142" s="161">
        <f t="shared" si="6"/>
        <v>1628.9375</v>
      </c>
      <c r="AF142" s="167">
        <f t="shared" si="7"/>
        <v>0</v>
      </c>
      <c r="AG142" s="167">
        <f t="shared" si="8"/>
        <v>3257.875</v>
      </c>
      <c r="AH142" s="158">
        <f t="shared" si="9"/>
        <v>1</v>
      </c>
      <c r="AI142" s="158">
        <f t="shared" si="10"/>
        <v>2023</v>
      </c>
    </row>
    <row r="143" ht="12.75" customHeight="1">
      <c r="A143" s="48" t="s">
        <v>277</v>
      </c>
      <c r="B143" s="160" t="str">
        <f>iferror(VLOOKUP((LEFT(A143,6)),CUSTOMER_DETAILS,2,FALSE),"-")</f>
        <v>KRISHNA ENTERPRISES</v>
      </c>
      <c r="C143" s="161" t="s">
        <v>89</v>
      </c>
      <c r="D143" s="162">
        <v>44931.0</v>
      </c>
      <c r="E143" s="161" t="s">
        <v>89</v>
      </c>
      <c r="F143" s="30" t="s">
        <v>89</v>
      </c>
      <c r="G143" s="30" t="s">
        <v>89</v>
      </c>
      <c r="H143" s="30" t="s">
        <v>89</v>
      </c>
      <c r="I143" s="48" t="s">
        <v>108</v>
      </c>
      <c r="J143" s="174">
        <f t="shared" si="11"/>
        <v>44931</v>
      </c>
      <c r="K143" s="48">
        <v>156.0</v>
      </c>
      <c r="L143" s="48" t="s">
        <v>108</v>
      </c>
      <c r="M143" s="30" t="s">
        <v>91</v>
      </c>
      <c r="N143" s="48" t="s">
        <v>125</v>
      </c>
      <c r="O143" s="30" t="s">
        <v>89</v>
      </c>
      <c r="P143" s="48"/>
      <c r="Q143" s="164" t="s">
        <v>117</v>
      </c>
      <c r="R143" s="161">
        <f>IFERROR(VLOOKUP(Q143,'PRODUCT TABLE'!$A$2:$B$26,2,FALSE),"-")</f>
        <v>44011090</v>
      </c>
      <c r="S143" s="48">
        <v>7580.0</v>
      </c>
      <c r="T143" s="48">
        <v>11.5</v>
      </c>
      <c r="U143" s="164" t="s">
        <v>95</v>
      </c>
      <c r="V143" s="161">
        <f t="shared" si="1"/>
        <v>87170</v>
      </c>
      <c r="W143" s="186">
        <v>0.025</v>
      </c>
      <c r="X143" s="186">
        <v>0.025</v>
      </c>
      <c r="Y143" s="168"/>
      <c r="Z143" s="169">
        <f t="shared" si="2"/>
        <v>91528</v>
      </c>
      <c r="AA143" s="167">
        <f t="shared" si="3"/>
        <v>-0.5</v>
      </c>
      <c r="AB143" s="161"/>
      <c r="AC143" s="161">
        <f t="shared" si="4"/>
        <v>87170</v>
      </c>
      <c r="AD143" s="161">
        <f t="shared" si="5"/>
        <v>2179.25</v>
      </c>
      <c r="AE143" s="161">
        <f t="shared" si="6"/>
        <v>2179.25</v>
      </c>
      <c r="AF143" s="167">
        <f t="shared" si="7"/>
        <v>0</v>
      </c>
      <c r="AG143" s="167">
        <f t="shared" si="8"/>
        <v>4358.5</v>
      </c>
      <c r="AH143" s="158">
        <f t="shared" si="9"/>
        <v>1</v>
      </c>
      <c r="AI143" s="158">
        <f t="shared" si="10"/>
        <v>2023</v>
      </c>
    </row>
    <row r="144" ht="12.75" customHeight="1">
      <c r="A144" s="48" t="s">
        <v>278</v>
      </c>
      <c r="B144" s="160" t="str">
        <f>iferror(VLOOKUP((LEFT(A144,6)),CUSTOMER_DETAILS,2,FALSE),"-")</f>
        <v>ACI CLEAN ENERGY PVT LTD</v>
      </c>
      <c r="C144" s="161" t="s">
        <v>89</v>
      </c>
      <c r="D144" s="162">
        <v>44931.0</v>
      </c>
      <c r="E144" s="161" t="s">
        <v>89</v>
      </c>
      <c r="F144" s="30" t="s">
        <v>89</v>
      </c>
      <c r="G144" s="30" t="s">
        <v>89</v>
      </c>
      <c r="H144" s="30" t="s">
        <v>89</v>
      </c>
      <c r="I144" s="48" t="s">
        <v>108</v>
      </c>
      <c r="J144" s="174">
        <f t="shared" si="11"/>
        <v>44931</v>
      </c>
      <c r="K144" s="48">
        <v>158.0</v>
      </c>
      <c r="L144" s="48" t="s">
        <v>108</v>
      </c>
      <c r="M144" s="30" t="s">
        <v>91</v>
      </c>
      <c r="N144" s="48" t="s">
        <v>135</v>
      </c>
      <c r="O144" s="30" t="s">
        <v>89</v>
      </c>
      <c r="P144" s="48"/>
      <c r="Q144" s="164" t="s">
        <v>151</v>
      </c>
      <c r="R144" s="161">
        <f>IFERROR(VLOOKUP(Q144,'PRODUCT TABLE'!$A$2:$B$26,2,FALSE),"-")</f>
        <v>23069026</v>
      </c>
      <c r="S144" s="48">
        <v>5060.0</v>
      </c>
      <c r="T144" s="48">
        <v>16.8</v>
      </c>
      <c r="U144" s="164" t="s">
        <v>95</v>
      </c>
      <c r="V144" s="161">
        <f t="shared" si="1"/>
        <v>85008</v>
      </c>
      <c r="W144" s="186">
        <v>0.025</v>
      </c>
      <c r="X144" s="186">
        <v>0.025</v>
      </c>
      <c r="Y144" s="168"/>
      <c r="Z144" s="169">
        <f t="shared" si="2"/>
        <v>89258</v>
      </c>
      <c r="AA144" s="167">
        <f t="shared" si="3"/>
        <v>-0.4</v>
      </c>
      <c r="AB144" s="161"/>
      <c r="AC144" s="161">
        <f t="shared" si="4"/>
        <v>85008</v>
      </c>
      <c r="AD144" s="161">
        <f t="shared" si="5"/>
        <v>2125.2</v>
      </c>
      <c r="AE144" s="161">
        <f t="shared" si="6"/>
        <v>2125.2</v>
      </c>
      <c r="AF144" s="167">
        <f t="shared" si="7"/>
        <v>0</v>
      </c>
      <c r="AG144" s="167">
        <f t="shared" si="8"/>
        <v>4250.4</v>
      </c>
      <c r="AH144" s="158">
        <f t="shared" si="9"/>
        <v>1</v>
      </c>
      <c r="AI144" s="158">
        <f t="shared" si="10"/>
        <v>2023</v>
      </c>
    </row>
    <row r="145" ht="12.75" customHeight="1">
      <c r="A145" s="48" t="s">
        <v>279</v>
      </c>
      <c r="B145" s="160" t="str">
        <f>iferror(VLOOKUP((LEFT(A145,6)),CUSTOMER_DETAILS,2,FALSE),"-")</f>
        <v>SHREE BAIDYANATH AYUR BHAWAN PVT LTD</v>
      </c>
      <c r="C145" s="161" t="s">
        <v>89</v>
      </c>
      <c r="D145" s="162">
        <v>44939.0</v>
      </c>
      <c r="E145" s="161" t="s">
        <v>89</v>
      </c>
      <c r="F145" s="30" t="s">
        <v>89</v>
      </c>
      <c r="G145" s="30" t="s">
        <v>89</v>
      </c>
      <c r="H145" s="30" t="s">
        <v>89</v>
      </c>
      <c r="I145" s="48" t="s">
        <v>108</v>
      </c>
      <c r="J145" s="174">
        <f t="shared" si="11"/>
        <v>44939</v>
      </c>
      <c r="K145" s="48">
        <v>159.0</v>
      </c>
      <c r="L145" s="48" t="s">
        <v>108</v>
      </c>
      <c r="M145" s="30" t="s">
        <v>91</v>
      </c>
      <c r="N145" s="48" t="s">
        <v>263</v>
      </c>
      <c r="O145" s="30" t="s">
        <v>89</v>
      </c>
      <c r="P145" s="48"/>
      <c r="Q145" s="164" t="s">
        <v>94</v>
      </c>
      <c r="R145" s="161">
        <f>IFERROR(VLOOKUP(Q145,'PRODUCT TABLE'!$A$2:$B$26,2,FALSE),"-")</f>
        <v>44011090</v>
      </c>
      <c r="S145" s="48">
        <v>10725.0</v>
      </c>
      <c r="T145" s="48">
        <v>6.7</v>
      </c>
      <c r="U145" s="164" t="s">
        <v>95</v>
      </c>
      <c r="V145" s="161">
        <f t="shared" si="1"/>
        <v>71857.5</v>
      </c>
      <c r="W145" s="186">
        <v>0.025</v>
      </c>
      <c r="X145" s="186">
        <v>0.025</v>
      </c>
      <c r="Y145" s="168"/>
      <c r="Z145" s="169">
        <f t="shared" si="2"/>
        <v>75450</v>
      </c>
      <c r="AA145" s="167">
        <f t="shared" si="3"/>
        <v>-0.375</v>
      </c>
      <c r="AB145" s="161"/>
      <c r="AC145" s="161">
        <f t="shared" si="4"/>
        <v>71857.5</v>
      </c>
      <c r="AD145" s="161">
        <f t="shared" si="5"/>
        <v>1796.4375</v>
      </c>
      <c r="AE145" s="161">
        <f t="shared" si="6"/>
        <v>1796.4375</v>
      </c>
      <c r="AF145" s="167">
        <f t="shared" si="7"/>
        <v>0</v>
      </c>
      <c r="AG145" s="167">
        <f t="shared" si="8"/>
        <v>3592.875</v>
      </c>
      <c r="AH145" s="158">
        <f t="shared" si="9"/>
        <v>1</v>
      </c>
      <c r="AI145" s="158">
        <f t="shared" si="10"/>
        <v>2023</v>
      </c>
    </row>
    <row r="146" ht="12.75" customHeight="1">
      <c r="A146" s="48" t="s">
        <v>280</v>
      </c>
      <c r="B146" s="160" t="str">
        <f>iferror(VLOOKUP((LEFT(A146,6)),CUSTOMER_DETAILS,2,FALSE),"-")</f>
        <v>SHREE BAIDYANATH AYUR BHAWAN PVT LTD</v>
      </c>
      <c r="C146" s="161" t="s">
        <v>89</v>
      </c>
      <c r="D146" s="162">
        <v>44941.0</v>
      </c>
      <c r="E146" s="161" t="s">
        <v>89</v>
      </c>
      <c r="F146" s="30" t="s">
        <v>89</v>
      </c>
      <c r="G146" s="30" t="s">
        <v>89</v>
      </c>
      <c r="H146" s="30" t="s">
        <v>89</v>
      </c>
      <c r="I146" s="48" t="s">
        <v>108</v>
      </c>
      <c r="J146" s="174">
        <f t="shared" si="11"/>
        <v>44941</v>
      </c>
      <c r="K146" s="48">
        <v>160.0</v>
      </c>
      <c r="L146" s="48" t="s">
        <v>108</v>
      </c>
      <c r="M146" s="30" t="s">
        <v>91</v>
      </c>
      <c r="N146" s="48" t="s">
        <v>263</v>
      </c>
      <c r="O146" s="30" t="s">
        <v>89</v>
      </c>
      <c r="P146" s="48"/>
      <c r="Q146" s="164" t="s">
        <v>94</v>
      </c>
      <c r="R146" s="161">
        <f>IFERROR(VLOOKUP(Q146,'PRODUCT TABLE'!$A$2:$B$26,2,FALSE),"-")</f>
        <v>44011090</v>
      </c>
      <c r="S146" s="48">
        <v>10195.0</v>
      </c>
      <c r="T146" s="48">
        <v>6.7</v>
      </c>
      <c r="U146" s="164" t="s">
        <v>95</v>
      </c>
      <c r="V146" s="161">
        <f t="shared" si="1"/>
        <v>68306.5</v>
      </c>
      <c r="W146" s="186">
        <v>0.025</v>
      </c>
      <c r="X146" s="186">
        <v>0.025</v>
      </c>
      <c r="Y146" s="168"/>
      <c r="Z146" s="169">
        <f t="shared" si="2"/>
        <v>71722</v>
      </c>
      <c r="AA146" s="167">
        <f t="shared" si="3"/>
        <v>0.175</v>
      </c>
      <c r="AB146" s="161"/>
      <c r="AC146" s="161">
        <f t="shared" si="4"/>
        <v>68306.5</v>
      </c>
      <c r="AD146" s="161">
        <f t="shared" si="5"/>
        <v>1707.6625</v>
      </c>
      <c r="AE146" s="161">
        <f t="shared" si="6"/>
        <v>1707.6625</v>
      </c>
      <c r="AF146" s="167">
        <f t="shared" si="7"/>
        <v>0</v>
      </c>
      <c r="AG146" s="167">
        <f t="shared" si="8"/>
        <v>3415.325</v>
      </c>
      <c r="AH146" s="158">
        <f t="shared" si="9"/>
        <v>1</v>
      </c>
      <c r="AI146" s="158">
        <f t="shared" si="10"/>
        <v>2023</v>
      </c>
    </row>
    <row r="147" ht="12.75" customHeight="1">
      <c r="A147" s="48" t="s">
        <v>281</v>
      </c>
      <c r="B147" s="160" t="str">
        <f>iferror(VLOOKUP((LEFT(A147,6)),CUSTOMER_DETAILS,2,FALSE),"-")</f>
        <v>SHREE GAYATRI PACKAGING</v>
      </c>
      <c r="C147" s="161" t="s">
        <v>89</v>
      </c>
      <c r="D147" s="162">
        <v>44940.0</v>
      </c>
      <c r="E147" s="161" t="s">
        <v>89</v>
      </c>
      <c r="F147" s="30" t="s">
        <v>89</v>
      </c>
      <c r="G147" s="30" t="s">
        <v>89</v>
      </c>
      <c r="H147" s="30" t="s">
        <v>89</v>
      </c>
      <c r="I147" s="48" t="s">
        <v>108</v>
      </c>
      <c r="J147" s="174">
        <f t="shared" si="11"/>
        <v>44940</v>
      </c>
      <c r="K147" s="48">
        <v>161.0</v>
      </c>
      <c r="L147" s="48" t="s">
        <v>108</v>
      </c>
      <c r="M147" s="30" t="s">
        <v>91</v>
      </c>
      <c r="N147" s="48" t="s">
        <v>122</v>
      </c>
      <c r="O147" s="30" t="s">
        <v>89</v>
      </c>
      <c r="P147" s="48"/>
      <c r="Q147" s="164" t="s">
        <v>117</v>
      </c>
      <c r="R147" s="161">
        <f>IFERROR(VLOOKUP(Q147,'PRODUCT TABLE'!$A$2:$B$26,2,FALSE),"-")</f>
        <v>44011090</v>
      </c>
      <c r="S147" s="48">
        <v>2010.0</v>
      </c>
      <c r="T147" s="48">
        <v>13.0</v>
      </c>
      <c r="U147" s="164" t="s">
        <v>95</v>
      </c>
      <c r="V147" s="161">
        <f t="shared" si="1"/>
        <v>26130</v>
      </c>
      <c r="W147" s="186">
        <v>0.025</v>
      </c>
      <c r="X147" s="186">
        <v>0.025</v>
      </c>
      <c r="Y147" s="168"/>
      <c r="Z147" s="169">
        <f t="shared" si="2"/>
        <v>27436</v>
      </c>
      <c r="AA147" s="167">
        <f t="shared" si="3"/>
        <v>-0.5</v>
      </c>
      <c r="AB147" s="161"/>
      <c r="AC147" s="161">
        <f t="shared" si="4"/>
        <v>26130</v>
      </c>
      <c r="AD147" s="161">
        <f t="shared" si="5"/>
        <v>653.25</v>
      </c>
      <c r="AE147" s="161">
        <f t="shared" si="6"/>
        <v>653.25</v>
      </c>
      <c r="AF147" s="167">
        <f t="shared" si="7"/>
        <v>0</v>
      </c>
      <c r="AG147" s="167">
        <f t="shared" si="8"/>
        <v>1306.5</v>
      </c>
      <c r="AH147" s="158">
        <f t="shared" si="9"/>
        <v>1</v>
      </c>
      <c r="AI147" s="158">
        <f t="shared" si="10"/>
        <v>2023</v>
      </c>
    </row>
    <row r="148" ht="12.75" customHeight="1">
      <c r="A148" s="48" t="s">
        <v>282</v>
      </c>
      <c r="B148" s="160" t="str">
        <f>iferror(VLOOKUP((LEFT(A148,6)),CUSTOMER_DETAILS,2,FALSE),"-")</f>
        <v>ASIAN GLOBAL EXIM</v>
      </c>
      <c r="C148" s="161" t="s">
        <v>89</v>
      </c>
      <c r="D148" s="162">
        <v>44946.0</v>
      </c>
      <c r="E148" s="161" t="s">
        <v>89</v>
      </c>
      <c r="F148" s="30" t="s">
        <v>89</v>
      </c>
      <c r="G148" s="30" t="s">
        <v>89</v>
      </c>
      <c r="H148" s="30" t="s">
        <v>89</v>
      </c>
      <c r="I148" s="48" t="s">
        <v>108</v>
      </c>
      <c r="J148" s="174">
        <f t="shared" si="11"/>
        <v>44946</v>
      </c>
      <c r="K148" s="48">
        <v>162.0</v>
      </c>
      <c r="L148" s="48" t="s">
        <v>108</v>
      </c>
      <c r="M148" s="30" t="s">
        <v>91</v>
      </c>
      <c r="N148" s="48" t="s">
        <v>135</v>
      </c>
      <c r="O148" s="30" t="s">
        <v>89</v>
      </c>
      <c r="P148" s="48"/>
      <c r="Q148" s="164" t="s">
        <v>117</v>
      </c>
      <c r="R148" s="161">
        <f>IFERROR(VLOOKUP(Q148,'PRODUCT TABLE'!$A$2:$B$26,2,FALSE),"-")</f>
        <v>44011090</v>
      </c>
      <c r="S148" s="48">
        <v>10000.0</v>
      </c>
      <c r="T148" s="48">
        <v>12.0</v>
      </c>
      <c r="U148" s="164" t="s">
        <v>95</v>
      </c>
      <c r="V148" s="161">
        <f t="shared" si="1"/>
        <v>120000</v>
      </c>
      <c r="W148" s="186">
        <v>0.025</v>
      </c>
      <c r="X148" s="186">
        <v>0.025</v>
      </c>
      <c r="Y148" s="168"/>
      <c r="Z148" s="169">
        <f t="shared" si="2"/>
        <v>126000</v>
      </c>
      <c r="AA148" s="167">
        <f t="shared" si="3"/>
        <v>0</v>
      </c>
      <c r="AB148" s="161"/>
      <c r="AC148" s="161">
        <f t="shared" si="4"/>
        <v>120000</v>
      </c>
      <c r="AD148" s="161">
        <f t="shared" si="5"/>
        <v>3000</v>
      </c>
      <c r="AE148" s="161">
        <f t="shared" si="6"/>
        <v>3000</v>
      </c>
      <c r="AF148" s="167">
        <f t="shared" si="7"/>
        <v>0</v>
      </c>
      <c r="AG148" s="167">
        <f t="shared" si="8"/>
        <v>6000</v>
      </c>
      <c r="AH148" s="158">
        <f t="shared" si="9"/>
        <v>1</v>
      </c>
      <c r="AI148" s="158">
        <f t="shared" si="10"/>
        <v>2023</v>
      </c>
    </row>
    <row r="149" ht="12.75" customHeight="1">
      <c r="A149" s="48" t="s">
        <v>283</v>
      </c>
      <c r="B149" s="160" t="str">
        <f>iferror(VLOOKUP((LEFT(A149,6)),CUSTOMER_DETAILS,2,FALSE),"-")</f>
        <v>SHREE BAIDYANATH AYUR BHAWAN PVT LTD</v>
      </c>
      <c r="C149" s="161" t="s">
        <v>89</v>
      </c>
      <c r="D149" s="162">
        <v>44949.0</v>
      </c>
      <c r="E149" s="161" t="s">
        <v>89</v>
      </c>
      <c r="F149" s="30" t="s">
        <v>89</v>
      </c>
      <c r="G149" s="30" t="s">
        <v>89</v>
      </c>
      <c r="H149" s="30" t="s">
        <v>89</v>
      </c>
      <c r="I149" s="48" t="s">
        <v>108</v>
      </c>
      <c r="J149" s="174">
        <f t="shared" si="11"/>
        <v>44949</v>
      </c>
      <c r="K149" s="48">
        <v>163.0</v>
      </c>
      <c r="L149" s="48" t="s">
        <v>108</v>
      </c>
      <c r="M149" s="30" t="s">
        <v>91</v>
      </c>
      <c r="N149" s="48" t="s">
        <v>263</v>
      </c>
      <c r="O149" s="30" t="s">
        <v>89</v>
      </c>
      <c r="P149" s="48"/>
      <c r="Q149" s="164" t="s">
        <v>94</v>
      </c>
      <c r="R149" s="161">
        <f>IFERROR(VLOOKUP(Q149,'PRODUCT TABLE'!$A$2:$B$26,2,FALSE),"-")</f>
        <v>44011090</v>
      </c>
      <c r="S149" s="48">
        <v>22640.0</v>
      </c>
      <c r="T149" s="48">
        <v>6.7</v>
      </c>
      <c r="U149" s="164" t="s">
        <v>95</v>
      </c>
      <c r="V149" s="161">
        <f t="shared" si="1"/>
        <v>151688</v>
      </c>
      <c r="W149" s="186">
        <v>0.025</v>
      </c>
      <c r="X149" s="186">
        <v>0.025</v>
      </c>
      <c r="Y149" s="168"/>
      <c r="Z149" s="169">
        <f t="shared" si="2"/>
        <v>159272</v>
      </c>
      <c r="AA149" s="167">
        <f t="shared" si="3"/>
        <v>-0.4</v>
      </c>
      <c r="AB149" s="161"/>
      <c r="AC149" s="161">
        <f t="shared" si="4"/>
        <v>151688</v>
      </c>
      <c r="AD149" s="161">
        <f t="shared" si="5"/>
        <v>3792.2</v>
      </c>
      <c r="AE149" s="161">
        <f t="shared" si="6"/>
        <v>3792.2</v>
      </c>
      <c r="AF149" s="167">
        <f t="shared" si="7"/>
        <v>0</v>
      </c>
      <c r="AG149" s="167">
        <f t="shared" si="8"/>
        <v>7584.4</v>
      </c>
      <c r="AH149" s="158">
        <f t="shared" si="9"/>
        <v>1</v>
      </c>
      <c r="AI149" s="158">
        <f t="shared" si="10"/>
        <v>2023</v>
      </c>
    </row>
    <row r="150" ht="12.75" customHeight="1">
      <c r="A150" s="48" t="s">
        <v>284</v>
      </c>
      <c r="B150" s="160" t="str">
        <f>iferror(VLOOKUP((LEFT(A150,6)),CUSTOMER_DETAILS,2,FALSE),"-")</f>
        <v>SHREE GAYATRI PACKAGING</v>
      </c>
      <c r="C150" s="161" t="s">
        <v>89</v>
      </c>
      <c r="D150" s="162">
        <v>44949.0</v>
      </c>
      <c r="E150" s="161" t="s">
        <v>89</v>
      </c>
      <c r="F150" s="30" t="s">
        <v>89</v>
      </c>
      <c r="G150" s="30" t="s">
        <v>89</v>
      </c>
      <c r="H150" s="30" t="s">
        <v>89</v>
      </c>
      <c r="I150" s="48" t="s">
        <v>108</v>
      </c>
      <c r="J150" s="174">
        <f t="shared" si="11"/>
        <v>44949</v>
      </c>
      <c r="K150" s="48">
        <v>164.0</v>
      </c>
      <c r="L150" s="48" t="s">
        <v>108</v>
      </c>
      <c r="M150" s="30" t="s">
        <v>91</v>
      </c>
      <c r="N150" s="48" t="s">
        <v>122</v>
      </c>
      <c r="O150" s="30" t="s">
        <v>89</v>
      </c>
      <c r="P150" s="48"/>
      <c r="Q150" s="164" t="s">
        <v>117</v>
      </c>
      <c r="R150" s="161">
        <f>IFERROR(VLOOKUP(Q150,'PRODUCT TABLE'!$A$2:$B$26,2,FALSE),"-")</f>
        <v>44011090</v>
      </c>
      <c r="S150" s="48">
        <v>1020.0</v>
      </c>
      <c r="T150" s="48">
        <v>13.0</v>
      </c>
      <c r="U150" s="164" t="s">
        <v>95</v>
      </c>
      <c r="V150" s="161">
        <f t="shared" si="1"/>
        <v>13260</v>
      </c>
      <c r="W150" s="186">
        <v>0.025</v>
      </c>
      <c r="X150" s="186">
        <v>0.025</v>
      </c>
      <c r="Y150" s="168"/>
      <c r="Z150" s="169">
        <f t="shared" si="2"/>
        <v>13923</v>
      </c>
      <c r="AA150" s="167">
        <f t="shared" si="3"/>
        <v>0</v>
      </c>
      <c r="AB150" s="161"/>
      <c r="AC150" s="161">
        <f t="shared" si="4"/>
        <v>13260</v>
      </c>
      <c r="AD150" s="161">
        <f t="shared" si="5"/>
        <v>331.5</v>
      </c>
      <c r="AE150" s="161">
        <f t="shared" si="6"/>
        <v>331.5</v>
      </c>
      <c r="AF150" s="167">
        <f t="shared" si="7"/>
        <v>0</v>
      </c>
      <c r="AG150" s="167">
        <f t="shared" si="8"/>
        <v>663</v>
      </c>
      <c r="AH150" s="158">
        <f t="shared" si="9"/>
        <v>1</v>
      </c>
      <c r="AI150" s="158">
        <f t="shared" si="10"/>
        <v>2023</v>
      </c>
    </row>
    <row r="151" ht="12.75" customHeight="1">
      <c r="A151" s="48" t="s">
        <v>285</v>
      </c>
      <c r="B151" s="160" t="str">
        <f>iferror(VLOOKUP((LEFT(A151,6)),CUSTOMER_DETAILS,2,FALSE),"-")</f>
        <v>KRISHNA ENTERPRISES</v>
      </c>
      <c r="C151" s="161" t="s">
        <v>89</v>
      </c>
      <c r="D151" s="162">
        <v>44953.0</v>
      </c>
      <c r="E151" s="161" t="s">
        <v>89</v>
      </c>
      <c r="F151" s="30" t="s">
        <v>89</v>
      </c>
      <c r="G151" s="30" t="s">
        <v>89</v>
      </c>
      <c r="H151" s="30" t="s">
        <v>89</v>
      </c>
      <c r="I151" s="48" t="s">
        <v>108</v>
      </c>
      <c r="J151" s="174">
        <f t="shared" si="11"/>
        <v>44953</v>
      </c>
      <c r="K151" s="48">
        <v>165.0</v>
      </c>
      <c r="L151" s="48" t="s">
        <v>108</v>
      </c>
      <c r="M151" s="30" t="s">
        <v>91</v>
      </c>
      <c r="N151" s="48" t="s">
        <v>125</v>
      </c>
      <c r="O151" s="30" t="s">
        <v>89</v>
      </c>
      <c r="P151" s="48"/>
      <c r="Q151" s="164" t="s">
        <v>117</v>
      </c>
      <c r="R151" s="161">
        <f>IFERROR(VLOOKUP(Q151,'PRODUCT TABLE'!$A$2:$B$26,2,FALSE),"-")</f>
        <v>44011090</v>
      </c>
      <c r="S151" s="48">
        <v>10040.0</v>
      </c>
      <c r="T151" s="48">
        <v>11.5</v>
      </c>
      <c r="U151" s="164" t="s">
        <v>95</v>
      </c>
      <c r="V151" s="161">
        <f t="shared" si="1"/>
        <v>115460</v>
      </c>
      <c r="W151" s="186">
        <v>0.025</v>
      </c>
      <c r="X151" s="186">
        <v>0.025</v>
      </c>
      <c r="Y151" s="168"/>
      <c r="Z151" s="169">
        <f t="shared" si="2"/>
        <v>121233</v>
      </c>
      <c r="AA151" s="167">
        <f t="shared" si="3"/>
        <v>0</v>
      </c>
      <c r="AB151" s="161"/>
      <c r="AC151" s="161">
        <f t="shared" si="4"/>
        <v>115460</v>
      </c>
      <c r="AD151" s="161">
        <f t="shared" si="5"/>
        <v>2886.5</v>
      </c>
      <c r="AE151" s="161">
        <f t="shared" si="6"/>
        <v>2886.5</v>
      </c>
      <c r="AF151" s="167">
        <f t="shared" si="7"/>
        <v>0</v>
      </c>
      <c r="AG151" s="167">
        <f t="shared" si="8"/>
        <v>5773</v>
      </c>
      <c r="AH151" s="158">
        <f t="shared" si="9"/>
        <v>1</v>
      </c>
      <c r="AI151" s="158">
        <f t="shared" si="10"/>
        <v>2023</v>
      </c>
    </row>
    <row r="152" ht="12.75" customHeight="1">
      <c r="A152" s="48" t="s">
        <v>286</v>
      </c>
      <c r="B152" s="160" t="str">
        <f>iferror(VLOOKUP((LEFT(A152,6)),CUSTOMER_DETAILS,2,FALSE),"-")</f>
        <v>SHREE GAYATRI PACKAGING</v>
      </c>
      <c r="C152" s="161" t="s">
        <v>89</v>
      </c>
      <c r="D152" s="162">
        <v>44955.0</v>
      </c>
      <c r="E152" s="161" t="s">
        <v>89</v>
      </c>
      <c r="F152" s="30" t="s">
        <v>89</v>
      </c>
      <c r="G152" s="30" t="s">
        <v>89</v>
      </c>
      <c r="H152" s="30" t="s">
        <v>89</v>
      </c>
      <c r="I152" s="48" t="s">
        <v>108</v>
      </c>
      <c r="J152" s="174">
        <f t="shared" si="11"/>
        <v>44955</v>
      </c>
      <c r="K152" s="48">
        <v>166.0</v>
      </c>
      <c r="L152" s="48" t="s">
        <v>108</v>
      </c>
      <c r="M152" s="30" t="s">
        <v>91</v>
      </c>
      <c r="N152" s="48" t="s">
        <v>122</v>
      </c>
      <c r="O152" s="30" t="s">
        <v>89</v>
      </c>
      <c r="P152" s="48"/>
      <c r="Q152" s="164" t="s">
        <v>117</v>
      </c>
      <c r="R152" s="161">
        <f>IFERROR(VLOOKUP(Q152,'PRODUCT TABLE'!$A$2:$B$26,2,FALSE),"-")</f>
        <v>44011090</v>
      </c>
      <c r="S152" s="48">
        <v>3060.0</v>
      </c>
      <c r="T152" s="48">
        <v>13.0</v>
      </c>
      <c r="U152" s="164" t="s">
        <v>95</v>
      </c>
      <c r="V152" s="161">
        <f t="shared" si="1"/>
        <v>39780</v>
      </c>
      <c r="W152" s="186">
        <v>0.025</v>
      </c>
      <c r="X152" s="186">
        <v>0.025</v>
      </c>
      <c r="Y152" s="168"/>
      <c r="Z152" s="169">
        <f t="shared" si="2"/>
        <v>41769</v>
      </c>
      <c r="AA152" s="167">
        <f t="shared" si="3"/>
        <v>0</v>
      </c>
      <c r="AB152" s="161"/>
      <c r="AC152" s="161">
        <f t="shared" si="4"/>
        <v>39780</v>
      </c>
      <c r="AD152" s="161">
        <f t="shared" si="5"/>
        <v>994.5</v>
      </c>
      <c r="AE152" s="161">
        <f t="shared" si="6"/>
        <v>994.5</v>
      </c>
      <c r="AF152" s="167">
        <f t="shared" si="7"/>
        <v>0</v>
      </c>
      <c r="AG152" s="167">
        <f t="shared" si="8"/>
        <v>1989</v>
      </c>
      <c r="AH152" s="158">
        <f t="shared" si="9"/>
        <v>1</v>
      </c>
      <c r="AI152" s="158">
        <f t="shared" si="10"/>
        <v>2023</v>
      </c>
    </row>
    <row r="153" ht="12.75" customHeight="1">
      <c r="A153" s="48" t="s">
        <v>287</v>
      </c>
      <c r="B153" s="160" t="str">
        <f>iferror(VLOOKUP((LEFT(A153,6)),CUSTOMER_DETAILS,2,FALSE),"-")</f>
        <v>ASIAN GLOBAL EXIM</v>
      </c>
      <c r="C153" s="161" t="s">
        <v>89</v>
      </c>
      <c r="D153" s="162">
        <v>44950.0</v>
      </c>
      <c r="E153" s="161" t="s">
        <v>89</v>
      </c>
      <c r="F153" s="30" t="s">
        <v>89</v>
      </c>
      <c r="G153" s="30" t="s">
        <v>89</v>
      </c>
      <c r="H153" s="30" t="s">
        <v>89</v>
      </c>
      <c r="I153" s="48" t="s">
        <v>108</v>
      </c>
      <c r="J153" s="174">
        <f t="shared" si="11"/>
        <v>44950</v>
      </c>
      <c r="K153" s="48">
        <v>167.0</v>
      </c>
      <c r="L153" s="48" t="s">
        <v>108</v>
      </c>
      <c r="M153" s="30" t="s">
        <v>91</v>
      </c>
      <c r="N153" s="48" t="s">
        <v>135</v>
      </c>
      <c r="O153" s="30" t="s">
        <v>89</v>
      </c>
      <c r="P153" s="48"/>
      <c r="Q153" s="164" t="s">
        <v>117</v>
      </c>
      <c r="R153" s="161">
        <f>IFERROR(VLOOKUP(Q153,'PRODUCT TABLE'!$A$2:$B$26,2,FALSE),"-")</f>
        <v>44011090</v>
      </c>
      <c r="S153" s="48">
        <v>15200.0</v>
      </c>
      <c r="T153" s="48">
        <v>12.0</v>
      </c>
      <c r="U153" s="164" t="s">
        <v>95</v>
      </c>
      <c r="V153" s="161">
        <f t="shared" si="1"/>
        <v>182400</v>
      </c>
      <c r="W153" s="186">
        <v>0.025</v>
      </c>
      <c r="X153" s="186">
        <v>0.025</v>
      </c>
      <c r="Y153" s="168"/>
      <c r="Z153" s="169">
        <f t="shared" si="2"/>
        <v>191520</v>
      </c>
      <c r="AA153" s="167">
        <f t="shared" si="3"/>
        <v>0</v>
      </c>
      <c r="AB153" s="161"/>
      <c r="AC153" s="161">
        <f t="shared" si="4"/>
        <v>182400</v>
      </c>
      <c r="AD153" s="161">
        <f t="shared" si="5"/>
        <v>4560</v>
      </c>
      <c r="AE153" s="161">
        <f t="shared" si="6"/>
        <v>4560</v>
      </c>
      <c r="AF153" s="167">
        <f t="shared" si="7"/>
        <v>0</v>
      </c>
      <c r="AG153" s="167">
        <f t="shared" si="8"/>
        <v>9120</v>
      </c>
      <c r="AH153" s="158">
        <f t="shared" si="9"/>
        <v>1</v>
      </c>
      <c r="AI153" s="158">
        <f t="shared" si="10"/>
        <v>2023</v>
      </c>
    </row>
    <row r="154" ht="12.75" customHeight="1">
      <c r="A154" s="48" t="s">
        <v>288</v>
      </c>
      <c r="B154" s="160" t="str">
        <f>iferror(VLOOKUP((LEFT(A154,6)),CUSTOMER_DETAILS,2,FALSE),"-")</f>
        <v>KRISHNA ENTERPRISES</v>
      </c>
      <c r="C154" s="161" t="s">
        <v>89</v>
      </c>
      <c r="D154" s="162">
        <v>44957.0</v>
      </c>
      <c r="E154" s="161" t="s">
        <v>89</v>
      </c>
      <c r="F154" s="30" t="s">
        <v>89</v>
      </c>
      <c r="G154" s="30" t="s">
        <v>89</v>
      </c>
      <c r="H154" s="30" t="s">
        <v>89</v>
      </c>
      <c r="I154" s="48" t="s">
        <v>108</v>
      </c>
      <c r="J154" s="174">
        <f t="shared" si="11"/>
        <v>44957</v>
      </c>
      <c r="K154" s="48">
        <v>168.0</v>
      </c>
      <c r="L154" s="48" t="s">
        <v>108</v>
      </c>
      <c r="M154" s="30" t="s">
        <v>91</v>
      </c>
      <c r="N154" s="48" t="s">
        <v>125</v>
      </c>
      <c r="O154" s="30" t="s">
        <v>89</v>
      </c>
      <c r="P154" s="48"/>
      <c r="Q154" s="164"/>
      <c r="R154" s="161" t="str">
        <f>IFERROR(VLOOKUP(Q154,'PRODUCT TABLE'!$A$2:$B$26,2,FALSE),"-")</f>
        <v>-</v>
      </c>
      <c r="S154" s="48">
        <v>1.0</v>
      </c>
      <c r="T154" s="48">
        <v>36000.0</v>
      </c>
      <c r="U154" s="164" t="s">
        <v>289</v>
      </c>
      <c r="V154" s="161">
        <f t="shared" si="1"/>
        <v>36000</v>
      </c>
      <c r="W154" s="186">
        <v>0.06</v>
      </c>
      <c r="X154" s="186">
        <v>0.06</v>
      </c>
      <c r="Y154" s="168"/>
      <c r="Z154" s="169">
        <f t="shared" si="2"/>
        <v>40320</v>
      </c>
      <c r="AA154" s="167">
        <f t="shared" si="3"/>
        <v>0</v>
      </c>
      <c r="AB154" s="161"/>
      <c r="AC154" s="161">
        <f t="shared" si="4"/>
        <v>36000</v>
      </c>
      <c r="AD154" s="161">
        <f t="shared" si="5"/>
        <v>2160</v>
      </c>
      <c r="AE154" s="161">
        <f t="shared" si="6"/>
        <v>2160</v>
      </c>
      <c r="AF154" s="167">
        <f t="shared" si="7"/>
        <v>0</v>
      </c>
      <c r="AG154" s="167">
        <f t="shared" si="8"/>
        <v>4320</v>
      </c>
      <c r="AH154" s="158">
        <f t="shared" si="9"/>
        <v>1</v>
      </c>
      <c r="AI154" s="158">
        <f t="shared" si="10"/>
        <v>2023</v>
      </c>
    </row>
    <row r="155" ht="12.75" customHeight="1">
      <c r="A155" s="48" t="s">
        <v>290</v>
      </c>
      <c r="B155" s="160" t="str">
        <f>iferror(VLOOKUP((LEFT(A155,6)),CUSTOMER_DETAILS,2,FALSE),"-")</f>
        <v>SHREE BAIDYANATH AYUR BHAWAN PVT LTD</v>
      </c>
      <c r="C155" s="161" t="s">
        <v>89</v>
      </c>
      <c r="D155" s="162">
        <v>44965.0</v>
      </c>
      <c r="E155" s="161" t="s">
        <v>89</v>
      </c>
      <c r="F155" s="164" t="s">
        <v>291</v>
      </c>
      <c r="G155" s="30" t="s">
        <v>89</v>
      </c>
      <c r="H155" s="30" t="s">
        <v>89</v>
      </c>
      <c r="I155" s="48" t="s">
        <v>292</v>
      </c>
      <c r="J155" s="188">
        <f t="shared" si="11"/>
        <v>44965</v>
      </c>
      <c r="K155" s="48">
        <v>169.0</v>
      </c>
      <c r="L155" s="48" t="s">
        <v>108</v>
      </c>
      <c r="M155" s="48" t="s">
        <v>91</v>
      </c>
      <c r="N155" s="48" t="s">
        <v>125</v>
      </c>
      <c r="O155" s="30" t="s">
        <v>89</v>
      </c>
      <c r="Q155" s="164" t="s">
        <v>94</v>
      </c>
      <c r="R155" s="161">
        <f>IFERROR(VLOOKUP(Q155,'PRODUCT TABLE'!$A$2:$B$26,2,FALSE),"-")</f>
        <v>44011090</v>
      </c>
      <c r="S155" s="48">
        <v>10585.0</v>
      </c>
      <c r="T155" s="48">
        <v>6.7</v>
      </c>
      <c r="U155" s="48" t="s">
        <v>95</v>
      </c>
      <c r="V155" s="161">
        <f t="shared" si="1"/>
        <v>70919.5</v>
      </c>
      <c r="W155" s="189">
        <v>0.025</v>
      </c>
      <c r="X155" s="189">
        <v>0.025</v>
      </c>
      <c r="Y155" s="186">
        <v>0.0</v>
      </c>
      <c r="Z155" s="169">
        <f t="shared" si="2"/>
        <v>74465</v>
      </c>
      <c r="AA155" s="167">
        <f t="shared" si="3"/>
        <v>-0.475</v>
      </c>
      <c r="AB155" s="161"/>
      <c r="AC155" s="161">
        <f t="shared" si="4"/>
        <v>70919.5</v>
      </c>
      <c r="AD155" s="161">
        <f t="shared" si="5"/>
        <v>1772.9875</v>
      </c>
      <c r="AE155" s="161">
        <f t="shared" si="6"/>
        <v>1772.9875</v>
      </c>
      <c r="AF155" s="167">
        <f t="shared" si="7"/>
        <v>0</v>
      </c>
      <c r="AG155" s="167">
        <f t="shared" si="8"/>
        <v>3545.975</v>
      </c>
      <c r="AH155" s="158">
        <f t="shared" si="9"/>
        <v>2</v>
      </c>
      <c r="AI155" s="158">
        <f t="shared" si="10"/>
        <v>2023</v>
      </c>
    </row>
    <row r="156" ht="12.75" customHeight="1">
      <c r="A156" s="48" t="s">
        <v>293</v>
      </c>
      <c r="B156" s="160" t="str">
        <f>iferror(VLOOKUP((LEFT(A156,6)),CUSTOMER_DETAILS,2,FALSE),"-")</f>
        <v>NAGPUR FUELS</v>
      </c>
      <c r="C156" s="161" t="s">
        <v>89</v>
      </c>
      <c r="D156" s="162">
        <v>44967.0</v>
      </c>
      <c r="E156" s="161" t="s">
        <v>89</v>
      </c>
      <c r="F156" s="30" t="s">
        <v>89</v>
      </c>
      <c r="G156" s="30" t="s">
        <v>89</v>
      </c>
      <c r="H156" s="30" t="s">
        <v>89</v>
      </c>
      <c r="I156" s="48" t="s">
        <v>108</v>
      </c>
      <c r="J156" s="188">
        <f t="shared" si="11"/>
        <v>44967</v>
      </c>
      <c r="K156" s="48">
        <v>171.0</v>
      </c>
      <c r="L156" s="48" t="s">
        <v>108</v>
      </c>
      <c r="M156" s="48" t="s">
        <v>91</v>
      </c>
      <c r="N156" s="48" t="s">
        <v>125</v>
      </c>
      <c r="O156" s="30" t="s">
        <v>89</v>
      </c>
      <c r="Q156" s="48" t="s">
        <v>117</v>
      </c>
      <c r="R156" s="161">
        <f>IFERROR(VLOOKUP(Q156,'PRODUCT TABLE'!$A$2:$B$26,2,FALSE),"-")</f>
        <v>44011090</v>
      </c>
      <c r="S156" s="48">
        <v>10.17</v>
      </c>
      <c r="T156" s="48">
        <v>11500.0</v>
      </c>
      <c r="U156" s="48" t="s">
        <v>294</v>
      </c>
      <c r="V156" s="161">
        <f t="shared" si="1"/>
        <v>116955</v>
      </c>
      <c r="W156" s="189">
        <v>0.025</v>
      </c>
      <c r="X156" s="189">
        <v>0.025</v>
      </c>
      <c r="Y156" s="186">
        <v>0.0</v>
      </c>
      <c r="Z156" s="169">
        <f t="shared" si="2"/>
        <v>122803</v>
      </c>
      <c r="AA156" s="167">
        <f t="shared" si="3"/>
        <v>0.25</v>
      </c>
      <c r="AB156" s="161"/>
      <c r="AC156" s="161">
        <f t="shared" si="4"/>
        <v>116955</v>
      </c>
      <c r="AD156" s="161">
        <f t="shared" si="5"/>
        <v>2923.875</v>
      </c>
      <c r="AE156" s="161">
        <f t="shared" si="6"/>
        <v>2923.875</v>
      </c>
      <c r="AF156" s="167">
        <f t="shared" si="7"/>
        <v>0</v>
      </c>
      <c r="AG156" s="167">
        <f t="shared" si="8"/>
        <v>5847.75</v>
      </c>
      <c r="AH156" s="158">
        <f t="shared" si="9"/>
        <v>2</v>
      </c>
      <c r="AI156" s="158">
        <f t="shared" si="10"/>
        <v>2023</v>
      </c>
    </row>
    <row r="157" ht="12.75" customHeight="1">
      <c r="A157" s="48" t="s">
        <v>295</v>
      </c>
      <c r="B157" s="160" t="str">
        <f>VLOOKUP((LEFT(A157,6)),CUSTOMER_DETAILS,2,FALSE)</f>
        <v>KABRA FOODS</v>
      </c>
      <c r="C157" s="161" t="s">
        <v>89</v>
      </c>
      <c r="D157" s="162">
        <v>44968.0</v>
      </c>
      <c r="E157" s="161" t="s">
        <v>89</v>
      </c>
      <c r="F157" s="30" t="s">
        <v>89</v>
      </c>
      <c r="G157" s="30" t="s">
        <v>89</v>
      </c>
      <c r="H157" s="30" t="s">
        <v>89</v>
      </c>
      <c r="I157" s="48" t="s">
        <v>108</v>
      </c>
      <c r="J157" s="188">
        <f t="shared" si="11"/>
        <v>44968</v>
      </c>
      <c r="K157" s="48">
        <v>173.0</v>
      </c>
      <c r="L157" s="48" t="s">
        <v>108</v>
      </c>
      <c r="M157" s="30" t="s">
        <v>91</v>
      </c>
      <c r="N157" s="48" t="s">
        <v>296</v>
      </c>
      <c r="O157" s="30" t="s">
        <v>89</v>
      </c>
      <c r="P157" s="48" t="s">
        <v>297</v>
      </c>
      <c r="Q157" s="164" t="s">
        <v>117</v>
      </c>
      <c r="R157" s="161">
        <f>VLOOKUP(Q157,'PRODUCT TABLE'!$A$2:$B$26,2,FALSE)</f>
        <v>44011090</v>
      </c>
      <c r="S157" s="48">
        <v>11.01</v>
      </c>
      <c r="T157" s="48">
        <v>8000.0</v>
      </c>
      <c r="U157" s="30" t="s">
        <v>294</v>
      </c>
      <c r="V157" s="161">
        <f t="shared" si="1"/>
        <v>88080</v>
      </c>
      <c r="W157" s="168">
        <v>0.025</v>
      </c>
      <c r="X157" s="168">
        <v>0.025</v>
      </c>
      <c r="Y157" s="168">
        <v>0.0</v>
      </c>
      <c r="Z157" s="169">
        <f t="shared" si="2"/>
        <v>92484</v>
      </c>
      <c r="AA157" s="167">
        <f t="shared" si="3"/>
        <v>0</v>
      </c>
      <c r="AB157" s="161"/>
      <c r="AC157" s="161">
        <f t="shared" si="4"/>
        <v>88080</v>
      </c>
      <c r="AD157" s="161">
        <f t="shared" si="5"/>
        <v>2202</v>
      </c>
      <c r="AE157" s="161">
        <f t="shared" si="6"/>
        <v>2202</v>
      </c>
      <c r="AF157" s="167">
        <f t="shared" si="7"/>
        <v>0</v>
      </c>
      <c r="AG157" s="167">
        <f t="shared" si="8"/>
        <v>4404</v>
      </c>
      <c r="AH157" s="158">
        <f t="shared" si="9"/>
        <v>2</v>
      </c>
      <c r="AI157" s="158">
        <f t="shared" si="10"/>
        <v>2023</v>
      </c>
    </row>
    <row r="158" ht="12.75" customHeight="1">
      <c r="A158" s="48" t="s">
        <v>298</v>
      </c>
      <c r="B158" s="160" t="str">
        <f>iferror(VLOOKUP((LEFT(A158,6)),CUSTOMER_DETAILS,2,FALSE),0)</f>
        <v>NAGPUR FUELS</v>
      </c>
      <c r="C158" s="161" t="s">
        <v>89</v>
      </c>
      <c r="D158" s="162">
        <v>44970.0</v>
      </c>
      <c r="E158" s="161" t="s">
        <v>89</v>
      </c>
      <c r="F158" s="30" t="s">
        <v>89</v>
      </c>
      <c r="G158" s="30" t="s">
        <v>89</v>
      </c>
      <c r="H158" s="30" t="s">
        <v>89</v>
      </c>
      <c r="I158" s="48" t="s">
        <v>108</v>
      </c>
      <c r="J158" s="188">
        <f t="shared" si="11"/>
        <v>44970</v>
      </c>
      <c r="K158" s="48">
        <v>174.0</v>
      </c>
      <c r="L158" s="48" t="s">
        <v>108</v>
      </c>
      <c r="M158" s="48" t="s">
        <v>91</v>
      </c>
      <c r="N158" s="48" t="s">
        <v>299</v>
      </c>
      <c r="O158" s="30" t="s">
        <v>89</v>
      </c>
      <c r="Q158" s="164" t="s">
        <v>151</v>
      </c>
      <c r="R158" s="161">
        <f>IFERROR(VLOOKUP(Q158,'PRODUCT TABLE'!$A$2:$B$26,2,FALSE),"-")</f>
        <v>23069026</v>
      </c>
      <c r="S158" s="48">
        <v>6.55</v>
      </c>
      <c r="T158" s="48">
        <v>18600.0</v>
      </c>
      <c r="U158" s="48" t="s">
        <v>294</v>
      </c>
      <c r="V158" s="161">
        <f t="shared" si="1"/>
        <v>121830</v>
      </c>
      <c r="W158" s="189">
        <v>0.025</v>
      </c>
      <c r="X158" s="189">
        <v>0.025</v>
      </c>
      <c r="Y158" s="186">
        <v>0.0</v>
      </c>
      <c r="Z158" s="169">
        <f t="shared" si="2"/>
        <v>127921</v>
      </c>
      <c r="AA158" s="167">
        <f t="shared" si="3"/>
        <v>-0.5</v>
      </c>
      <c r="AB158" s="161"/>
      <c r="AC158" s="161">
        <f t="shared" si="4"/>
        <v>121830</v>
      </c>
      <c r="AD158" s="161">
        <f t="shared" si="5"/>
        <v>3045.75</v>
      </c>
      <c r="AE158" s="161">
        <f t="shared" si="6"/>
        <v>3045.75</v>
      </c>
      <c r="AF158" s="167">
        <f t="shared" si="7"/>
        <v>0</v>
      </c>
      <c r="AG158" s="167">
        <f t="shared" si="8"/>
        <v>6091.5</v>
      </c>
      <c r="AH158" s="158">
        <f t="shared" si="9"/>
        <v>2</v>
      </c>
      <c r="AI158" s="158">
        <f t="shared" si="10"/>
        <v>2023</v>
      </c>
    </row>
    <row r="159" ht="12.75" customHeight="1">
      <c r="A159" s="48" t="s">
        <v>300</v>
      </c>
      <c r="B159" s="160" t="str">
        <f>iferror(VLOOKUP((LEFT(A159,6)),CUSTOMER_DETAILS,2,FALSE),"-")</f>
        <v>SHREE BAIDYANATH AYUR BHAWAN PVT LTD</v>
      </c>
      <c r="C159" s="161" t="s">
        <v>89</v>
      </c>
      <c r="D159" s="162">
        <v>44972.0</v>
      </c>
      <c r="E159" s="161" t="s">
        <v>89</v>
      </c>
      <c r="F159" s="164" t="s">
        <v>301</v>
      </c>
      <c r="G159" s="30" t="s">
        <v>89</v>
      </c>
      <c r="H159" s="30" t="s">
        <v>89</v>
      </c>
      <c r="I159" s="48" t="s">
        <v>292</v>
      </c>
      <c r="J159" s="188">
        <f t="shared" si="11"/>
        <v>44972</v>
      </c>
      <c r="K159" s="48">
        <v>175.0</v>
      </c>
      <c r="L159" s="48" t="s">
        <v>108</v>
      </c>
      <c r="M159" s="48" t="s">
        <v>91</v>
      </c>
      <c r="N159" s="48" t="s">
        <v>125</v>
      </c>
      <c r="O159" s="30" t="s">
        <v>89</v>
      </c>
      <c r="Q159" s="48" t="s">
        <v>94</v>
      </c>
      <c r="R159" s="161">
        <f>IFERROR(VLOOKUP(Q159,'PRODUCT TABLE'!$A$2:$B$26,2,FALSE),"-")</f>
        <v>44011090</v>
      </c>
      <c r="S159" s="48">
        <v>10185.0</v>
      </c>
      <c r="T159" s="48">
        <v>6.7</v>
      </c>
      <c r="U159" s="48" t="s">
        <v>95</v>
      </c>
      <c r="V159" s="161">
        <f t="shared" si="1"/>
        <v>68239.5</v>
      </c>
      <c r="W159" s="189">
        <v>0.025</v>
      </c>
      <c r="X159" s="189">
        <v>0.025</v>
      </c>
      <c r="Y159" s="186">
        <v>0.0</v>
      </c>
      <c r="Z159" s="169">
        <f t="shared" si="2"/>
        <v>71651</v>
      </c>
      <c r="AA159" s="167">
        <f t="shared" si="3"/>
        <v>-0.475</v>
      </c>
      <c r="AB159" s="161"/>
      <c r="AC159" s="161">
        <f t="shared" si="4"/>
        <v>68239.5</v>
      </c>
      <c r="AD159" s="161">
        <f t="shared" si="5"/>
        <v>1705.9875</v>
      </c>
      <c r="AE159" s="161">
        <f t="shared" si="6"/>
        <v>1705.9875</v>
      </c>
      <c r="AF159" s="167">
        <f t="shared" si="7"/>
        <v>0</v>
      </c>
      <c r="AG159" s="167">
        <f t="shared" si="8"/>
        <v>3411.975</v>
      </c>
      <c r="AH159" s="158">
        <f t="shared" si="9"/>
        <v>2</v>
      </c>
      <c r="AI159" s="158">
        <f t="shared" si="10"/>
        <v>2023</v>
      </c>
    </row>
    <row r="160" ht="12.75" customHeight="1">
      <c r="A160" s="48" t="s">
        <v>302</v>
      </c>
      <c r="B160" s="160" t="str">
        <f>iferror(VLOOKUP((LEFT(A160,6)),CUSTOMER_DETAILS,2,FALSE),"-")</f>
        <v>KRISHNA ENTERPRISES</v>
      </c>
      <c r="C160" s="161" t="s">
        <v>89</v>
      </c>
      <c r="D160" s="162">
        <v>44972.0</v>
      </c>
      <c r="E160" s="161" t="s">
        <v>89</v>
      </c>
      <c r="F160" s="30" t="s">
        <v>89</v>
      </c>
      <c r="G160" s="30" t="s">
        <v>89</v>
      </c>
      <c r="H160" s="30" t="s">
        <v>89</v>
      </c>
      <c r="I160" s="48" t="s">
        <v>108</v>
      </c>
      <c r="J160" s="188">
        <f t="shared" si="11"/>
        <v>44972</v>
      </c>
      <c r="K160" s="48">
        <v>176.0</v>
      </c>
      <c r="L160" s="48" t="s">
        <v>108</v>
      </c>
      <c r="M160" s="48" t="s">
        <v>91</v>
      </c>
      <c r="N160" s="48" t="s">
        <v>125</v>
      </c>
      <c r="O160" s="30" t="s">
        <v>89</v>
      </c>
      <c r="Q160" s="48" t="s">
        <v>117</v>
      </c>
      <c r="R160" s="161">
        <f>IFERROR(VLOOKUP(Q160,'PRODUCT TABLE'!$A$2:$B$26,2,FALSE),"-")</f>
        <v>44011090</v>
      </c>
      <c r="S160" s="48">
        <v>9.65</v>
      </c>
      <c r="T160" s="48">
        <v>11500.0</v>
      </c>
      <c r="U160" s="48" t="s">
        <v>294</v>
      </c>
      <c r="V160" s="161">
        <f t="shared" si="1"/>
        <v>110975</v>
      </c>
      <c r="W160" s="189">
        <v>0.025</v>
      </c>
      <c r="X160" s="189">
        <v>0.025</v>
      </c>
      <c r="Y160" s="186">
        <v>0.0</v>
      </c>
      <c r="Z160" s="169">
        <f t="shared" si="2"/>
        <v>116524</v>
      </c>
      <c r="AA160" s="167">
        <f t="shared" si="3"/>
        <v>0.25</v>
      </c>
      <c r="AB160" s="161"/>
      <c r="AC160" s="161">
        <f t="shared" si="4"/>
        <v>110975</v>
      </c>
      <c r="AD160" s="161">
        <f t="shared" si="5"/>
        <v>2774.375</v>
      </c>
      <c r="AE160" s="161">
        <f t="shared" si="6"/>
        <v>2774.375</v>
      </c>
      <c r="AF160" s="167">
        <f t="shared" si="7"/>
        <v>0</v>
      </c>
      <c r="AG160" s="167">
        <f t="shared" si="8"/>
        <v>5548.75</v>
      </c>
      <c r="AH160" s="158">
        <f t="shared" si="9"/>
        <v>2</v>
      </c>
      <c r="AI160" s="158">
        <f t="shared" si="10"/>
        <v>2023</v>
      </c>
    </row>
    <row r="161" ht="12.75" customHeight="1">
      <c r="A161" s="48" t="s">
        <v>303</v>
      </c>
      <c r="B161" s="160" t="str">
        <f>iferror(VLOOKUP((LEFT(A161,6)),CUSTOMER_DETAILS,2,FALSE),"-")</f>
        <v>SHREE GAYATRI PACKAGING</v>
      </c>
      <c r="C161" s="161" t="s">
        <v>89</v>
      </c>
      <c r="D161" s="162">
        <v>44976.0</v>
      </c>
      <c r="E161" s="161" t="s">
        <v>89</v>
      </c>
      <c r="F161" s="164" t="s">
        <v>304</v>
      </c>
      <c r="G161" s="30" t="s">
        <v>89</v>
      </c>
      <c r="H161" s="30" t="s">
        <v>89</v>
      </c>
      <c r="I161" s="48" t="s">
        <v>108</v>
      </c>
      <c r="J161" s="188">
        <f t="shared" si="11"/>
        <v>44976</v>
      </c>
      <c r="K161" s="48">
        <v>177.0</v>
      </c>
      <c r="L161" s="48" t="s">
        <v>108</v>
      </c>
      <c r="M161" s="48" t="s">
        <v>91</v>
      </c>
      <c r="N161" s="48" t="s">
        <v>125</v>
      </c>
      <c r="O161" s="30" t="s">
        <v>89</v>
      </c>
      <c r="P161" s="48" t="s">
        <v>305</v>
      </c>
      <c r="Q161" s="48" t="s">
        <v>117</v>
      </c>
      <c r="R161" s="161">
        <f>IFERROR(VLOOKUP(Q161,'PRODUCT TABLE'!$A$2:$B$26,2,FALSE),"-")</f>
        <v>44011090</v>
      </c>
      <c r="S161" s="48">
        <v>7.42</v>
      </c>
      <c r="T161" s="48">
        <v>13000.0</v>
      </c>
      <c r="U161" s="48" t="s">
        <v>294</v>
      </c>
      <c r="V161" s="161">
        <f t="shared" si="1"/>
        <v>96460</v>
      </c>
      <c r="W161" s="189">
        <v>0.025</v>
      </c>
      <c r="X161" s="189">
        <v>0.025</v>
      </c>
      <c r="Y161" s="186">
        <v>0.0</v>
      </c>
      <c r="Z161" s="169">
        <f t="shared" si="2"/>
        <v>101283</v>
      </c>
      <c r="AA161" s="167">
        <f t="shared" si="3"/>
        <v>0</v>
      </c>
      <c r="AB161" s="161"/>
      <c r="AC161" s="161">
        <f t="shared" si="4"/>
        <v>96460</v>
      </c>
      <c r="AD161" s="161">
        <f t="shared" si="5"/>
        <v>2411.5</v>
      </c>
      <c r="AE161" s="161">
        <f t="shared" si="6"/>
        <v>2411.5</v>
      </c>
      <c r="AF161" s="167">
        <f t="shared" si="7"/>
        <v>0</v>
      </c>
      <c r="AG161" s="167">
        <f t="shared" si="8"/>
        <v>4823</v>
      </c>
      <c r="AH161" s="158">
        <f t="shared" si="9"/>
        <v>2</v>
      </c>
      <c r="AI161" s="158">
        <f t="shared" si="10"/>
        <v>2023</v>
      </c>
    </row>
    <row r="162" ht="12.75" customHeight="1">
      <c r="A162" s="48" t="s">
        <v>306</v>
      </c>
      <c r="B162" s="160" t="str">
        <f>iferror(VLOOKUP((LEFT(A162,6)),CUSTOMER_DETAILS,2,FALSE),"-")</f>
        <v>SIDDHAYU AYURVEDIC RESEARCH FOUNDATION PVT LTD</v>
      </c>
      <c r="C162" s="161" t="s">
        <v>89</v>
      </c>
      <c r="D162" s="162">
        <v>44981.0</v>
      </c>
      <c r="E162" s="161" t="s">
        <v>89</v>
      </c>
      <c r="F162" s="164" t="s">
        <v>307</v>
      </c>
      <c r="G162" s="30" t="s">
        <v>89</v>
      </c>
      <c r="H162" s="30" t="s">
        <v>89</v>
      </c>
      <c r="I162" s="48" t="s">
        <v>308</v>
      </c>
      <c r="J162" s="188">
        <f t="shared" si="11"/>
        <v>44981</v>
      </c>
      <c r="K162" s="48">
        <v>178.0</v>
      </c>
      <c r="L162" s="48" t="s">
        <v>108</v>
      </c>
      <c r="M162" s="48" t="s">
        <v>91</v>
      </c>
      <c r="N162" s="48" t="s">
        <v>269</v>
      </c>
      <c r="O162" s="30" t="s">
        <v>89</v>
      </c>
      <c r="P162" s="48" t="s">
        <v>309</v>
      </c>
      <c r="Q162" s="48" t="s">
        <v>94</v>
      </c>
      <c r="R162" s="161">
        <f>IFERROR(VLOOKUP(Q162,'PRODUCT TABLE'!$A$2:$B$26,2,FALSE),"-")</f>
        <v>44011090</v>
      </c>
      <c r="S162" s="48">
        <v>10375.0</v>
      </c>
      <c r="T162" s="48">
        <v>6.7</v>
      </c>
      <c r="U162" s="48" t="s">
        <v>95</v>
      </c>
      <c r="V162" s="161">
        <f t="shared" si="1"/>
        <v>69512.5</v>
      </c>
      <c r="W162" s="189">
        <v>0.025</v>
      </c>
      <c r="X162" s="189">
        <v>0.025</v>
      </c>
      <c r="Y162" s="186">
        <v>0.0</v>
      </c>
      <c r="Z162" s="169">
        <f t="shared" si="2"/>
        <v>72988</v>
      </c>
      <c r="AA162" s="167">
        <f t="shared" si="3"/>
        <v>-0.125</v>
      </c>
      <c r="AB162" s="161"/>
      <c r="AC162" s="161">
        <f t="shared" si="4"/>
        <v>69512.5</v>
      </c>
      <c r="AD162" s="161">
        <f t="shared" si="5"/>
        <v>1737.8125</v>
      </c>
      <c r="AE162" s="161">
        <f t="shared" si="6"/>
        <v>1737.8125</v>
      </c>
      <c r="AF162" s="167">
        <f t="shared" si="7"/>
        <v>0</v>
      </c>
      <c r="AG162" s="167">
        <f t="shared" si="8"/>
        <v>3475.625</v>
      </c>
      <c r="AH162" s="158">
        <f t="shared" si="9"/>
        <v>2</v>
      </c>
      <c r="AI162" s="158">
        <f t="shared" si="10"/>
        <v>2023</v>
      </c>
    </row>
    <row r="163" ht="12.75" customHeight="1">
      <c r="A163" s="48" t="s">
        <v>310</v>
      </c>
      <c r="B163" s="160" t="str">
        <f>iferror(VLOOKUP((LEFT(A163,6)),CUSTOMER_DETAILS,2,FALSE),"-")</f>
        <v>BHARTI ENTERPRISES</v>
      </c>
      <c r="C163" s="161" t="s">
        <v>89</v>
      </c>
      <c r="D163" s="162">
        <v>44981.0</v>
      </c>
      <c r="E163" s="161" t="s">
        <v>89</v>
      </c>
      <c r="F163" s="164" t="s">
        <v>108</v>
      </c>
      <c r="G163" s="30" t="s">
        <v>89</v>
      </c>
      <c r="H163" s="30" t="s">
        <v>89</v>
      </c>
      <c r="I163" s="48" t="s">
        <v>108</v>
      </c>
      <c r="J163" s="188">
        <f t="shared" si="11"/>
        <v>44981</v>
      </c>
      <c r="K163" s="48">
        <v>179.0</v>
      </c>
      <c r="L163" s="48" t="s">
        <v>108</v>
      </c>
      <c r="M163" s="48" t="s">
        <v>91</v>
      </c>
      <c r="N163" s="48" t="s">
        <v>135</v>
      </c>
      <c r="O163" s="30" t="s">
        <v>89</v>
      </c>
      <c r="P163" s="48" t="s">
        <v>311</v>
      </c>
      <c r="Q163" s="48" t="s">
        <v>117</v>
      </c>
      <c r="R163" s="161">
        <f>IFERROR(VLOOKUP(Q163,'PRODUCT TABLE'!$A$2:$B$26,2,FALSE),"-")</f>
        <v>44011090</v>
      </c>
      <c r="S163" s="48">
        <v>510.0</v>
      </c>
      <c r="T163" s="48">
        <v>12.5</v>
      </c>
      <c r="U163" s="48" t="s">
        <v>95</v>
      </c>
      <c r="V163" s="161">
        <f t="shared" si="1"/>
        <v>6375</v>
      </c>
      <c r="W163" s="189">
        <v>0.025</v>
      </c>
      <c r="X163" s="189">
        <v>0.025</v>
      </c>
      <c r="Y163" s="186">
        <v>0.0</v>
      </c>
      <c r="Z163" s="169">
        <f t="shared" si="2"/>
        <v>6694</v>
      </c>
      <c r="AA163" s="167">
        <f t="shared" si="3"/>
        <v>0.25</v>
      </c>
      <c r="AB163" s="161"/>
      <c r="AC163" s="161">
        <f t="shared" si="4"/>
        <v>6375</v>
      </c>
      <c r="AD163" s="161">
        <f t="shared" si="5"/>
        <v>159.375</v>
      </c>
      <c r="AE163" s="161">
        <f t="shared" si="6"/>
        <v>159.375</v>
      </c>
      <c r="AF163" s="167">
        <f t="shared" si="7"/>
        <v>0</v>
      </c>
      <c r="AG163" s="167">
        <f t="shared" si="8"/>
        <v>318.75</v>
      </c>
      <c r="AH163" s="158">
        <f t="shared" si="9"/>
        <v>2</v>
      </c>
      <c r="AI163" s="158">
        <f t="shared" si="10"/>
        <v>2023</v>
      </c>
    </row>
    <row r="164" ht="12.75" customHeight="1">
      <c r="A164" s="48" t="s">
        <v>312</v>
      </c>
      <c r="B164" s="160" t="str">
        <f>iferror(VLOOKUP((LEFT(A164,6)),CUSTOMER_DETAILS,2,FALSE),"-")</f>
        <v>KRISHNA ENTERPRISES</v>
      </c>
      <c r="C164" s="161" t="s">
        <v>89</v>
      </c>
      <c r="D164" s="162">
        <v>44986.0</v>
      </c>
      <c r="E164" s="161" t="s">
        <v>89</v>
      </c>
      <c r="F164" s="30" t="s">
        <v>89</v>
      </c>
      <c r="G164" s="30" t="s">
        <v>89</v>
      </c>
      <c r="H164" s="30" t="s">
        <v>89</v>
      </c>
      <c r="I164" s="48" t="s">
        <v>108</v>
      </c>
      <c r="J164" s="188">
        <f t="shared" si="11"/>
        <v>44986</v>
      </c>
      <c r="K164" s="48">
        <v>180.0</v>
      </c>
      <c r="L164" s="48" t="s">
        <v>108</v>
      </c>
      <c r="M164" s="48" t="s">
        <v>91</v>
      </c>
      <c r="N164" s="48" t="s">
        <v>313</v>
      </c>
      <c r="O164" s="30" t="s">
        <v>89</v>
      </c>
      <c r="P164" s="48" t="s">
        <v>314</v>
      </c>
      <c r="Q164" s="48" t="s">
        <v>117</v>
      </c>
      <c r="R164" s="161">
        <f>IFERROR(VLOOKUP(Q164,'PRODUCT TABLE'!$A$2:$B$26,2,FALSE),"-")</f>
        <v>44011090</v>
      </c>
      <c r="S164" s="48">
        <v>10380.0</v>
      </c>
      <c r="T164" s="48">
        <v>11.75</v>
      </c>
      <c r="U164" s="48" t="s">
        <v>95</v>
      </c>
      <c r="V164" s="161">
        <f t="shared" si="1"/>
        <v>121965</v>
      </c>
      <c r="W164" s="189">
        <v>0.025</v>
      </c>
      <c r="X164" s="189">
        <v>0.025</v>
      </c>
      <c r="Y164" s="186">
        <v>0.0</v>
      </c>
      <c r="Z164" s="169">
        <f t="shared" si="2"/>
        <v>128063</v>
      </c>
      <c r="AA164" s="167">
        <f t="shared" si="3"/>
        <v>-0.25</v>
      </c>
      <c r="AB164" s="161"/>
      <c r="AC164" s="161">
        <f t="shared" si="4"/>
        <v>121965</v>
      </c>
      <c r="AD164" s="161">
        <f t="shared" si="5"/>
        <v>3049.125</v>
      </c>
      <c r="AE164" s="161">
        <f t="shared" si="6"/>
        <v>3049.125</v>
      </c>
      <c r="AF164" s="167">
        <f t="shared" si="7"/>
        <v>0</v>
      </c>
      <c r="AG164" s="167">
        <f t="shared" si="8"/>
        <v>6098.25</v>
      </c>
      <c r="AH164" s="158">
        <f t="shared" si="9"/>
        <v>3</v>
      </c>
      <c r="AI164" s="158">
        <f t="shared" si="10"/>
        <v>2023</v>
      </c>
    </row>
    <row r="165" ht="12.75" customHeight="1">
      <c r="A165" s="48" t="s">
        <v>315</v>
      </c>
      <c r="B165" s="160" t="str">
        <f>iferror(VLOOKUP((LEFT(A165,6)),CUSTOMER_DETAILS,2,FALSE),"-")</f>
        <v>BHARTI ENTERPRISES</v>
      </c>
      <c r="C165" s="161" t="s">
        <v>89</v>
      </c>
      <c r="D165" s="162">
        <v>44987.0</v>
      </c>
      <c r="E165" s="161" t="s">
        <v>89</v>
      </c>
      <c r="F165" s="30" t="s">
        <v>89</v>
      </c>
      <c r="G165" s="30" t="s">
        <v>89</v>
      </c>
      <c r="H165" s="30" t="s">
        <v>89</v>
      </c>
      <c r="I165" s="48" t="s">
        <v>108</v>
      </c>
      <c r="J165" s="188">
        <f t="shared" si="11"/>
        <v>44987</v>
      </c>
      <c r="K165" s="48">
        <v>181.0</v>
      </c>
      <c r="L165" s="48" t="s">
        <v>108</v>
      </c>
      <c r="M165" s="48" t="s">
        <v>91</v>
      </c>
      <c r="N165" s="48" t="s">
        <v>135</v>
      </c>
      <c r="O165" s="30" t="s">
        <v>89</v>
      </c>
      <c r="Q165" s="48" t="s">
        <v>117</v>
      </c>
      <c r="R165" s="161">
        <f>IFERROR(VLOOKUP(Q165,'PRODUCT TABLE'!$A$2:$B$26,2,FALSE),"-")</f>
        <v>44011090</v>
      </c>
      <c r="S165" s="48">
        <v>390.0</v>
      </c>
      <c r="T165" s="48">
        <v>12.5</v>
      </c>
      <c r="U165" s="48" t="s">
        <v>95</v>
      </c>
      <c r="V165" s="161">
        <f t="shared" si="1"/>
        <v>4875</v>
      </c>
      <c r="W165" s="189">
        <v>0.025</v>
      </c>
      <c r="X165" s="189">
        <v>0.025</v>
      </c>
      <c r="Y165" s="186">
        <v>0.0</v>
      </c>
      <c r="Z165" s="169">
        <f t="shared" si="2"/>
        <v>5119</v>
      </c>
      <c r="AA165" s="167">
        <f t="shared" si="3"/>
        <v>0.25</v>
      </c>
      <c r="AB165" s="161"/>
      <c r="AC165" s="161">
        <f t="shared" si="4"/>
        <v>4875</v>
      </c>
      <c r="AD165" s="161">
        <f t="shared" si="5"/>
        <v>121.875</v>
      </c>
      <c r="AE165" s="161">
        <f t="shared" si="6"/>
        <v>121.875</v>
      </c>
      <c r="AF165" s="167">
        <f t="shared" si="7"/>
        <v>0</v>
      </c>
      <c r="AG165" s="167">
        <f t="shared" si="8"/>
        <v>243.75</v>
      </c>
      <c r="AH165" s="158">
        <f t="shared" si="9"/>
        <v>3</v>
      </c>
      <c r="AI165" s="158">
        <f t="shared" si="10"/>
        <v>2023</v>
      </c>
    </row>
    <row r="166" ht="12.75" customHeight="1">
      <c r="A166" s="48" t="s">
        <v>316</v>
      </c>
      <c r="B166" s="160" t="str">
        <f>iferror(VLOOKUP((LEFT(A166,6)),CUSTOMER_DETAILS,2,FALSE),"-")</f>
        <v>BHARTI ENTERPRISES</v>
      </c>
      <c r="C166" s="161" t="s">
        <v>89</v>
      </c>
      <c r="D166" s="162">
        <v>44990.0</v>
      </c>
      <c r="E166" s="161" t="s">
        <v>89</v>
      </c>
      <c r="F166" s="30" t="s">
        <v>89</v>
      </c>
      <c r="G166" s="30" t="s">
        <v>89</v>
      </c>
      <c r="H166" s="30" t="s">
        <v>89</v>
      </c>
      <c r="I166" s="48" t="s">
        <v>108</v>
      </c>
      <c r="J166" s="188">
        <f t="shared" si="11"/>
        <v>44990</v>
      </c>
      <c r="K166" s="48">
        <v>182.0</v>
      </c>
      <c r="L166" s="48" t="s">
        <v>108</v>
      </c>
      <c r="M166" s="48" t="s">
        <v>91</v>
      </c>
      <c r="N166" s="48" t="s">
        <v>135</v>
      </c>
      <c r="O166" s="30" t="s">
        <v>89</v>
      </c>
      <c r="Q166" s="48" t="s">
        <v>117</v>
      </c>
      <c r="R166" s="161">
        <f>IFERROR(VLOOKUP(Q166,'PRODUCT TABLE'!$A$2:$B$26,2,FALSE),"-")</f>
        <v>44011090</v>
      </c>
      <c r="S166" s="48">
        <v>450.0</v>
      </c>
      <c r="T166" s="48">
        <v>12.5</v>
      </c>
      <c r="U166" s="48" t="s">
        <v>95</v>
      </c>
      <c r="V166" s="161">
        <f t="shared" si="1"/>
        <v>5625</v>
      </c>
      <c r="W166" s="189">
        <v>0.025</v>
      </c>
      <c r="X166" s="189">
        <v>0.025</v>
      </c>
      <c r="Y166" s="186">
        <v>0.0</v>
      </c>
      <c r="Z166" s="169">
        <f t="shared" si="2"/>
        <v>5906</v>
      </c>
      <c r="AA166" s="167">
        <f t="shared" si="3"/>
        <v>-0.25</v>
      </c>
      <c r="AB166" s="161"/>
      <c r="AC166" s="161">
        <f t="shared" si="4"/>
        <v>5625</v>
      </c>
      <c r="AD166" s="161">
        <f t="shared" si="5"/>
        <v>140.625</v>
      </c>
      <c r="AE166" s="161">
        <f t="shared" si="6"/>
        <v>140.625</v>
      </c>
      <c r="AF166" s="167">
        <f t="shared" si="7"/>
        <v>0</v>
      </c>
      <c r="AG166" s="167">
        <f t="shared" si="8"/>
        <v>281.25</v>
      </c>
      <c r="AH166" s="158">
        <f t="shared" si="9"/>
        <v>3</v>
      </c>
      <c r="AI166" s="158">
        <f t="shared" si="10"/>
        <v>2023</v>
      </c>
    </row>
    <row r="167" ht="12.75" customHeight="1">
      <c r="A167" s="48" t="s">
        <v>317</v>
      </c>
      <c r="B167" s="160" t="str">
        <f>iferror(VLOOKUP((LEFT(A167,6)),CUSTOMER_DETAILS,2,FALSE),"-")</f>
        <v>BHARTI ENTERPRISES</v>
      </c>
      <c r="C167" s="161" t="s">
        <v>89</v>
      </c>
      <c r="D167" s="162">
        <v>45000.0</v>
      </c>
      <c r="E167" s="161" t="s">
        <v>89</v>
      </c>
      <c r="F167" s="30" t="s">
        <v>89</v>
      </c>
      <c r="G167" s="30" t="s">
        <v>89</v>
      </c>
      <c r="H167" s="30" t="s">
        <v>89</v>
      </c>
      <c r="I167" s="48" t="s">
        <v>108</v>
      </c>
      <c r="J167" s="188">
        <f t="shared" si="11"/>
        <v>45000</v>
      </c>
      <c r="K167" s="48">
        <v>183.0</v>
      </c>
      <c r="L167" s="48" t="s">
        <v>108</v>
      </c>
      <c r="M167" s="48" t="s">
        <v>245</v>
      </c>
      <c r="N167" s="48" t="s">
        <v>135</v>
      </c>
      <c r="O167" s="30" t="s">
        <v>89</v>
      </c>
      <c r="Q167" s="48" t="s">
        <v>117</v>
      </c>
      <c r="R167" s="161">
        <f>IFERROR(VLOOKUP(Q167,'PRODUCT TABLE'!$A$2:$B$26,2,FALSE),"-")</f>
        <v>44011090</v>
      </c>
      <c r="S167" s="48">
        <v>510.0</v>
      </c>
      <c r="T167" s="48">
        <v>12.5</v>
      </c>
      <c r="U167" s="48" t="s">
        <v>95</v>
      </c>
      <c r="V167" s="161">
        <f t="shared" si="1"/>
        <v>6375</v>
      </c>
      <c r="W167" s="189">
        <v>0.025</v>
      </c>
      <c r="X167" s="189">
        <v>0.025</v>
      </c>
      <c r="Y167" s="186">
        <v>0.0</v>
      </c>
      <c r="Z167" s="169">
        <f t="shared" si="2"/>
        <v>6694</v>
      </c>
      <c r="AA167" s="167">
        <f t="shared" si="3"/>
        <v>0.25</v>
      </c>
      <c r="AB167" s="161"/>
      <c r="AC167" s="161">
        <f t="shared" si="4"/>
        <v>6375</v>
      </c>
      <c r="AD167" s="161">
        <f t="shared" si="5"/>
        <v>159.375</v>
      </c>
      <c r="AE167" s="161">
        <f t="shared" si="6"/>
        <v>159.375</v>
      </c>
      <c r="AF167" s="167">
        <f t="shared" si="7"/>
        <v>0</v>
      </c>
      <c r="AG167" s="167">
        <f t="shared" si="8"/>
        <v>318.75</v>
      </c>
      <c r="AH167" s="158">
        <f t="shared" si="9"/>
        <v>3</v>
      </c>
      <c r="AI167" s="158">
        <f t="shared" si="10"/>
        <v>2023</v>
      </c>
    </row>
    <row r="168" ht="12.75" customHeight="1">
      <c r="A168" s="48" t="s">
        <v>318</v>
      </c>
      <c r="B168" s="160" t="str">
        <f>iferror(VLOOKUP((LEFT(A168,6)),CUSTOMER_DETAILS,2,FALSE),"-")</f>
        <v>NAGPUR FUELS</v>
      </c>
      <c r="C168" s="161" t="s">
        <v>89</v>
      </c>
      <c r="D168" s="162">
        <v>45001.0</v>
      </c>
      <c r="E168" s="161" t="s">
        <v>89</v>
      </c>
      <c r="F168" s="30" t="s">
        <v>89</v>
      </c>
      <c r="G168" s="30" t="s">
        <v>89</v>
      </c>
      <c r="H168" s="30" t="s">
        <v>89</v>
      </c>
      <c r="I168" s="48" t="s">
        <v>108</v>
      </c>
      <c r="J168" s="188">
        <f t="shared" si="11"/>
        <v>45001</v>
      </c>
      <c r="K168" s="48">
        <v>184.0</v>
      </c>
      <c r="L168" s="48" t="s">
        <v>108</v>
      </c>
      <c r="M168" s="48" t="s">
        <v>245</v>
      </c>
      <c r="N168" s="48" t="s">
        <v>125</v>
      </c>
      <c r="O168" s="30" t="s">
        <v>89</v>
      </c>
      <c r="Q168" s="48" t="s">
        <v>117</v>
      </c>
      <c r="R168" s="161">
        <f>IFERROR(VLOOKUP(Q168,'PRODUCT TABLE'!$A$2:$B$26,2,FALSE),"-")</f>
        <v>44011090</v>
      </c>
      <c r="S168" s="48">
        <v>10040.0</v>
      </c>
      <c r="T168" s="48">
        <v>11.5</v>
      </c>
      <c r="U168" s="48" t="s">
        <v>95</v>
      </c>
      <c r="V168" s="161">
        <f t="shared" si="1"/>
        <v>115460</v>
      </c>
      <c r="W168" s="189">
        <v>0.025</v>
      </c>
      <c r="X168" s="189">
        <v>0.025</v>
      </c>
      <c r="Y168" s="186">
        <v>0.0</v>
      </c>
      <c r="Z168" s="169">
        <f t="shared" si="2"/>
        <v>121233</v>
      </c>
      <c r="AA168" s="167">
        <f t="shared" si="3"/>
        <v>0</v>
      </c>
      <c r="AB168" s="161"/>
      <c r="AC168" s="161">
        <f t="shared" si="4"/>
        <v>115460</v>
      </c>
      <c r="AD168" s="161">
        <f t="shared" si="5"/>
        <v>2886.5</v>
      </c>
      <c r="AE168" s="161">
        <f t="shared" si="6"/>
        <v>2886.5</v>
      </c>
      <c r="AF168" s="167">
        <f t="shared" si="7"/>
        <v>0</v>
      </c>
      <c r="AG168" s="167">
        <f t="shared" si="8"/>
        <v>5773</v>
      </c>
      <c r="AH168" s="158">
        <f t="shared" si="9"/>
        <v>3</v>
      </c>
      <c r="AI168" s="158">
        <f t="shared" si="10"/>
        <v>2023</v>
      </c>
    </row>
    <row r="169" ht="12.75" customHeight="1">
      <c r="A169" s="48" t="s">
        <v>319</v>
      </c>
      <c r="B169" s="160" t="str">
        <f>iferror(VLOOKUP((LEFT(A169,6)),CUSTOMER_DETAILS,2,FALSE),"-")</f>
        <v>NAGPUR FUELS</v>
      </c>
      <c r="C169" s="161" t="s">
        <v>89</v>
      </c>
      <c r="D169" s="162">
        <v>45003.0</v>
      </c>
      <c r="E169" s="161" t="s">
        <v>89</v>
      </c>
      <c r="F169" s="30" t="s">
        <v>89</v>
      </c>
      <c r="G169" s="30" t="s">
        <v>89</v>
      </c>
      <c r="H169" s="30" t="s">
        <v>89</v>
      </c>
      <c r="I169" s="48" t="s">
        <v>108</v>
      </c>
      <c r="J169" s="188">
        <f t="shared" si="11"/>
        <v>45003</v>
      </c>
      <c r="K169" s="48">
        <v>185.0</v>
      </c>
      <c r="L169" s="48" t="s">
        <v>108</v>
      </c>
      <c r="M169" s="48" t="s">
        <v>91</v>
      </c>
      <c r="N169" s="48" t="s">
        <v>125</v>
      </c>
      <c r="O169" s="30" t="s">
        <v>89</v>
      </c>
      <c r="Q169" s="48" t="s">
        <v>117</v>
      </c>
      <c r="R169" s="161">
        <f>IFERROR(VLOOKUP(Q169,'PRODUCT TABLE'!$A$2:$B$26,2,FALSE),"-")</f>
        <v>44011090</v>
      </c>
      <c r="S169" s="48">
        <v>21225.0</v>
      </c>
      <c r="T169" s="48">
        <v>12.1</v>
      </c>
      <c r="U169" s="48" t="s">
        <v>95</v>
      </c>
      <c r="V169" s="161">
        <f t="shared" si="1"/>
        <v>256822.5</v>
      </c>
      <c r="W169" s="189">
        <v>0.025</v>
      </c>
      <c r="X169" s="189">
        <v>0.025</v>
      </c>
      <c r="Y169" s="186">
        <v>0.0</v>
      </c>
      <c r="Z169" s="169">
        <f t="shared" si="2"/>
        <v>269664</v>
      </c>
      <c r="AA169" s="167">
        <f t="shared" si="3"/>
        <v>0.375</v>
      </c>
      <c r="AB169" s="161"/>
      <c r="AC169" s="161">
        <f t="shared" si="4"/>
        <v>256822.5</v>
      </c>
      <c r="AD169" s="161">
        <f t="shared" si="5"/>
        <v>6420.5625</v>
      </c>
      <c r="AE169" s="161">
        <f t="shared" si="6"/>
        <v>6420.5625</v>
      </c>
      <c r="AF169" s="167">
        <f t="shared" si="7"/>
        <v>0</v>
      </c>
      <c r="AG169" s="167">
        <f t="shared" si="8"/>
        <v>12841.125</v>
      </c>
      <c r="AH169" s="158">
        <f t="shared" si="9"/>
        <v>3</v>
      </c>
      <c r="AI169" s="158">
        <f t="shared" si="10"/>
        <v>2023</v>
      </c>
    </row>
    <row r="170" ht="12.75" customHeight="1">
      <c r="A170" s="48" t="s">
        <v>320</v>
      </c>
      <c r="B170" s="160" t="str">
        <f>iferror(VLOOKUP((LEFT(A170,6)),CUSTOMER_DETAILS,2,FALSE),"-")</f>
        <v>SAI KALYANI AGENCY</v>
      </c>
      <c r="C170" s="161" t="s">
        <v>89</v>
      </c>
      <c r="D170" s="162">
        <v>45004.0</v>
      </c>
      <c r="E170" s="161" t="s">
        <v>89</v>
      </c>
      <c r="F170" s="30" t="s">
        <v>89</v>
      </c>
      <c r="G170" s="30" t="s">
        <v>89</v>
      </c>
      <c r="H170" s="30" t="s">
        <v>89</v>
      </c>
      <c r="I170" s="48" t="s">
        <v>108</v>
      </c>
      <c r="J170" s="188">
        <f t="shared" si="11"/>
        <v>45004</v>
      </c>
      <c r="K170" s="48">
        <v>186.0</v>
      </c>
      <c r="L170" s="48" t="s">
        <v>108</v>
      </c>
      <c r="M170" s="48" t="s">
        <v>245</v>
      </c>
      <c r="N170" s="48" t="s">
        <v>321</v>
      </c>
      <c r="O170" s="30" t="s">
        <v>89</v>
      </c>
      <c r="P170" s="48" t="s">
        <v>322</v>
      </c>
      <c r="Q170" s="48" t="s">
        <v>117</v>
      </c>
      <c r="R170" s="161">
        <f>IFERROR(VLOOKUP(Q170,'PRODUCT TABLE'!$A$2:$B$26,2,FALSE),"-")</f>
        <v>44011090</v>
      </c>
      <c r="S170" s="48">
        <v>13520.0</v>
      </c>
      <c r="T170" s="48">
        <v>11.4</v>
      </c>
      <c r="U170" s="48" t="s">
        <v>95</v>
      </c>
      <c r="V170" s="161">
        <f t="shared" si="1"/>
        <v>154128</v>
      </c>
      <c r="W170" s="186">
        <v>0.0</v>
      </c>
      <c r="X170" s="186">
        <v>0.0</v>
      </c>
      <c r="Y170" s="186">
        <v>0.05</v>
      </c>
      <c r="Z170" s="169">
        <f t="shared" si="2"/>
        <v>161834</v>
      </c>
      <c r="AA170" s="167">
        <f t="shared" si="3"/>
        <v>-0.4</v>
      </c>
      <c r="AB170" s="161"/>
      <c r="AC170" s="161">
        <f t="shared" si="4"/>
        <v>154128</v>
      </c>
      <c r="AD170" s="161">
        <f t="shared" si="5"/>
        <v>0</v>
      </c>
      <c r="AE170" s="161">
        <f t="shared" si="6"/>
        <v>0</v>
      </c>
      <c r="AF170" s="167">
        <f t="shared" si="7"/>
        <v>7706.4</v>
      </c>
      <c r="AG170" s="167">
        <f t="shared" si="8"/>
        <v>7706.4</v>
      </c>
      <c r="AH170" s="158">
        <f t="shared" si="9"/>
        <v>3</v>
      </c>
      <c r="AI170" s="158">
        <f t="shared" si="10"/>
        <v>2023</v>
      </c>
    </row>
    <row r="171" ht="12.75" customHeight="1">
      <c r="A171" s="48" t="s">
        <v>323</v>
      </c>
      <c r="B171" s="160" t="str">
        <f>iferror(VLOOKUP((LEFT(A171,6)),CUSTOMER_DETAILS,2,FALSE),"-")</f>
        <v>SAI KALYANI AGENCY</v>
      </c>
      <c r="C171" s="161" t="s">
        <v>89</v>
      </c>
      <c r="D171" s="162">
        <v>45004.0</v>
      </c>
      <c r="E171" s="161" t="s">
        <v>89</v>
      </c>
      <c r="F171" s="30" t="s">
        <v>89</v>
      </c>
      <c r="G171" s="30" t="s">
        <v>89</v>
      </c>
      <c r="H171" s="30" t="s">
        <v>89</v>
      </c>
      <c r="I171" s="48" t="s">
        <v>108</v>
      </c>
      <c r="J171" s="188">
        <f t="shared" si="11"/>
        <v>45004</v>
      </c>
      <c r="K171" s="48">
        <v>187.0</v>
      </c>
      <c r="L171" s="48" t="s">
        <v>108</v>
      </c>
      <c r="M171" s="48" t="s">
        <v>245</v>
      </c>
      <c r="N171" s="48" t="s">
        <v>321</v>
      </c>
      <c r="O171" s="30" t="s">
        <v>89</v>
      </c>
      <c r="P171" s="48" t="s">
        <v>322</v>
      </c>
      <c r="Q171" s="48" t="s">
        <v>233</v>
      </c>
      <c r="R171" s="161">
        <f>IFERROR(VLOOKUP(Q171,'PRODUCT TABLE'!$A$2:$B$26,2,FALSE),"-")</f>
        <v>44011090</v>
      </c>
      <c r="S171" s="48">
        <v>8350.0</v>
      </c>
      <c r="T171" s="48">
        <v>10.75</v>
      </c>
      <c r="U171" s="48" t="s">
        <v>95</v>
      </c>
      <c r="V171" s="161">
        <f t="shared" si="1"/>
        <v>89762.5</v>
      </c>
      <c r="W171" s="186">
        <v>0.0</v>
      </c>
      <c r="X171" s="186">
        <v>0.0</v>
      </c>
      <c r="Y171" s="186">
        <v>0.05</v>
      </c>
      <c r="Z171" s="169">
        <f t="shared" si="2"/>
        <v>94251</v>
      </c>
      <c r="AA171" s="167">
        <f t="shared" si="3"/>
        <v>0.375</v>
      </c>
      <c r="AB171" s="161"/>
      <c r="AC171" s="161">
        <f t="shared" si="4"/>
        <v>89762.5</v>
      </c>
      <c r="AD171" s="161">
        <f t="shared" si="5"/>
        <v>0</v>
      </c>
      <c r="AE171" s="161">
        <f t="shared" si="6"/>
        <v>0</v>
      </c>
      <c r="AF171" s="167">
        <f t="shared" si="7"/>
        <v>4488.125</v>
      </c>
      <c r="AG171" s="167">
        <f t="shared" si="8"/>
        <v>4488.125</v>
      </c>
      <c r="AH171" s="158">
        <f t="shared" si="9"/>
        <v>3</v>
      </c>
      <c r="AI171" s="158">
        <f t="shared" si="10"/>
        <v>2023</v>
      </c>
    </row>
    <row r="172" ht="12.75" customHeight="1">
      <c r="A172" s="48" t="s">
        <v>324</v>
      </c>
      <c r="B172" s="160" t="str">
        <f>iferror(VLOOKUP((LEFT(A172,6)),CUSTOMER_DETAILS,2,FALSE),"-")</f>
        <v>NAGPUR FUELS</v>
      </c>
      <c r="C172" s="161" t="s">
        <v>89</v>
      </c>
      <c r="D172" s="162">
        <v>45004.0</v>
      </c>
      <c r="E172" s="175" t="s">
        <v>89</v>
      </c>
      <c r="F172" s="30" t="s">
        <v>89</v>
      </c>
      <c r="G172" s="30" t="s">
        <v>89</v>
      </c>
      <c r="H172" s="30" t="s">
        <v>89</v>
      </c>
      <c r="I172" s="48" t="s">
        <v>108</v>
      </c>
      <c r="J172" s="188">
        <f t="shared" si="11"/>
        <v>45004</v>
      </c>
      <c r="K172" s="48">
        <v>188.0</v>
      </c>
      <c r="L172" s="48" t="s">
        <v>108</v>
      </c>
      <c r="M172" s="48" t="s">
        <v>245</v>
      </c>
      <c r="N172" s="48" t="s">
        <v>125</v>
      </c>
      <c r="O172" s="30" t="s">
        <v>89</v>
      </c>
      <c r="Q172" s="48" t="s">
        <v>117</v>
      </c>
      <c r="R172" s="161">
        <f>IFERROR(VLOOKUP(Q172,'PRODUCT TABLE'!$A$2:$B$26,2,FALSE),"-")</f>
        <v>44011090</v>
      </c>
      <c r="S172" s="48">
        <v>11690.0</v>
      </c>
      <c r="T172" s="48">
        <v>12.0</v>
      </c>
      <c r="U172" s="48" t="s">
        <v>95</v>
      </c>
      <c r="V172" s="161">
        <f t="shared" si="1"/>
        <v>140280</v>
      </c>
      <c r="W172" s="189">
        <v>0.025</v>
      </c>
      <c r="X172" s="189">
        <v>0.025</v>
      </c>
      <c r="Y172" s="186">
        <v>0.0</v>
      </c>
      <c r="Z172" s="169">
        <f t="shared" si="2"/>
        <v>147294</v>
      </c>
      <c r="AA172" s="167">
        <f t="shared" si="3"/>
        <v>0</v>
      </c>
      <c r="AB172" s="161"/>
      <c r="AC172" s="161">
        <f t="shared" si="4"/>
        <v>140280</v>
      </c>
      <c r="AD172" s="161">
        <f t="shared" si="5"/>
        <v>3507</v>
      </c>
      <c r="AE172" s="161">
        <f t="shared" si="6"/>
        <v>3507</v>
      </c>
      <c r="AF172" s="167">
        <f t="shared" si="7"/>
        <v>0</v>
      </c>
      <c r="AG172" s="167">
        <f t="shared" si="8"/>
        <v>7014</v>
      </c>
      <c r="AH172" s="158">
        <f t="shared" si="9"/>
        <v>3</v>
      </c>
      <c r="AI172" s="158">
        <f t="shared" si="10"/>
        <v>2023</v>
      </c>
    </row>
    <row r="173" ht="12.75" customHeight="1">
      <c r="A173" s="48" t="s">
        <v>325</v>
      </c>
      <c r="B173" s="160" t="str">
        <f>iferror(VLOOKUP((LEFT(A173,6)),CUSTOMER_DETAILS,2,FALSE),"-")</f>
        <v>BHARTI ENTERPRISES</v>
      </c>
      <c r="C173" s="161" t="s">
        <v>89</v>
      </c>
      <c r="D173" s="162">
        <v>45006.0</v>
      </c>
      <c r="E173" s="161" t="s">
        <v>89</v>
      </c>
      <c r="F173" s="30" t="s">
        <v>89</v>
      </c>
      <c r="G173" s="30" t="s">
        <v>89</v>
      </c>
      <c r="H173" s="30" t="s">
        <v>89</v>
      </c>
      <c r="I173" s="48" t="s">
        <v>108</v>
      </c>
      <c r="J173" s="188">
        <f t="shared" si="11"/>
        <v>45006</v>
      </c>
      <c r="K173" s="48">
        <v>189.0</v>
      </c>
      <c r="L173" s="48" t="s">
        <v>108</v>
      </c>
      <c r="M173" s="48" t="s">
        <v>245</v>
      </c>
      <c r="N173" s="48" t="s">
        <v>135</v>
      </c>
      <c r="O173" s="30" t="s">
        <v>89</v>
      </c>
      <c r="Q173" s="48" t="s">
        <v>117</v>
      </c>
      <c r="R173" s="161">
        <f>IFERROR(VLOOKUP(Q173,'PRODUCT TABLE'!$A$2:$B$26,2,FALSE),"-")</f>
        <v>44011090</v>
      </c>
      <c r="S173" s="48">
        <v>300.0</v>
      </c>
      <c r="T173" s="48">
        <v>12.5</v>
      </c>
      <c r="U173" s="48" t="s">
        <v>95</v>
      </c>
      <c r="V173" s="161">
        <f t="shared" si="1"/>
        <v>3750</v>
      </c>
      <c r="W173" s="189">
        <v>0.025</v>
      </c>
      <c r="X173" s="189">
        <v>0.025</v>
      </c>
      <c r="Y173" s="186">
        <v>0.0</v>
      </c>
      <c r="Z173" s="169">
        <f t="shared" si="2"/>
        <v>3937</v>
      </c>
      <c r="AA173" s="167">
        <f t="shared" si="3"/>
        <v>-0.5</v>
      </c>
      <c r="AB173" s="161"/>
      <c r="AC173" s="161">
        <f t="shared" si="4"/>
        <v>3750</v>
      </c>
      <c r="AD173" s="161">
        <f t="shared" si="5"/>
        <v>93.75</v>
      </c>
      <c r="AE173" s="161">
        <f t="shared" si="6"/>
        <v>93.75</v>
      </c>
      <c r="AF173" s="167">
        <f t="shared" si="7"/>
        <v>0</v>
      </c>
      <c r="AG173" s="167">
        <f t="shared" si="8"/>
        <v>187.5</v>
      </c>
      <c r="AH173" s="158">
        <f t="shared" si="9"/>
        <v>3</v>
      </c>
      <c r="AI173" s="158">
        <f t="shared" si="10"/>
        <v>2023</v>
      </c>
    </row>
    <row r="174" ht="12.75" customHeight="1">
      <c r="A174" s="48" t="s">
        <v>326</v>
      </c>
      <c r="B174" s="160" t="str">
        <f>iferror(VLOOKUP((LEFT(A174,6)),CUSTOMER_DETAILS,2,FALSE),"-")</f>
        <v>SHREE BAIDYANATH AYUR BHAWAN PVT LTD</v>
      </c>
      <c r="C174" s="161" t="s">
        <v>89</v>
      </c>
      <c r="D174" s="162">
        <v>45007.0</v>
      </c>
      <c r="E174" s="161" t="s">
        <v>89</v>
      </c>
      <c r="F174" s="30" t="s">
        <v>89</v>
      </c>
      <c r="G174" s="30" t="s">
        <v>89</v>
      </c>
      <c r="H174" s="30" t="s">
        <v>89</v>
      </c>
      <c r="I174" s="48" t="s">
        <v>108</v>
      </c>
      <c r="J174" s="188">
        <f t="shared" si="11"/>
        <v>45007</v>
      </c>
      <c r="K174" s="48">
        <v>190.0</v>
      </c>
      <c r="L174" s="48" t="s">
        <v>108</v>
      </c>
      <c r="M174" s="48" t="s">
        <v>91</v>
      </c>
      <c r="N174" s="48" t="s">
        <v>263</v>
      </c>
      <c r="O174" s="30" t="s">
        <v>89</v>
      </c>
      <c r="P174" s="48" t="s">
        <v>327</v>
      </c>
      <c r="Q174" s="48" t="s">
        <v>94</v>
      </c>
      <c r="R174" s="161">
        <f>IFERROR(VLOOKUP(Q174,'PRODUCT TABLE'!$A$2:$B$26,2,FALSE),"-")</f>
        <v>44011090</v>
      </c>
      <c r="S174" s="48">
        <v>9855.0</v>
      </c>
      <c r="T174" s="48">
        <v>6.7</v>
      </c>
      <c r="U174" s="48" t="s">
        <v>95</v>
      </c>
      <c r="V174" s="161">
        <f t="shared" si="1"/>
        <v>66028.5</v>
      </c>
      <c r="W174" s="189">
        <v>0.025</v>
      </c>
      <c r="X174" s="189">
        <v>0.025</v>
      </c>
      <c r="Y174" s="186">
        <v>0.0</v>
      </c>
      <c r="Z174" s="169">
        <f t="shared" si="2"/>
        <v>69330</v>
      </c>
      <c r="AA174" s="167">
        <f t="shared" si="3"/>
        <v>0.075</v>
      </c>
      <c r="AB174" s="161"/>
      <c r="AC174" s="161">
        <f t="shared" si="4"/>
        <v>66028.5</v>
      </c>
      <c r="AD174" s="161">
        <f t="shared" si="5"/>
        <v>1650.7125</v>
      </c>
      <c r="AE174" s="161">
        <f t="shared" si="6"/>
        <v>1650.7125</v>
      </c>
      <c r="AF174" s="167">
        <f t="shared" si="7"/>
        <v>0</v>
      </c>
      <c r="AG174" s="167">
        <f t="shared" si="8"/>
        <v>3301.425</v>
      </c>
      <c r="AH174" s="158">
        <f t="shared" si="9"/>
        <v>3</v>
      </c>
      <c r="AI174" s="158">
        <f t="shared" si="10"/>
        <v>2023</v>
      </c>
    </row>
    <row r="175" ht="12.75" customHeight="1">
      <c r="A175" s="48" t="s">
        <v>328</v>
      </c>
      <c r="B175" s="160" t="str">
        <f>iferror(VLOOKUP((LEFT(A175,6)),CUSTOMER_DETAILS,2,FALSE),"-")</f>
        <v>LECILITE INGREDIENTS PVT LTD</v>
      </c>
      <c r="C175" s="161" t="s">
        <v>89</v>
      </c>
      <c r="D175" s="162">
        <v>45009.0</v>
      </c>
      <c r="E175" s="161" t="s">
        <v>89</v>
      </c>
      <c r="F175" s="164" t="s">
        <v>329</v>
      </c>
      <c r="G175" s="30" t="s">
        <v>89</v>
      </c>
      <c r="H175" s="30" t="s">
        <v>89</v>
      </c>
      <c r="I175" s="48" t="s">
        <v>330</v>
      </c>
      <c r="J175" s="188">
        <f t="shared" si="11"/>
        <v>45009</v>
      </c>
      <c r="K175" s="48">
        <v>191.0</v>
      </c>
      <c r="L175" s="48" t="s">
        <v>108</v>
      </c>
      <c r="M175" s="48" t="s">
        <v>91</v>
      </c>
      <c r="N175" s="48" t="s">
        <v>135</v>
      </c>
      <c r="O175" s="30" t="s">
        <v>89</v>
      </c>
      <c r="P175" s="48" t="s">
        <v>331</v>
      </c>
      <c r="Q175" s="48" t="s">
        <v>94</v>
      </c>
      <c r="R175" s="161">
        <f>IFERROR(VLOOKUP(Q175,'PRODUCT TABLE'!$A$2:$B$26,2,FALSE),"-")</f>
        <v>44011090</v>
      </c>
      <c r="S175" s="48">
        <v>12290.0</v>
      </c>
      <c r="T175" s="48">
        <v>6.0</v>
      </c>
      <c r="U175" s="48" t="s">
        <v>95</v>
      </c>
      <c r="V175" s="161">
        <f t="shared" si="1"/>
        <v>73740</v>
      </c>
      <c r="W175" s="189">
        <v>0.025</v>
      </c>
      <c r="X175" s="189">
        <v>0.025</v>
      </c>
      <c r="Y175" s="186">
        <v>0.0</v>
      </c>
      <c r="Z175" s="169">
        <f t="shared" si="2"/>
        <v>77427</v>
      </c>
      <c r="AA175" s="167">
        <f t="shared" si="3"/>
        <v>0</v>
      </c>
      <c r="AB175" s="161"/>
      <c r="AC175" s="161">
        <f t="shared" si="4"/>
        <v>73740</v>
      </c>
      <c r="AD175" s="161">
        <f t="shared" si="5"/>
        <v>1843.5</v>
      </c>
      <c r="AE175" s="161">
        <f t="shared" si="6"/>
        <v>1843.5</v>
      </c>
      <c r="AF175" s="167">
        <f t="shared" si="7"/>
        <v>0</v>
      </c>
      <c r="AG175" s="167">
        <f t="shared" si="8"/>
        <v>3687</v>
      </c>
      <c r="AH175" s="158">
        <f t="shared" si="9"/>
        <v>3</v>
      </c>
      <c r="AI175" s="158">
        <f t="shared" si="10"/>
        <v>2023</v>
      </c>
    </row>
    <row r="176" ht="12.75" customHeight="1">
      <c r="A176" s="48" t="s">
        <v>332</v>
      </c>
      <c r="B176" s="160" t="str">
        <f>iferror(VLOOKUP((LEFT(A176,6)),CUSTOMER_DETAILS,2,FALSE),"-")</f>
        <v>BHARTI ENTERPRISES</v>
      </c>
      <c r="C176" s="161" t="s">
        <v>89</v>
      </c>
      <c r="D176" s="162">
        <v>45007.0</v>
      </c>
      <c r="E176" s="161" t="s">
        <v>89</v>
      </c>
      <c r="F176" s="30" t="s">
        <v>89</v>
      </c>
      <c r="G176" s="30" t="s">
        <v>89</v>
      </c>
      <c r="H176" s="30" t="s">
        <v>89</v>
      </c>
      <c r="I176" s="48" t="s">
        <v>108</v>
      </c>
      <c r="J176" s="188">
        <f t="shared" si="11"/>
        <v>45007</v>
      </c>
      <c r="K176" s="48">
        <v>192.0</v>
      </c>
      <c r="L176" s="48" t="s">
        <v>108</v>
      </c>
      <c r="M176" s="48" t="s">
        <v>91</v>
      </c>
      <c r="N176" s="48" t="s">
        <v>135</v>
      </c>
      <c r="O176" s="30" t="s">
        <v>89</v>
      </c>
      <c r="Q176" s="48" t="s">
        <v>117</v>
      </c>
      <c r="R176" s="161">
        <f>IFERROR(VLOOKUP(Q176,'PRODUCT TABLE'!$A$2:$B$26,2,FALSE),"-")</f>
        <v>44011090</v>
      </c>
      <c r="S176" s="48">
        <v>300.0</v>
      </c>
      <c r="T176" s="48">
        <v>12.5</v>
      </c>
      <c r="U176" s="48" t="s">
        <v>95</v>
      </c>
      <c r="V176" s="161">
        <f t="shared" si="1"/>
        <v>3750</v>
      </c>
      <c r="W176" s="189">
        <v>0.025</v>
      </c>
      <c r="X176" s="189">
        <v>0.025</v>
      </c>
      <c r="Y176" s="186">
        <v>0.0</v>
      </c>
      <c r="Z176" s="169">
        <f t="shared" si="2"/>
        <v>3937</v>
      </c>
      <c r="AA176" s="167">
        <f t="shared" si="3"/>
        <v>-0.5</v>
      </c>
      <c r="AB176" s="161"/>
      <c r="AC176" s="161">
        <f t="shared" si="4"/>
        <v>3750</v>
      </c>
      <c r="AD176" s="161">
        <f t="shared" si="5"/>
        <v>93.75</v>
      </c>
      <c r="AE176" s="161">
        <f t="shared" si="6"/>
        <v>93.75</v>
      </c>
      <c r="AF176" s="167">
        <f t="shared" si="7"/>
        <v>0</v>
      </c>
      <c r="AG176" s="167">
        <f t="shared" si="8"/>
        <v>187.5</v>
      </c>
      <c r="AH176" s="158">
        <f t="shared" si="9"/>
        <v>3</v>
      </c>
      <c r="AI176" s="158">
        <f t="shared" si="10"/>
        <v>2023</v>
      </c>
    </row>
    <row r="177" ht="12.75" customHeight="1">
      <c r="A177" s="48" t="s">
        <v>333</v>
      </c>
      <c r="B177" s="160" t="str">
        <f>iferror(VLOOKUP((LEFT(A177,6)),CUSTOMER_DETAILS,2,FALSE),"-")</f>
        <v>BHARTI ENTERPRISES</v>
      </c>
      <c r="C177" s="161" t="s">
        <v>89</v>
      </c>
      <c r="D177" s="162">
        <v>45012.0</v>
      </c>
      <c r="E177" s="161" t="s">
        <v>89</v>
      </c>
      <c r="F177" s="30" t="s">
        <v>89</v>
      </c>
      <c r="G177" s="30" t="s">
        <v>89</v>
      </c>
      <c r="H177" s="30" t="s">
        <v>89</v>
      </c>
      <c r="I177" s="48" t="s">
        <v>108</v>
      </c>
      <c r="J177" s="188">
        <f t="shared" si="11"/>
        <v>45012</v>
      </c>
      <c r="K177" s="48">
        <v>193.0</v>
      </c>
      <c r="L177" s="48" t="s">
        <v>108</v>
      </c>
      <c r="M177" s="48" t="s">
        <v>91</v>
      </c>
      <c r="N177" s="48" t="s">
        <v>135</v>
      </c>
      <c r="O177" s="30" t="s">
        <v>89</v>
      </c>
      <c r="Q177" s="48" t="s">
        <v>117</v>
      </c>
      <c r="R177" s="161">
        <f>IFERROR(VLOOKUP(Q177,'PRODUCT TABLE'!$A$2:$B$26,2,FALSE),"-")</f>
        <v>44011090</v>
      </c>
      <c r="S177" s="48">
        <v>300.0</v>
      </c>
      <c r="T177" s="48">
        <v>12.5</v>
      </c>
      <c r="U177" s="48" t="s">
        <v>95</v>
      </c>
      <c r="V177" s="161">
        <f t="shared" si="1"/>
        <v>3750</v>
      </c>
      <c r="W177" s="189">
        <v>0.025</v>
      </c>
      <c r="X177" s="189">
        <v>0.025</v>
      </c>
      <c r="Y177" s="186">
        <v>0.0</v>
      </c>
      <c r="Z177" s="169">
        <f t="shared" si="2"/>
        <v>3937</v>
      </c>
      <c r="AA177" s="167">
        <f t="shared" si="3"/>
        <v>-0.5</v>
      </c>
      <c r="AB177" s="161"/>
      <c r="AC177" s="161">
        <f t="shared" si="4"/>
        <v>3750</v>
      </c>
      <c r="AD177" s="161">
        <f t="shared" si="5"/>
        <v>93.75</v>
      </c>
      <c r="AE177" s="161">
        <f t="shared" si="6"/>
        <v>93.75</v>
      </c>
      <c r="AF177" s="167">
        <f t="shared" si="7"/>
        <v>0</v>
      </c>
      <c r="AG177" s="167">
        <f t="shared" si="8"/>
        <v>187.5</v>
      </c>
      <c r="AH177" s="158">
        <f t="shared" si="9"/>
        <v>3</v>
      </c>
      <c r="AI177" s="158">
        <f t="shared" si="10"/>
        <v>2023</v>
      </c>
    </row>
    <row r="178" ht="12.75" customHeight="1">
      <c r="A178" s="48" t="s">
        <v>334</v>
      </c>
      <c r="B178" s="160" t="str">
        <f>iferror(VLOOKUP((LEFT(A178,6)),CUSTOMER_DETAILS,2,FALSE),"-")</f>
        <v>NITIKA PHARMACEUTICALS SPECIALITIES PVT. LTD</v>
      </c>
      <c r="C178" s="161" t="s">
        <v>89</v>
      </c>
      <c r="D178" s="162">
        <v>45019.0</v>
      </c>
      <c r="E178" s="161" t="s">
        <v>89</v>
      </c>
      <c r="F178" s="164" t="s">
        <v>329</v>
      </c>
      <c r="G178" s="30" t="s">
        <v>89</v>
      </c>
      <c r="H178" s="30" t="s">
        <v>89</v>
      </c>
      <c r="I178" s="48" t="s">
        <v>335</v>
      </c>
      <c r="J178" s="188">
        <f t="shared" si="11"/>
        <v>45019</v>
      </c>
      <c r="K178" s="48">
        <v>194.0</v>
      </c>
      <c r="L178" s="48" t="s">
        <v>108</v>
      </c>
      <c r="M178" s="48" t="s">
        <v>91</v>
      </c>
      <c r="N178" s="48" t="s">
        <v>135</v>
      </c>
      <c r="O178" s="30" t="s">
        <v>89</v>
      </c>
      <c r="P178" s="48" t="s">
        <v>336</v>
      </c>
      <c r="Q178" s="48" t="s">
        <v>94</v>
      </c>
      <c r="R178" s="161">
        <f>IFERROR(VLOOKUP(Q178,'PRODUCT TABLE'!$A$2:$B$26,2,FALSE),"-")</f>
        <v>44011090</v>
      </c>
      <c r="S178" s="48">
        <v>10020.0</v>
      </c>
      <c r="T178" s="48">
        <v>6.2</v>
      </c>
      <c r="U178" s="48" t="s">
        <v>95</v>
      </c>
      <c r="V178" s="161">
        <f t="shared" si="1"/>
        <v>62124</v>
      </c>
      <c r="W178" s="189">
        <v>0.025</v>
      </c>
      <c r="X178" s="189">
        <v>0.025</v>
      </c>
      <c r="Y178" s="186">
        <v>0.0</v>
      </c>
      <c r="Z178" s="169">
        <f t="shared" si="2"/>
        <v>65230</v>
      </c>
      <c r="AA178" s="167">
        <f t="shared" si="3"/>
        <v>-0.2</v>
      </c>
      <c r="AB178" s="161"/>
      <c r="AC178" s="161">
        <f t="shared" si="4"/>
        <v>62124</v>
      </c>
      <c r="AD178" s="161">
        <f t="shared" si="5"/>
        <v>1553.1</v>
      </c>
      <c r="AE178" s="161">
        <f t="shared" si="6"/>
        <v>1553.1</v>
      </c>
      <c r="AF178" s="167">
        <f t="shared" si="7"/>
        <v>0</v>
      </c>
      <c r="AG178" s="167">
        <f t="shared" si="8"/>
        <v>3106.2</v>
      </c>
      <c r="AH178" s="158">
        <f t="shared" si="9"/>
        <v>4</v>
      </c>
      <c r="AI178" s="158">
        <f t="shared" si="10"/>
        <v>2023</v>
      </c>
    </row>
    <row r="179" ht="12.75" customHeight="1">
      <c r="A179" s="48" t="s">
        <v>337</v>
      </c>
      <c r="B179" s="160" t="str">
        <f>iferror(VLOOKUP((LEFT(A179,6)),CUSTOMER_DETAILS,2,FALSE),"-")</f>
        <v>SAI KALYANI AGENCY</v>
      </c>
      <c r="C179" s="161" t="s">
        <v>89</v>
      </c>
      <c r="D179" s="162">
        <v>45019.0</v>
      </c>
      <c r="E179" s="161" t="s">
        <v>89</v>
      </c>
      <c r="F179" s="30" t="s">
        <v>89</v>
      </c>
      <c r="G179" s="30" t="s">
        <v>89</v>
      </c>
      <c r="H179" s="30" t="s">
        <v>89</v>
      </c>
      <c r="I179" s="48" t="s">
        <v>108</v>
      </c>
      <c r="J179" s="188">
        <f t="shared" si="11"/>
        <v>45019</v>
      </c>
      <c r="K179" s="48">
        <v>195.0</v>
      </c>
      <c r="L179" s="48" t="s">
        <v>108</v>
      </c>
      <c r="M179" s="48" t="s">
        <v>91</v>
      </c>
      <c r="N179" s="48" t="s">
        <v>321</v>
      </c>
      <c r="O179" s="30" t="s">
        <v>89</v>
      </c>
      <c r="P179" s="48" t="s">
        <v>338</v>
      </c>
      <c r="Q179" s="48" t="s">
        <v>233</v>
      </c>
      <c r="R179" s="161">
        <f>IFERROR(VLOOKUP(Q179,'PRODUCT TABLE'!$A$2:$B$26,2,FALSE),"-")</f>
        <v>44011090</v>
      </c>
      <c r="S179" s="48">
        <v>24250.0</v>
      </c>
      <c r="T179" s="48">
        <v>10.8</v>
      </c>
      <c r="U179" s="48" t="s">
        <v>95</v>
      </c>
      <c r="V179" s="161">
        <f t="shared" si="1"/>
        <v>261900</v>
      </c>
      <c r="W179" s="189">
        <v>0.025</v>
      </c>
      <c r="X179" s="189">
        <v>0.025</v>
      </c>
      <c r="Y179" s="186">
        <v>0.0</v>
      </c>
      <c r="Z179" s="169">
        <f t="shared" si="2"/>
        <v>274995</v>
      </c>
      <c r="AA179" s="167">
        <f t="shared" si="3"/>
        <v>0</v>
      </c>
      <c r="AB179" s="161"/>
      <c r="AC179" s="161">
        <f t="shared" si="4"/>
        <v>261900</v>
      </c>
      <c r="AD179" s="161">
        <f t="shared" si="5"/>
        <v>6547.5</v>
      </c>
      <c r="AE179" s="161">
        <f t="shared" si="6"/>
        <v>6547.5</v>
      </c>
      <c r="AF179" s="167">
        <f t="shared" si="7"/>
        <v>0</v>
      </c>
      <c r="AG179" s="167">
        <f t="shared" si="8"/>
        <v>13095</v>
      </c>
      <c r="AH179" s="158">
        <f t="shared" si="9"/>
        <v>4</v>
      </c>
      <c r="AI179" s="158">
        <f t="shared" si="10"/>
        <v>2023</v>
      </c>
    </row>
    <row r="180" ht="12.75" customHeight="1">
      <c r="A180" s="48" t="s">
        <v>339</v>
      </c>
      <c r="B180" s="160" t="str">
        <f>iferror(VLOOKUP((LEFT(A180,6)),CUSTOMER_DETAILS,2,FALSE),"-")</f>
        <v>NAGPUR FUELS</v>
      </c>
      <c r="C180" s="161" t="s">
        <v>89</v>
      </c>
      <c r="D180" s="162">
        <v>45020.0</v>
      </c>
      <c r="E180" s="161" t="s">
        <v>89</v>
      </c>
      <c r="F180" s="30" t="s">
        <v>89</v>
      </c>
      <c r="G180" s="30" t="s">
        <v>89</v>
      </c>
      <c r="H180" s="30" t="s">
        <v>89</v>
      </c>
      <c r="I180" s="48" t="s">
        <v>108</v>
      </c>
      <c r="J180" s="188">
        <f t="shared" si="11"/>
        <v>45020</v>
      </c>
      <c r="K180" s="48">
        <v>196.0</v>
      </c>
      <c r="L180" s="48" t="s">
        <v>108</v>
      </c>
      <c r="M180" s="48" t="s">
        <v>91</v>
      </c>
      <c r="N180" s="48" t="s">
        <v>125</v>
      </c>
      <c r="O180" s="30" t="s">
        <v>89</v>
      </c>
      <c r="P180" s="48" t="s">
        <v>340</v>
      </c>
      <c r="Q180" s="48" t="s">
        <v>117</v>
      </c>
      <c r="R180" s="161">
        <f>IFERROR(VLOOKUP(Q180,'PRODUCT TABLE'!$A$2:$B$26,2,FALSE),"-")</f>
        <v>44011090</v>
      </c>
      <c r="S180" s="48">
        <v>10580.0</v>
      </c>
      <c r="T180" s="48">
        <v>11.8</v>
      </c>
      <c r="U180" s="48" t="s">
        <v>95</v>
      </c>
      <c r="V180" s="161">
        <f t="shared" si="1"/>
        <v>124844</v>
      </c>
      <c r="W180" s="189">
        <v>0.025</v>
      </c>
      <c r="X180" s="189">
        <v>0.025</v>
      </c>
      <c r="Y180" s="186">
        <v>0.0</v>
      </c>
      <c r="Z180" s="169">
        <f t="shared" si="2"/>
        <v>131086</v>
      </c>
      <c r="AA180" s="167">
        <f t="shared" si="3"/>
        <v>-0.2</v>
      </c>
      <c r="AB180" s="161"/>
      <c r="AC180" s="161">
        <f t="shared" si="4"/>
        <v>124844</v>
      </c>
      <c r="AD180" s="161">
        <f t="shared" si="5"/>
        <v>3121.1</v>
      </c>
      <c r="AE180" s="161">
        <f t="shared" si="6"/>
        <v>3121.1</v>
      </c>
      <c r="AF180" s="167">
        <f t="shared" si="7"/>
        <v>0</v>
      </c>
      <c r="AG180" s="167">
        <f t="shared" si="8"/>
        <v>6242.2</v>
      </c>
      <c r="AH180" s="158">
        <f t="shared" si="9"/>
        <v>4</v>
      </c>
      <c r="AI180" s="158">
        <f t="shared" si="10"/>
        <v>2023</v>
      </c>
    </row>
    <row r="181" ht="12.75" customHeight="1">
      <c r="A181" s="48" t="s">
        <v>341</v>
      </c>
      <c r="B181" s="160" t="str">
        <f>iferror(VLOOKUP((LEFT(A181,6)),CUSTOMER_DETAILS,2,FALSE),"-")</f>
        <v>SIDDHAYU AYURVEDIC RESEARCH FOUNDATION PVT LTD</v>
      </c>
      <c r="C181" s="161" t="s">
        <v>89</v>
      </c>
      <c r="D181" s="162">
        <v>45028.0</v>
      </c>
      <c r="E181" s="161" t="s">
        <v>89</v>
      </c>
      <c r="F181" s="30" t="s">
        <v>89</v>
      </c>
      <c r="G181" s="30" t="s">
        <v>89</v>
      </c>
      <c r="H181" s="30" t="s">
        <v>89</v>
      </c>
      <c r="I181" s="48" t="s">
        <v>330</v>
      </c>
      <c r="J181" s="188">
        <f t="shared" si="11"/>
        <v>45028</v>
      </c>
      <c r="K181" s="48">
        <v>197.0</v>
      </c>
      <c r="L181" s="48" t="s">
        <v>108</v>
      </c>
      <c r="M181" s="48" t="s">
        <v>91</v>
      </c>
      <c r="N181" s="48" t="s">
        <v>269</v>
      </c>
      <c r="O181" s="30" t="s">
        <v>89</v>
      </c>
      <c r="P181" s="48" t="s">
        <v>342</v>
      </c>
      <c r="Q181" s="48" t="s">
        <v>94</v>
      </c>
      <c r="R181" s="161">
        <f>IFERROR(VLOOKUP(Q181,'PRODUCT TABLE'!$A$2:$B$26,2,FALSE),"-")</f>
        <v>44011090</v>
      </c>
      <c r="S181" s="48">
        <v>10095.0</v>
      </c>
      <c r="T181" s="48">
        <v>6.7</v>
      </c>
      <c r="U181" s="48" t="s">
        <v>95</v>
      </c>
      <c r="V181" s="161">
        <f t="shared" si="1"/>
        <v>67636.5</v>
      </c>
      <c r="W181" s="189">
        <v>0.025</v>
      </c>
      <c r="X181" s="189">
        <v>0.025</v>
      </c>
      <c r="Y181" s="186">
        <v>0.0</v>
      </c>
      <c r="Z181" s="169">
        <f t="shared" si="2"/>
        <v>71018</v>
      </c>
      <c r="AA181" s="167">
        <f t="shared" si="3"/>
        <v>-0.325</v>
      </c>
      <c r="AB181" s="161"/>
      <c r="AC181" s="161">
        <f t="shared" si="4"/>
        <v>67636.5</v>
      </c>
      <c r="AD181" s="161">
        <f t="shared" si="5"/>
        <v>1690.9125</v>
      </c>
      <c r="AE181" s="161">
        <f t="shared" si="6"/>
        <v>1690.9125</v>
      </c>
      <c r="AF181" s="167">
        <f t="shared" si="7"/>
        <v>0</v>
      </c>
      <c r="AG181" s="167">
        <f t="shared" si="8"/>
        <v>3381.825</v>
      </c>
      <c r="AH181" s="158">
        <f t="shared" si="9"/>
        <v>4</v>
      </c>
      <c r="AI181" s="158">
        <f t="shared" si="10"/>
        <v>2023</v>
      </c>
    </row>
    <row r="182" ht="12.75" customHeight="1">
      <c r="A182" s="48" t="s">
        <v>343</v>
      </c>
      <c r="B182" s="160" t="str">
        <f>iferror(VLOOKUP((LEFT(A182,6)),CUSTOMER_DETAILS,2,FALSE),"-")</f>
        <v>KRISHNA ENTERPRISES</v>
      </c>
      <c r="C182" s="161" t="s">
        <v>89</v>
      </c>
      <c r="D182" s="162">
        <v>45026.0</v>
      </c>
      <c r="E182" s="161" t="s">
        <v>89</v>
      </c>
      <c r="F182" s="30" t="s">
        <v>89</v>
      </c>
      <c r="G182" s="30" t="s">
        <v>89</v>
      </c>
      <c r="H182" s="30" t="s">
        <v>89</v>
      </c>
      <c r="I182" s="48" t="s">
        <v>108</v>
      </c>
      <c r="J182" s="188">
        <f t="shared" si="11"/>
        <v>45026</v>
      </c>
      <c r="K182" s="48">
        <v>198.0</v>
      </c>
      <c r="L182" s="48" t="s">
        <v>108</v>
      </c>
      <c r="M182" s="48" t="s">
        <v>91</v>
      </c>
      <c r="N182" s="48" t="s">
        <v>125</v>
      </c>
      <c r="O182" s="30" t="s">
        <v>89</v>
      </c>
      <c r="Q182" s="48" t="s">
        <v>117</v>
      </c>
      <c r="R182" s="161">
        <f>IFERROR(VLOOKUP(Q182,'PRODUCT TABLE'!$A$2:$B$26,2,FALSE),"-")</f>
        <v>44011090</v>
      </c>
      <c r="S182" s="48">
        <v>10010.0</v>
      </c>
      <c r="T182" s="48">
        <v>11.0</v>
      </c>
      <c r="U182" s="48" t="s">
        <v>95</v>
      </c>
      <c r="V182" s="161">
        <f t="shared" si="1"/>
        <v>110110</v>
      </c>
      <c r="W182" s="189">
        <v>0.025</v>
      </c>
      <c r="X182" s="189">
        <v>0.025</v>
      </c>
      <c r="Y182" s="186">
        <v>0.0</v>
      </c>
      <c r="Z182" s="169">
        <f t="shared" si="2"/>
        <v>115615</v>
      </c>
      <c r="AA182" s="167">
        <f t="shared" si="3"/>
        <v>-0.5</v>
      </c>
      <c r="AB182" s="161"/>
      <c r="AC182" s="161">
        <f t="shared" si="4"/>
        <v>110110</v>
      </c>
      <c r="AD182" s="161">
        <f t="shared" si="5"/>
        <v>2752.75</v>
      </c>
      <c r="AE182" s="161">
        <f t="shared" si="6"/>
        <v>2752.75</v>
      </c>
      <c r="AF182" s="167">
        <f t="shared" si="7"/>
        <v>0</v>
      </c>
      <c r="AG182" s="167">
        <f t="shared" si="8"/>
        <v>5505.5</v>
      </c>
      <c r="AH182" s="158">
        <f t="shared" si="9"/>
        <v>4</v>
      </c>
      <c r="AI182" s="158">
        <f t="shared" si="10"/>
        <v>2023</v>
      </c>
    </row>
    <row r="183" ht="12.75" customHeight="1">
      <c r="A183" s="48" t="s">
        <v>344</v>
      </c>
      <c r="B183" s="160" t="str">
        <f>iferror(VLOOKUP((LEFT(A183,6)),CUSTOMER_DETAILS,2,FALSE),"-")</f>
        <v>BHARTI ENTERPRISES</v>
      </c>
      <c r="C183" s="161" t="s">
        <v>89</v>
      </c>
      <c r="D183" s="162">
        <v>45025.0</v>
      </c>
      <c r="E183" s="161" t="s">
        <v>89</v>
      </c>
      <c r="F183" s="30" t="s">
        <v>89</v>
      </c>
      <c r="G183" s="30" t="s">
        <v>89</v>
      </c>
      <c r="H183" s="30" t="s">
        <v>89</v>
      </c>
      <c r="I183" s="48" t="s">
        <v>108</v>
      </c>
      <c r="J183" s="188">
        <f t="shared" si="11"/>
        <v>45025</v>
      </c>
      <c r="K183" s="48">
        <v>199.0</v>
      </c>
      <c r="L183" s="48" t="s">
        <v>108</v>
      </c>
      <c r="M183" s="48" t="s">
        <v>91</v>
      </c>
      <c r="N183" s="48" t="s">
        <v>135</v>
      </c>
      <c r="O183" s="30" t="s">
        <v>89</v>
      </c>
      <c r="Q183" s="48" t="s">
        <v>117</v>
      </c>
      <c r="R183" s="161">
        <f>IFERROR(VLOOKUP(Q183,'PRODUCT TABLE'!$A$2:$B$26,2,FALSE),"-")</f>
        <v>44011090</v>
      </c>
      <c r="S183" s="48">
        <v>150.0</v>
      </c>
      <c r="T183" s="48">
        <v>12.5</v>
      </c>
      <c r="U183" s="48" t="s">
        <v>95</v>
      </c>
      <c r="V183" s="161">
        <f t="shared" si="1"/>
        <v>1875</v>
      </c>
      <c r="W183" s="189">
        <v>0.025</v>
      </c>
      <c r="X183" s="189">
        <v>0.025</v>
      </c>
      <c r="Y183" s="186">
        <v>0.0</v>
      </c>
      <c r="Z183" s="169">
        <f t="shared" si="2"/>
        <v>1969</v>
      </c>
      <c r="AA183" s="167">
        <f t="shared" si="3"/>
        <v>0.25</v>
      </c>
      <c r="AB183" s="161"/>
      <c r="AC183" s="161">
        <f t="shared" si="4"/>
        <v>1875</v>
      </c>
      <c r="AD183" s="161">
        <f t="shared" si="5"/>
        <v>46.875</v>
      </c>
      <c r="AE183" s="161">
        <f t="shared" si="6"/>
        <v>46.875</v>
      </c>
      <c r="AF183" s="167">
        <f t="shared" si="7"/>
        <v>0</v>
      </c>
      <c r="AG183" s="167">
        <f t="shared" si="8"/>
        <v>93.75</v>
      </c>
      <c r="AH183" s="158">
        <f t="shared" si="9"/>
        <v>4</v>
      </c>
      <c r="AI183" s="158">
        <f t="shared" si="10"/>
        <v>2023</v>
      </c>
    </row>
    <row r="184" ht="12.75" customHeight="1">
      <c r="A184" s="48" t="s">
        <v>345</v>
      </c>
      <c r="B184" s="160" t="str">
        <f>iferror(VLOOKUP((LEFT(A184,6)),CUSTOMER_DETAILS,2,FALSE),"-")</f>
        <v>A K WAFER PRODUCTS</v>
      </c>
      <c r="C184" s="161" t="s">
        <v>89</v>
      </c>
      <c r="D184" s="162">
        <v>45027.0</v>
      </c>
      <c r="E184" s="161" t="s">
        <v>89</v>
      </c>
      <c r="F184" s="30" t="s">
        <v>89</v>
      </c>
      <c r="G184" s="30" t="s">
        <v>89</v>
      </c>
      <c r="H184" s="30" t="s">
        <v>89</v>
      </c>
      <c r="I184" s="48" t="s">
        <v>108</v>
      </c>
      <c r="J184" s="188">
        <f t="shared" si="11"/>
        <v>45027</v>
      </c>
      <c r="K184" s="48">
        <v>200.0</v>
      </c>
      <c r="L184" s="48" t="s">
        <v>108</v>
      </c>
      <c r="M184" s="48" t="s">
        <v>91</v>
      </c>
      <c r="N184" s="48" t="s">
        <v>211</v>
      </c>
      <c r="O184" s="30" t="s">
        <v>89</v>
      </c>
      <c r="Q184" s="48" t="s">
        <v>117</v>
      </c>
      <c r="R184" s="161">
        <f>IFERROR(VLOOKUP(Q184,'PRODUCT TABLE'!$A$2:$B$26,2,FALSE),"-")</f>
        <v>44011090</v>
      </c>
      <c r="S184" s="48">
        <v>450.0</v>
      </c>
      <c r="T184" s="48">
        <v>11.5</v>
      </c>
      <c r="U184" s="48" t="s">
        <v>95</v>
      </c>
      <c r="V184" s="161">
        <f t="shared" si="1"/>
        <v>5175</v>
      </c>
      <c r="W184" s="189">
        <v>0.025</v>
      </c>
      <c r="X184" s="189">
        <v>0.025</v>
      </c>
      <c r="Y184" s="186">
        <v>0.0</v>
      </c>
      <c r="Z184" s="169">
        <f t="shared" si="2"/>
        <v>5434</v>
      </c>
      <c r="AA184" s="167">
        <f t="shared" si="3"/>
        <v>0.25</v>
      </c>
      <c r="AB184" s="161"/>
      <c r="AC184" s="161">
        <f t="shared" si="4"/>
        <v>5175</v>
      </c>
      <c r="AD184" s="161">
        <f t="shared" si="5"/>
        <v>129.375</v>
      </c>
      <c r="AE184" s="161">
        <f t="shared" si="6"/>
        <v>129.375</v>
      </c>
      <c r="AF184" s="167">
        <f t="shared" si="7"/>
        <v>0</v>
      </c>
      <c r="AG184" s="167">
        <f t="shared" si="8"/>
        <v>258.75</v>
      </c>
      <c r="AH184" s="158">
        <f t="shared" si="9"/>
        <v>4</v>
      </c>
      <c r="AI184" s="158">
        <f t="shared" si="10"/>
        <v>2023</v>
      </c>
    </row>
    <row r="185" ht="12.75" customHeight="1">
      <c r="A185" s="48" t="s">
        <v>346</v>
      </c>
      <c r="B185" s="160" t="str">
        <f>iferror(VLOOKUP((LEFT(A185,6)),CUSTOMER_DETAILS,2,FALSE),"-")</f>
        <v>VIDARBHA SALES</v>
      </c>
      <c r="C185" s="161" t="s">
        <v>89</v>
      </c>
      <c r="D185" s="162">
        <v>45027.0</v>
      </c>
      <c r="E185" s="161" t="s">
        <v>89</v>
      </c>
      <c r="F185" s="30" t="s">
        <v>89</v>
      </c>
      <c r="G185" s="30" t="s">
        <v>89</v>
      </c>
      <c r="H185" s="30" t="s">
        <v>89</v>
      </c>
      <c r="I185" s="48" t="s">
        <v>108</v>
      </c>
      <c r="J185" s="188">
        <f t="shared" si="11"/>
        <v>45027</v>
      </c>
      <c r="K185" s="48">
        <v>201.0</v>
      </c>
      <c r="L185" s="48" t="s">
        <v>108</v>
      </c>
      <c r="M185" s="48" t="s">
        <v>91</v>
      </c>
      <c r="N185" s="48" t="s">
        <v>128</v>
      </c>
      <c r="O185" s="30" t="s">
        <v>89</v>
      </c>
      <c r="Q185" s="48" t="s">
        <v>117</v>
      </c>
      <c r="R185" s="161">
        <f>IFERROR(VLOOKUP(Q185,'PRODUCT TABLE'!$A$2:$B$26,2,FALSE),"-")</f>
        <v>44011090</v>
      </c>
      <c r="S185" s="48">
        <v>450.0</v>
      </c>
      <c r="T185" s="48">
        <v>19.5</v>
      </c>
      <c r="U185" s="48" t="s">
        <v>95</v>
      </c>
      <c r="V185" s="161">
        <f t="shared" si="1"/>
        <v>8775</v>
      </c>
      <c r="W185" s="189">
        <v>0.025</v>
      </c>
      <c r="X185" s="189">
        <v>0.025</v>
      </c>
      <c r="Y185" s="186">
        <v>0.0</v>
      </c>
      <c r="Z185" s="169">
        <f t="shared" si="2"/>
        <v>9214</v>
      </c>
      <c r="AA185" s="167">
        <f t="shared" si="3"/>
        <v>0.25</v>
      </c>
      <c r="AB185" s="161"/>
      <c r="AC185" s="161">
        <f t="shared" si="4"/>
        <v>8775</v>
      </c>
      <c r="AD185" s="161">
        <f t="shared" si="5"/>
        <v>219.375</v>
      </c>
      <c r="AE185" s="161">
        <f t="shared" si="6"/>
        <v>219.375</v>
      </c>
      <c r="AF185" s="167">
        <f t="shared" si="7"/>
        <v>0</v>
      </c>
      <c r="AG185" s="167">
        <f t="shared" si="8"/>
        <v>438.75</v>
      </c>
      <c r="AH185" s="158">
        <f t="shared" si="9"/>
        <v>4</v>
      </c>
      <c r="AI185" s="158">
        <f t="shared" si="10"/>
        <v>2023</v>
      </c>
    </row>
    <row r="186" ht="12.75" customHeight="1">
      <c r="A186" s="48" t="s">
        <v>347</v>
      </c>
      <c r="B186" s="160" t="str">
        <f>iferror(VLOOKUP((LEFT(A186,6)),CUSTOMER_DETAILS,2,FALSE),"-")</f>
        <v>BHARTI ENTERPRISES</v>
      </c>
      <c r="C186" s="161" t="s">
        <v>89</v>
      </c>
      <c r="D186" s="162">
        <v>45029.0</v>
      </c>
      <c r="E186" s="161" t="s">
        <v>89</v>
      </c>
      <c r="F186" s="30" t="s">
        <v>89</v>
      </c>
      <c r="G186" s="30" t="s">
        <v>89</v>
      </c>
      <c r="H186" s="30" t="s">
        <v>89</v>
      </c>
      <c r="I186" s="48" t="s">
        <v>108</v>
      </c>
      <c r="J186" s="188">
        <f t="shared" si="11"/>
        <v>45029</v>
      </c>
      <c r="K186" s="48">
        <v>202.0</v>
      </c>
      <c r="L186" s="48" t="s">
        <v>108</v>
      </c>
      <c r="M186" s="48" t="s">
        <v>91</v>
      </c>
      <c r="N186" s="48" t="s">
        <v>135</v>
      </c>
      <c r="O186" s="30" t="s">
        <v>89</v>
      </c>
      <c r="Q186" s="48" t="s">
        <v>117</v>
      </c>
      <c r="R186" s="161">
        <f>IFERROR(VLOOKUP(Q186,'PRODUCT TABLE'!$A$2:$B$26,2,FALSE),"-")</f>
        <v>44011090</v>
      </c>
      <c r="S186" s="48">
        <v>390.0</v>
      </c>
      <c r="T186" s="48">
        <v>12.5</v>
      </c>
      <c r="U186" s="48" t="s">
        <v>95</v>
      </c>
      <c r="V186" s="161">
        <f t="shared" si="1"/>
        <v>4875</v>
      </c>
      <c r="W186" s="189">
        <v>0.025</v>
      </c>
      <c r="X186" s="189">
        <v>0.025</v>
      </c>
      <c r="Y186" s="186">
        <v>0.0</v>
      </c>
      <c r="Z186" s="169">
        <f t="shared" si="2"/>
        <v>5119</v>
      </c>
      <c r="AA186" s="167">
        <f t="shared" si="3"/>
        <v>0.25</v>
      </c>
      <c r="AB186" s="161"/>
      <c r="AC186" s="161">
        <f t="shared" si="4"/>
        <v>4875</v>
      </c>
      <c r="AD186" s="161">
        <f t="shared" si="5"/>
        <v>121.875</v>
      </c>
      <c r="AE186" s="161">
        <f t="shared" si="6"/>
        <v>121.875</v>
      </c>
      <c r="AF186" s="167">
        <f t="shared" si="7"/>
        <v>0</v>
      </c>
      <c r="AG186" s="167">
        <f t="shared" si="8"/>
        <v>243.75</v>
      </c>
      <c r="AH186" s="158">
        <f t="shared" si="9"/>
        <v>4</v>
      </c>
      <c r="AI186" s="158">
        <f t="shared" si="10"/>
        <v>2023</v>
      </c>
    </row>
    <row r="187" ht="12.75" customHeight="1">
      <c r="A187" s="48" t="s">
        <v>348</v>
      </c>
      <c r="B187" s="160" t="str">
        <f>iferror(VLOOKUP((LEFT(A187,6)),CUSTOMER_DETAILS,2,FALSE),"-")</f>
        <v>KRISHNA ENTERPRISES</v>
      </c>
      <c r="C187" s="161" t="s">
        <v>89</v>
      </c>
      <c r="D187" s="162">
        <v>45032.0</v>
      </c>
      <c r="E187" s="161" t="s">
        <v>89</v>
      </c>
      <c r="F187" s="30" t="s">
        <v>89</v>
      </c>
      <c r="G187" s="30" t="s">
        <v>89</v>
      </c>
      <c r="H187" s="30" t="s">
        <v>89</v>
      </c>
      <c r="I187" s="48" t="s">
        <v>108</v>
      </c>
      <c r="J187" s="188">
        <f t="shared" si="11"/>
        <v>45032</v>
      </c>
      <c r="K187" s="48">
        <v>203.0</v>
      </c>
      <c r="L187" s="48" t="s">
        <v>108</v>
      </c>
      <c r="M187" s="48" t="s">
        <v>91</v>
      </c>
      <c r="N187" s="48" t="s">
        <v>125</v>
      </c>
      <c r="O187" s="30" t="s">
        <v>89</v>
      </c>
      <c r="P187" s="48" t="s">
        <v>349</v>
      </c>
      <c r="Q187" s="48" t="s">
        <v>117</v>
      </c>
      <c r="R187" s="161">
        <f>IFERROR(VLOOKUP(Q187,'PRODUCT TABLE'!$A$2:$B$26,2,FALSE),"-")</f>
        <v>44011090</v>
      </c>
      <c r="S187" s="48">
        <v>24500.0</v>
      </c>
      <c r="T187" s="48">
        <v>10.8</v>
      </c>
      <c r="U187" s="48" t="s">
        <v>95</v>
      </c>
      <c r="V187" s="161">
        <f t="shared" si="1"/>
        <v>264600</v>
      </c>
      <c r="W187" s="189">
        <v>0.025</v>
      </c>
      <c r="X187" s="189">
        <v>0.025</v>
      </c>
      <c r="Y187" s="186">
        <v>0.0</v>
      </c>
      <c r="Z187" s="169">
        <f t="shared" si="2"/>
        <v>277830</v>
      </c>
      <c r="AA187" s="167">
        <f t="shared" si="3"/>
        <v>0</v>
      </c>
      <c r="AB187" s="161"/>
      <c r="AC187" s="161">
        <f t="shared" si="4"/>
        <v>264600</v>
      </c>
      <c r="AD187" s="161">
        <f t="shared" si="5"/>
        <v>6615</v>
      </c>
      <c r="AE187" s="161">
        <f t="shared" si="6"/>
        <v>6615</v>
      </c>
      <c r="AF187" s="167">
        <f t="shared" si="7"/>
        <v>0</v>
      </c>
      <c r="AG187" s="167">
        <f t="shared" si="8"/>
        <v>13230</v>
      </c>
      <c r="AH187" s="158">
        <f t="shared" si="9"/>
        <v>4</v>
      </c>
      <c r="AI187" s="158">
        <f t="shared" si="10"/>
        <v>2023</v>
      </c>
    </row>
    <row r="188" ht="12.75" customHeight="1">
      <c r="A188" s="48" t="s">
        <v>350</v>
      </c>
      <c r="B188" s="160" t="str">
        <f>iferror(VLOOKUP((LEFT(A188,6)),CUSTOMER_DETAILS,2,FALSE),"-")</f>
        <v>LECILITE INGREDIENTS PVT LTD</v>
      </c>
      <c r="C188" s="161" t="s">
        <v>89</v>
      </c>
      <c r="D188" s="162">
        <v>45036.0</v>
      </c>
      <c r="E188" s="161" t="s">
        <v>89</v>
      </c>
      <c r="F188" s="164" t="s">
        <v>329</v>
      </c>
      <c r="G188" s="30" t="s">
        <v>89</v>
      </c>
      <c r="H188" s="30" t="s">
        <v>89</v>
      </c>
      <c r="I188" s="48" t="s">
        <v>351</v>
      </c>
      <c r="J188" s="188">
        <f t="shared" si="11"/>
        <v>45036</v>
      </c>
      <c r="K188" s="48">
        <v>204.0</v>
      </c>
      <c r="L188" s="48" t="s">
        <v>108</v>
      </c>
      <c r="M188" s="48" t="s">
        <v>91</v>
      </c>
      <c r="N188" s="48" t="s">
        <v>135</v>
      </c>
      <c r="O188" s="30" t="s">
        <v>89</v>
      </c>
      <c r="P188" s="48" t="s">
        <v>331</v>
      </c>
      <c r="Q188" s="48" t="s">
        <v>94</v>
      </c>
      <c r="R188" s="161">
        <f>IFERROR(VLOOKUP(Q188,'PRODUCT TABLE'!$A$2:$B$26,2,FALSE),"-")</f>
        <v>44011090</v>
      </c>
      <c r="S188" s="48">
        <v>12070.0</v>
      </c>
      <c r="T188" s="48">
        <v>6.0</v>
      </c>
      <c r="U188" s="48" t="s">
        <v>95</v>
      </c>
      <c r="V188" s="161">
        <f t="shared" si="1"/>
        <v>72420</v>
      </c>
      <c r="W188" s="189">
        <v>0.025</v>
      </c>
      <c r="X188" s="189">
        <v>0.025</v>
      </c>
      <c r="Y188" s="186">
        <v>0.0</v>
      </c>
      <c r="Z188" s="169">
        <f t="shared" si="2"/>
        <v>76041</v>
      </c>
      <c r="AA188" s="167">
        <f t="shared" si="3"/>
        <v>0</v>
      </c>
      <c r="AB188" s="161"/>
      <c r="AC188" s="161">
        <f t="shared" si="4"/>
        <v>72420</v>
      </c>
      <c r="AD188" s="161">
        <f t="shared" si="5"/>
        <v>1810.5</v>
      </c>
      <c r="AE188" s="161">
        <f t="shared" si="6"/>
        <v>1810.5</v>
      </c>
      <c r="AF188" s="167">
        <f t="shared" si="7"/>
        <v>0</v>
      </c>
      <c r="AG188" s="167">
        <f t="shared" si="8"/>
        <v>3621</v>
      </c>
      <c r="AH188" s="158">
        <f t="shared" si="9"/>
        <v>4</v>
      </c>
      <c r="AI188" s="158">
        <f t="shared" si="10"/>
        <v>2023</v>
      </c>
    </row>
    <row r="189" ht="12.75" customHeight="1">
      <c r="A189" s="48" t="s">
        <v>352</v>
      </c>
      <c r="B189" s="160" t="str">
        <f>iferror(VLOOKUP((LEFT(A189,6)),CUSTOMER_DETAILS,2,FALSE),"-")</f>
        <v>LECILITE INGREDIENTS PVT LTD</v>
      </c>
      <c r="C189" s="161" t="s">
        <v>89</v>
      </c>
      <c r="D189" s="162">
        <v>45036.0</v>
      </c>
      <c r="E189" s="161" t="s">
        <v>89</v>
      </c>
      <c r="F189" s="164" t="s">
        <v>329</v>
      </c>
      <c r="G189" s="30" t="s">
        <v>89</v>
      </c>
      <c r="H189" s="30" t="s">
        <v>89</v>
      </c>
      <c r="I189" s="48" t="s">
        <v>351</v>
      </c>
      <c r="J189" s="188">
        <f t="shared" si="11"/>
        <v>45036</v>
      </c>
      <c r="K189" s="48">
        <v>205.0</v>
      </c>
      <c r="L189" s="48" t="s">
        <v>108</v>
      </c>
      <c r="M189" s="48" t="s">
        <v>91</v>
      </c>
      <c r="N189" s="48" t="s">
        <v>135</v>
      </c>
      <c r="O189" s="30" t="s">
        <v>89</v>
      </c>
      <c r="P189" s="48" t="s">
        <v>353</v>
      </c>
      <c r="Q189" s="48" t="s">
        <v>94</v>
      </c>
      <c r="R189" s="161">
        <f>IFERROR(VLOOKUP(Q189,'PRODUCT TABLE'!$A$2:$B$26,2,FALSE),"-")</f>
        <v>44011090</v>
      </c>
      <c r="S189" s="48">
        <v>10190.0</v>
      </c>
      <c r="T189" s="48">
        <v>6.0</v>
      </c>
      <c r="U189" s="48" t="s">
        <v>95</v>
      </c>
      <c r="V189" s="161">
        <f t="shared" si="1"/>
        <v>61140</v>
      </c>
      <c r="W189" s="189">
        <v>0.025</v>
      </c>
      <c r="X189" s="189">
        <v>0.025</v>
      </c>
      <c r="Y189" s="186">
        <v>0.0</v>
      </c>
      <c r="Z189" s="169">
        <f t="shared" si="2"/>
        <v>64197</v>
      </c>
      <c r="AA189" s="167">
        <f t="shared" si="3"/>
        <v>0</v>
      </c>
      <c r="AB189" s="161"/>
      <c r="AC189" s="161">
        <f t="shared" si="4"/>
        <v>61140</v>
      </c>
      <c r="AD189" s="161">
        <f t="shared" si="5"/>
        <v>1528.5</v>
      </c>
      <c r="AE189" s="161">
        <f t="shared" si="6"/>
        <v>1528.5</v>
      </c>
      <c r="AF189" s="167">
        <f t="shared" si="7"/>
        <v>0</v>
      </c>
      <c r="AG189" s="167">
        <f t="shared" si="8"/>
        <v>3057</v>
      </c>
      <c r="AH189" s="158">
        <f t="shared" si="9"/>
        <v>4</v>
      </c>
      <c r="AI189" s="158">
        <f t="shared" si="10"/>
        <v>2023</v>
      </c>
    </row>
    <row r="190" ht="12.75" customHeight="1">
      <c r="A190" s="48" t="s">
        <v>354</v>
      </c>
      <c r="B190" s="160" t="str">
        <f>iferror(VLOOKUP((LEFT(A190,6)),CUSTOMER_DETAILS,2,FALSE),"-")</f>
        <v>BHARTI ENTERPRISES</v>
      </c>
      <c r="C190" s="161" t="s">
        <v>89</v>
      </c>
      <c r="D190" s="162">
        <v>45033.0</v>
      </c>
      <c r="E190" s="161" t="s">
        <v>89</v>
      </c>
      <c r="F190" s="30" t="s">
        <v>89</v>
      </c>
      <c r="G190" s="30" t="s">
        <v>89</v>
      </c>
      <c r="H190" s="30" t="s">
        <v>89</v>
      </c>
      <c r="I190" s="48" t="s">
        <v>108</v>
      </c>
      <c r="J190" s="188">
        <f t="shared" si="11"/>
        <v>45033</v>
      </c>
      <c r="K190" s="48">
        <v>206.0</v>
      </c>
      <c r="L190" s="48" t="s">
        <v>108</v>
      </c>
      <c r="M190" s="48" t="s">
        <v>91</v>
      </c>
      <c r="N190" s="48" t="s">
        <v>135</v>
      </c>
      <c r="O190" s="30" t="s">
        <v>89</v>
      </c>
      <c r="Q190" s="48" t="s">
        <v>117</v>
      </c>
      <c r="R190" s="161">
        <f>IFERROR(VLOOKUP(Q190,'PRODUCT TABLE'!$A$2:$B$26,2,FALSE),"-")</f>
        <v>44011090</v>
      </c>
      <c r="S190" s="48">
        <v>240.0</v>
      </c>
      <c r="T190" s="48">
        <v>12.5</v>
      </c>
      <c r="U190" s="48" t="s">
        <v>95</v>
      </c>
      <c r="V190" s="161">
        <f t="shared" si="1"/>
        <v>3000</v>
      </c>
      <c r="W190" s="189">
        <v>0.025</v>
      </c>
      <c r="X190" s="189">
        <v>0.025</v>
      </c>
      <c r="Y190" s="186">
        <v>0.0</v>
      </c>
      <c r="Z190" s="169">
        <f t="shared" si="2"/>
        <v>3150</v>
      </c>
      <c r="AA190" s="167">
        <f t="shared" si="3"/>
        <v>0</v>
      </c>
      <c r="AB190" s="161"/>
      <c r="AC190" s="161">
        <f t="shared" si="4"/>
        <v>3000</v>
      </c>
      <c r="AD190" s="161">
        <f t="shared" si="5"/>
        <v>75</v>
      </c>
      <c r="AE190" s="161">
        <f t="shared" si="6"/>
        <v>75</v>
      </c>
      <c r="AF190" s="167">
        <f t="shared" si="7"/>
        <v>0</v>
      </c>
      <c r="AG190" s="167">
        <f t="shared" si="8"/>
        <v>150</v>
      </c>
      <c r="AH190" s="158">
        <f t="shared" si="9"/>
        <v>4</v>
      </c>
      <c r="AI190" s="158">
        <f t="shared" si="10"/>
        <v>2023</v>
      </c>
    </row>
    <row r="191" ht="12.75" customHeight="1">
      <c r="A191" s="48" t="s">
        <v>355</v>
      </c>
      <c r="B191" s="160" t="str">
        <f>iferror(VLOOKUP((LEFT(A191,6)),CUSTOMER_DETAILS,2,FALSE),"-")</f>
        <v>SAI KALYANI AGENCY</v>
      </c>
      <c r="C191" s="161" t="s">
        <v>89</v>
      </c>
      <c r="D191" s="162">
        <v>45037.0</v>
      </c>
      <c r="E191" s="161" t="s">
        <v>89</v>
      </c>
      <c r="F191" s="30" t="s">
        <v>89</v>
      </c>
      <c r="G191" s="30" t="s">
        <v>89</v>
      </c>
      <c r="H191" s="30" t="s">
        <v>89</v>
      </c>
      <c r="I191" s="48" t="s">
        <v>108</v>
      </c>
      <c r="J191" s="188">
        <f t="shared" si="11"/>
        <v>45037</v>
      </c>
      <c r="K191" s="48">
        <v>207.0</v>
      </c>
      <c r="L191" s="48" t="s">
        <v>108</v>
      </c>
      <c r="M191" s="48" t="s">
        <v>91</v>
      </c>
      <c r="N191" s="48" t="s">
        <v>321</v>
      </c>
      <c r="O191" s="30" t="s">
        <v>89</v>
      </c>
      <c r="P191" s="48" t="s">
        <v>356</v>
      </c>
      <c r="Q191" s="48" t="s">
        <v>117</v>
      </c>
      <c r="R191" s="161">
        <f>IFERROR(VLOOKUP(Q191,'PRODUCT TABLE'!$A$2:$B$26,2,FALSE),"-")</f>
        <v>44011090</v>
      </c>
      <c r="S191" s="48">
        <v>23270.0</v>
      </c>
      <c r="T191" s="48">
        <v>10.8</v>
      </c>
      <c r="U191" s="48" t="s">
        <v>95</v>
      </c>
      <c r="V191" s="161">
        <f t="shared" si="1"/>
        <v>251316</v>
      </c>
      <c r="W191" s="186">
        <v>0.0</v>
      </c>
      <c r="X191" s="186">
        <v>0.0</v>
      </c>
      <c r="Y191" s="186">
        <v>0.05</v>
      </c>
      <c r="Z191" s="169">
        <f t="shared" si="2"/>
        <v>263882</v>
      </c>
      <c r="AA191" s="167">
        <f t="shared" si="3"/>
        <v>0.2</v>
      </c>
      <c r="AB191" s="161"/>
      <c r="AC191" s="161">
        <f t="shared" si="4"/>
        <v>251316</v>
      </c>
      <c r="AD191" s="161">
        <f t="shared" si="5"/>
        <v>0</v>
      </c>
      <c r="AE191" s="161">
        <f t="shared" si="6"/>
        <v>0</v>
      </c>
      <c r="AF191" s="167">
        <f t="shared" si="7"/>
        <v>12565.8</v>
      </c>
      <c r="AG191" s="167">
        <f t="shared" si="8"/>
        <v>12565.8</v>
      </c>
      <c r="AH191" s="158">
        <f t="shared" si="9"/>
        <v>4</v>
      </c>
      <c r="AI191" s="158">
        <f t="shared" si="10"/>
        <v>2023</v>
      </c>
    </row>
    <row r="192" ht="12.75" customHeight="1">
      <c r="A192" s="48" t="s">
        <v>357</v>
      </c>
      <c r="B192" s="160" t="str">
        <f>iferror(VLOOKUP((LEFT(A192,6)),CUSTOMER_DETAILS,2,FALSE),"-")</f>
        <v>HARIWANSH PACKAGING PVT LTD</v>
      </c>
      <c r="C192" s="161" t="s">
        <v>89</v>
      </c>
      <c r="D192" s="162">
        <v>45041.0</v>
      </c>
      <c r="E192" s="161" t="s">
        <v>89</v>
      </c>
      <c r="F192" s="164" t="s">
        <v>358</v>
      </c>
      <c r="G192" s="30" t="s">
        <v>89</v>
      </c>
      <c r="H192" s="164" t="s">
        <v>359</v>
      </c>
      <c r="I192" s="48">
        <v>122.0</v>
      </c>
      <c r="J192" s="188">
        <f t="shared" si="11"/>
        <v>45041</v>
      </c>
      <c r="K192" s="48">
        <v>208.0</v>
      </c>
      <c r="L192" s="48" t="s">
        <v>108</v>
      </c>
      <c r="M192" s="48" t="s">
        <v>91</v>
      </c>
      <c r="N192" s="48" t="s">
        <v>135</v>
      </c>
      <c r="O192" s="30" t="s">
        <v>89</v>
      </c>
      <c r="P192" s="48" t="s">
        <v>360</v>
      </c>
      <c r="Q192" s="48" t="s">
        <v>94</v>
      </c>
      <c r="R192" s="161">
        <f>IFERROR(VLOOKUP(Q192,'PRODUCT TABLE'!$A$2:$B$26,2,FALSE),"-")</f>
        <v>44011090</v>
      </c>
      <c r="S192" s="48">
        <v>9960.0</v>
      </c>
      <c r="T192" s="48">
        <v>6.5</v>
      </c>
      <c r="U192" s="48" t="s">
        <v>95</v>
      </c>
      <c r="V192" s="161">
        <f t="shared" si="1"/>
        <v>64740</v>
      </c>
      <c r="W192" s="189">
        <v>0.025</v>
      </c>
      <c r="X192" s="189">
        <v>0.025</v>
      </c>
      <c r="Y192" s="186">
        <v>0.0</v>
      </c>
      <c r="Z192" s="169">
        <f t="shared" si="2"/>
        <v>67977</v>
      </c>
      <c r="AA192" s="167">
        <f t="shared" si="3"/>
        <v>0</v>
      </c>
      <c r="AB192" s="161"/>
      <c r="AC192" s="161">
        <f t="shared" si="4"/>
        <v>64740</v>
      </c>
      <c r="AD192" s="161">
        <f t="shared" si="5"/>
        <v>1618.5</v>
      </c>
      <c r="AE192" s="161">
        <f t="shared" si="6"/>
        <v>1618.5</v>
      </c>
      <c r="AF192" s="167">
        <f t="shared" si="7"/>
        <v>0</v>
      </c>
      <c r="AG192" s="167">
        <f t="shared" si="8"/>
        <v>3237</v>
      </c>
      <c r="AH192" s="158">
        <f t="shared" si="9"/>
        <v>4</v>
      </c>
      <c r="AI192" s="158">
        <f t="shared" si="10"/>
        <v>2023</v>
      </c>
    </row>
    <row r="193" ht="12.75" customHeight="1">
      <c r="A193" s="48" t="s">
        <v>361</v>
      </c>
      <c r="B193" s="160" t="str">
        <f>iferror(VLOOKUP((LEFT(A193,6)),CUSTOMER_DETAILS,2,FALSE),"-")</f>
        <v>NAGPUR FUELS</v>
      </c>
      <c r="C193" s="161" t="s">
        <v>89</v>
      </c>
      <c r="D193" s="162">
        <v>45038.0</v>
      </c>
      <c r="E193" s="161" t="s">
        <v>89</v>
      </c>
      <c r="F193" s="30" t="s">
        <v>89</v>
      </c>
      <c r="G193" s="30" t="s">
        <v>89</v>
      </c>
      <c r="H193" s="30" t="s">
        <v>89</v>
      </c>
      <c r="I193" s="48" t="s">
        <v>108</v>
      </c>
      <c r="J193" s="188">
        <f t="shared" si="11"/>
        <v>45038</v>
      </c>
      <c r="K193" s="48">
        <v>209.0</v>
      </c>
      <c r="L193" s="48" t="s">
        <v>108</v>
      </c>
      <c r="M193" s="48" t="s">
        <v>91</v>
      </c>
      <c r="N193" s="48" t="s">
        <v>135</v>
      </c>
      <c r="O193" s="30" t="s">
        <v>89</v>
      </c>
      <c r="Q193" s="48" t="s">
        <v>117</v>
      </c>
      <c r="R193" s="161">
        <f>IFERROR(VLOOKUP(Q193,'PRODUCT TABLE'!$A$2:$B$26,2,FALSE),"-")</f>
        <v>44011090</v>
      </c>
      <c r="S193" s="48">
        <v>12800.0</v>
      </c>
      <c r="T193" s="48">
        <v>11.0</v>
      </c>
      <c r="U193" s="48" t="s">
        <v>95</v>
      </c>
      <c r="V193" s="161">
        <f t="shared" si="1"/>
        <v>140800</v>
      </c>
      <c r="W193" s="189">
        <v>0.025</v>
      </c>
      <c r="X193" s="189">
        <v>0.025</v>
      </c>
      <c r="Y193" s="186">
        <v>0.0</v>
      </c>
      <c r="Z193" s="169">
        <f t="shared" si="2"/>
        <v>147840</v>
      </c>
      <c r="AA193" s="167">
        <f t="shared" si="3"/>
        <v>0</v>
      </c>
      <c r="AB193" s="161"/>
      <c r="AC193" s="161">
        <f t="shared" si="4"/>
        <v>140800</v>
      </c>
      <c r="AD193" s="161">
        <f t="shared" si="5"/>
        <v>3520</v>
      </c>
      <c r="AE193" s="161">
        <f t="shared" si="6"/>
        <v>3520</v>
      </c>
      <c r="AF193" s="167">
        <f t="shared" si="7"/>
        <v>0</v>
      </c>
      <c r="AG193" s="167">
        <f t="shared" si="8"/>
        <v>7040</v>
      </c>
      <c r="AH193" s="158">
        <f t="shared" si="9"/>
        <v>4</v>
      </c>
      <c r="AI193" s="158">
        <f t="shared" si="10"/>
        <v>2023</v>
      </c>
    </row>
    <row r="194" ht="12.75" customHeight="1">
      <c r="A194" s="48" t="s">
        <v>362</v>
      </c>
      <c r="B194" s="160" t="str">
        <f>iferror(VLOOKUP((LEFT(A194,6)),CUSTOMER_DETAILS,2,FALSE),"-")</f>
        <v>HARIWANSH PACKAGING PVT LTD</v>
      </c>
      <c r="C194" s="161" t="s">
        <v>89</v>
      </c>
      <c r="D194" s="162">
        <v>45045.0</v>
      </c>
      <c r="E194" s="161" t="s">
        <v>89</v>
      </c>
      <c r="F194" s="164" t="s">
        <v>358</v>
      </c>
      <c r="G194" s="30"/>
      <c r="H194" s="164" t="s">
        <v>363</v>
      </c>
      <c r="I194" s="48">
        <v>136.0</v>
      </c>
      <c r="J194" s="188">
        <f t="shared" si="11"/>
        <v>45045</v>
      </c>
      <c r="K194" s="48">
        <v>210.0</v>
      </c>
      <c r="L194" s="48" t="s">
        <v>108</v>
      </c>
      <c r="M194" s="48" t="s">
        <v>91</v>
      </c>
      <c r="N194" s="48" t="s">
        <v>135</v>
      </c>
      <c r="O194" s="30" t="s">
        <v>89</v>
      </c>
      <c r="P194" s="48" t="s">
        <v>364</v>
      </c>
      <c r="Q194" s="48" t="s">
        <v>94</v>
      </c>
      <c r="R194" s="161">
        <f>IFERROR(VLOOKUP(Q194,'PRODUCT TABLE'!$A$2:$B$26,2,FALSE),"-")</f>
        <v>44011090</v>
      </c>
      <c r="S194" s="48">
        <v>10380.0</v>
      </c>
      <c r="T194" s="48">
        <v>6.5</v>
      </c>
      <c r="U194" s="48" t="s">
        <v>95</v>
      </c>
      <c r="V194" s="161">
        <f t="shared" si="1"/>
        <v>67470</v>
      </c>
      <c r="W194" s="189">
        <v>0.025</v>
      </c>
      <c r="X194" s="189">
        <v>0.025</v>
      </c>
      <c r="Y194" s="186">
        <v>0.0</v>
      </c>
      <c r="Z194" s="169">
        <f t="shared" si="2"/>
        <v>70843</v>
      </c>
      <c r="AA194" s="167">
        <f t="shared" si="3"/>
        <v>-0.5</v>
      </c>
      <c r="AB194" s="161"/>
      <c r="AC194" s="161">
        <f t="shared" si="4"/>
        <v>67470</v>
      </c>
      <c r="AD194" s="161">
        <f t="shared" si="5"/>
        <v>1686.75</v>
      </c>
      <c r="AE194" s="161">
        <f t="shared" si="6"/>
        <v>1686.75</v>
      </c>
      <c r="AF194" s="167">
        <f t="shared" si="7"/>
        <v>0</v>
      </c>
      <c r="AG194" s="167">
        <f t="shared" si="8"/>
        <v>3373.5</v>
      </c>
      <c r="AH194" s="158">
        <f t="shared" si="9"/>
        <v>4</v>
      </c>
      <c r="AI194" s="158">
        <f t="shared" si="10"/>
        <v>2023</v>
      </c>
    </row>
    <row r="195" ht="12.75" customHeight="1">
      <c r="A195" s="48" t="s">
        <v>365</v>
      </c>
      <c r="B195" s="160" t="str">
        <f>iferror(VLOOKUP((LEFT(A195,6)),CUSTOMER_DETAILS,2,FALSE),"-")</f>
        <v>HARIWANSH PACKAGING PVT LTD</v>
      </c>
      <c r="C195" s="161" t="s">
        <v>89</v>
      </c>
      <c r="D195" s="162">
        <v>45046.0</v>
      </c>
      <c r="E195" s="161" t="s">
        <v>89</v>
      </c>
      <c r="F195" s="164" t="s">
        <v>358</v>
      </c>
      <c r="G195" s="30" t="s">
        <v>89</v>
      </c>
      <c r="H195" s="164" t="s">
        <v>366</v>
      </c>
      <c r="I195" s="48">
        <v>136.0</v>
      </c>
      <c r="J195" s="188">
        <f t="shared" si="11"/>
        <v>45046</v>
      </c>
      <c r="K195" s="48">
        <v>211.0</v>
      </c>
      <c r="L195" s="48" t="s">
        <v>108</v>
      </c>
      <c r="M195" s="48" t="s">
        <v>91</v>
      </c>
      <c r="N195" s="48" t="s">
        <v>135</v>
      </c>
      <c r="O195" s="30" t="s">
        <v>89</v>
      </c>
      <c r="P195" s="48" t="s">
        <v>331</v>
      </c>
      <c r="Q195" s="48" t="s">
        <v>94</v>
      </c>
      <c r="R195" s="161">
        <f>IFERROR(VLOOKUP(Q195,'PRODUCT TABLE'!$A$2:$B$26,2,FALSE),"-")</f>
        <v>44011090</v>
      </c>
      <c r="S195" s="48">
        <v>12430.0</v>
      </c>
      <c r="T195" s="48">
        <v>6.5</v>
      </c>
      <c r="U195" s="48" t="s">
        <v>95</v>
      </c>
      <c r="V195" s="161">
        <f t="shared" si="1"/>
        <v>80795</v>
      </c>
      <c r="W195" s="189">
        <v>0.025</v>
      </c>
      <c r="X195" s="189">
        <v>0.025</v>
      </c>
      <c r="Y195" s="186">
        <v>0.0</v>
      </c>
      <c r="Z195" s="169">
        <f t="shared" si="2"/>
        <v>84835</v>
      </c>
      <c r="AA195" s="167">
        <f t="shared" si="3"/>
        <v>0.25</v>
      </c>
      <c r="AB195" s="161"/>
      <c r="AC195" s="161">
        <f t="shared" si="4"/>
        <v>80795</v>
      </c>
      <c r="AD195" s="161">
        <f t="shared" si="5"/>
        <v>2019.875</v>
      </c>
      <c r="AE195" s="161">
        <f t="shared" si="6"/>
        <v>2019.875</v>
      </c>
      <c r="AF195" s="167">
        <f t="shared" si="7"/>
        <v>0</v>
      </c>
      <c r="AG195" s="167">
        <f t="shared" si="8"/>
        <v>4039.75</v>
      </c>
      <c r="AH195" s="158">
        <f t="shared" si="9"/>
        <v>4</v>
      </c>
      <c r="AI195" s="158">
        <f t="shared" si="10"/>
        <v>2023</v>
      </c>
    </row>
    <row r="196" ht="12.75" customHeight="1">
      <c r="A196" s="48" t="s">
        <v>367</v>
      </c>
      <c r="B196" s="160" t="str">
        <f>iferror(VLOOKUP((LEFT(A196,6)),CUSTOMER_DETAILS,2,FALSE),"-")</f>
        <v>BHARTI ENTERPRISES</v>
      </c>
      <c r="C196" s="161" t="s">
        <v>89</v>
      </c>
      <c r="D196" s="162">
        <v>45047.0</v>
      </c>
      <c r="E196" s="161" t="s">
        <v>89</v>
      </c>
      <c r="F196" s="30" t="s">
        <v>89</v>
      </c>
      <c r="G196" s="30" t="s">
        <v>89</v>
      </c>
      <c r="H196" s="30" t="s">
        <v>89</v>
      </c>
      <c r="I196" s="48" t="s">
        <v>108</v>
      </c>
      <c r="J196" s="188">
        <f t="shared" si="11"/>
        <v>45047</v>
      </c>
      <c r="K196" s="48">
        <v>212.0</v>
      </c>
      <c r="L196" s="48" t="s">
        <v>108</v>
      </c>
      <c r="M196" s="48" t="s">
        <v>91</v>
      </c>
      <c r="N196" s="48" t="s">
        <v>135</v>
      </c>
      <c r="O196" s="30" t="s">
        <v>89</v>
      </c>
      <c r="Q196" s="48" t="s">
        <v>117</v>
      </c>
      <c r="R196" s="161">
        <f>IFERROR(VLOOKUP(Q196,'PRODUCT TABLE'!$A$2:$B$26,2,FALSE),"-")</f>
        <v>44011090</v>
      </c>
      <c r="S196" s="48">
        <v>30.0</v>
      </c>
      <c r="T196" s="48">
        <v>13.0</v>
      </c>
      <c r="U196" s="48" t="s">
        <v>95</v>
      </c>
      <c r="V196" s="161">
        <f t="shared" si="1"/>
        <v>390</v>
      </c>
      <c r="W196" s="189">
        <v>0.025</v>
      </c>
      <c r="X196" s="189">
        <v>0.025</v>
      </c>
      <c r="Y196" s="186">
        <v>0.0</v>
      </c>
      <c r="Z196" s="169">
        <f t="shared" si="2"/>
        <v>409</v>
      </c>
      <c r="AA196" s="167">
        <f t="shared" si="3"/>
        <v>-0.5</v>
      </c>
      <c r="AB196" s="161"/>
      <c r="AC196" s="161">
        <f t="shared" si="4"/>
        <v>390</v>
      </c>
      <c r="AD196" s="161">
        <f t="shared" si="5"/>
        <v>9.75</v>
      </c>
      <c r="AE196" s="161">
        <f t="shared" si="6"/>
        <v>9.75</v>
      </c>
      <c r="AF196" s="167">
        <f t="shared" si="7"/>
        <v>0</v>
      </c>
      <c r="AG196" s="167">
        <f t="shared" si="8"/>
        <v>19.5</v>
      </c>
      <c r="AH196" s="158">
        <f t="shared" si="9"/>
        <v>5</v>
      </c>
      <c r="AI196" s="158">
        <f t="shared" si="10"/>
        <v>2023</v>
      </c>
    </row>
    <row r="197" ht="12.75" customHeight="1">
      <c r="A197" s="48" t="s">
        <v>368</v>
      </c>
      <c r="B197" s="160" t="str">
        <f>iferror(VLOOKUP((LEFT(A197,6)),CUSTOMER_DETAILS,2,FALSE),"-")</f>
        <v>SAI KALYANI AGENCY</v>
      </c>
      <c r="C197" s="161" t="s">
        <v>89</v>
      </c>
      <c r="D197" s="162">
        <v>45048.0</v>
      </c>
      <c r="E197" s="161" t="s">
        <v>89</v>
      </c>
      <c r="F197" s="30" t="s">
        <v>89</v>
      </c>
      <c r="G197" s="30" t="s">
        <v>89</v>
      </c>
      <c r="H197" s="30" t="s">
        <v>89</v>
      </c>
      <c r="J197" s="188">
        <f t="shared" si="11"/>
        <v>45048</v>
      </c>
      <c r="K197" s="48">
        <v>213.0</v>
      </c>
      <c r="L197" s="48" t="s">
        <v>108</v>
      </c>
      <c r="M197" s="48" t="s">
        <v>91</v>
      </c>
      <c r="N197" s="48" t="s">
        <v>369</v>
      </c>
      <c r="O197" s="30" t="s">
        <v>89</v>
      </c>
      <c r="P197" s="48" t="s">
        <v>370</v>
      </c>
      <c r="Q197" s="48" t="s">
        <v>233</v>
      </c>
      <c r="R197" s="161">
        <f>IFERROR(VLOOKUP(Q197,'PRODUCT TABLE'!$A$2:$B$26,2,FALSE),"-")</f>
        <v>44011090</v>
      </c>
      <c r="S197" s="48">
        <v>22380.0</v>
      </c>
      <c r="T197" s="48">
        <v>10.8</v>
      </c>
      <c r="U197" s="48" t="s">
        <v>95</v>
      </c>
      <c r="V197" s="161">
        <f t="shared" si="1"/>
        <v>241704</v>
      </c>
      <c r="W197" s="186">
        <v>0.0</v>
      </c>
      <c r="X197" s="186">
        <v>0.0</v>
      </c>
      <c r="Y197" s="186">
        <v>0.05</v>
      </c>
      <c r="Z197" s="169">
        <f t="shared" si="2"/>
        <v>253789</v>
      </c>
      <c r="AA197" s="167">
        <f t="shared" si="3"/>
        <v>-0.2</v>
      </c>
      <c r="AB197" s="161"/>
      <c r="AC197" s="161">
        <f t="shared" si="4"/>
        <v>241704</v>
      </c>
      <c r="AD197" s="161">
        <f t="shared" si="5"/>
        <v>0</v>
      </c>
      <c r="AE197" s="161">
        <f t="shared" si="6"/>
        <v>0</v>
      </c>
      <c r="AF197" s="167">
        <f t="shared" si="7"/>
        <v>12085.2</v>
      </c>
      <c r="AG197" s="167">
        <f t="shared" si="8"/>
        <v>12085.2</v>
      </c>
      <c r="AH197" s="158">
        <f t="shared" si="9"/>
        <v>5</v>
      </c>
      <c r="AI197" s="158">
        <f t="shared" si="10"/>
        <v>2023</v>
      </c>
    </row>
    <row r="198" ht="12.75" customHeight="1">
      <c r="A198" s="48" t="s">
        <v>371</v>
      </c>
      <c r="B198" s="160" t="str">
        <f>iferror(VLOOKUP((LEFT(A198,6)),CUSTOMER_DETAILS,2,FALSE),"-")</f>
        <v>HARIWANSH PACKAGING PVT LTD</v>
      </c>
      <c r="C198" s="161" t="s">
        <v>89</v>
      </c>
      <c r="D198" s="162">
        <v>45054.0</v>
      </c>
      <c r="E198" s="161" t="s">
        <v>89</v>
      </c>
      <c r="F198" s="164" t="s">
        <v>358</v>
      </c>
      <c r="G198" s="30" t="s">
        <v>89</v>
      </c>
      <c r="H198" s="30" t="s">
        <v>89</v>
      </c>
      <c r="I198" s="48">
        <v>136.0</v>
      </c>
      <c r="J198" s="188">
        <f t="shared" si="11"/>
        <v>45054</v>
      </c>
      <c r="K198" s="48">
        <v>214.0</v>
      </c>
      <c r="L198" s="48" t="s">
        <v>108</v>
      </c>
      <c r="M198" s="48" t="s">
        <v>91</v>
      </c>
      <c r="N198" s="48" t="s">
        <v>135</v>
      </c>
      <c r="O198" s="30" t="s">
        <v>89</v>
      </c>
      <c r="P198" s="48" t="s">
        <v>342</v>
      </c>
      <c r="Q198" s="48" t="s">
        <v>94</v>
      </c>
      <c r="R198" s="161">
        <f>IFERROR(VLOOKUP(Q198,'PRODUCT TABLE'!$A$2:$B$26,2,FALSE),"-")</f>
        <v>44011090</v>
      </c>
      <c r="S198" s="48">
        <v>10340.0</v>
      </c>
      <c r="T198" s="48">
        <v>6.5</v>
      </c>
      <c r="U198" s="48" t="s">
        <v>95</v>
      </c>
      <c r="V198" s="161">
        <f t="shared" si="1"/>
        <v>67210</v>
      </c>
      <c r="W198" s="189">
        <v>0.025</v>
      </c>
      <c r="X198" s="189">
        <v>0.025</v>
      </c>
      <c r="Y198" s="186">
        <v>0.0</v>
      </c>
      <c r="Z198" s="169">
        <f t="shared" si="2"/>
        <v>70570</v>
      </c>
      <c r="AA198" s="167">
        <f t="shared" si="3"/>
        <v>-0.5</v>
      </c>
      <c r="AB198" s="161"/>
      <c r="AC198" s="161">
        <f t="shared" si="4"/>
        <v>67210</v>
      </c>
      <c r="AD198" s="161">
        <f t="shared" si="5"/>
        <v>1680.25</v>
      </c>
      <c r="AE198" s="161">
        <f t="shared" si="6"/>
        <v>1680.25</v>
      </c>
      <c r="AF198" s="167">
        <f t="shared" si="7"/>
        <v>0</v>
      </c>
      <c r="AG198" s="167">
        <f t="shared" si="8"/>
        <v>3360.5</v>
      </c>
      <c r="AH198" s="158">
        <f t="shared" si="9"/>
        <v>5</v>
      </c>
      <c r="AI198" s="158">
        <f t="shared" si="10"/>
        <v>2023</v>
      </c>
    </row>
    <row r="199" ht="12.75" customHeight="1">
      <c r="A199" s="48" t="s">
        <v>372</v>
      </c>
      <c r="B199" s="160" t="str">
        <f>iferror(VLOOKUP((LEFT(A199,6)),CUSTOMER_DETAILS,2,FALSE),"-")</f>
        <v>HARIWANSH PACKAGING PVT LTD</v>
      </c>
      <c r="C199" s="161" t="s">
        <v>89</v>
      </c>
      <c r="D199" s="162">
        <v>45054.0</v>
      </c>
      <c r="E199" s="161" t="s">
        <v>89</v>
      </c>
      <c r="F199" s="164" t="s">
        <v>358</v>
      </c>
      <c r="G199" s="30" t="s">
        <v>89</v>
      </c>
      <c r="H199" s="30" t="s">
        <v>89</v>
      </c>
      <c r="I199" s="48">
        <v>136.0</v>
      </c>
      <c r="J199" s="188">
        <f t="shared" si="11"/>
        <v>45054</v>
      </c>
      <c r="K199" s="48">
        <v>215.0</v>
      </c>
      <c r="L199" s="48" t="s">
        <v>108</v>
      </c>
      <c r="M199" s="48" t="s">
        <v>91</v>
      </c>
      <c r="N199" s="48" t="s">
        <v>135</v>
      </c>
      <c r="O199" s="30" t="s">
        <v>89</v>
      </c>
      <c r="Q199" s="48" t="s">
        <v>94</v>
      </c>
      <c r="R199" s="161">
        <f>IFERROR(VLOOKUP(Q199,'PRODUCT TABLE'!$A$2:$B$26,2,FALSE),"-")</f>
        <v>44011090</v>
      </c>
      <c r="S199" s="48">
        <v>9295.0</v>
      </c>
      <c r="T199" s="48">
        <v>6.5</v>
      </c>
      <c r="U199" s="48" t="s">
        <v>95</v>
      </c>
      <c r="V199" s="161">
        <f t="shared" si="1"/>
        <v>60417.5</v>
      </c>
      <c r="W199" s="189">
        <v>0.025</v>
      </c>
      <c r="X199" s="189">
        <v>0.025</v>
      </c>
      <c r="Y199" s="186">
        <v>0.0</v>
      </c>
      <c r="Z199" s="169">
        <f t="shared" si="2"/>
        <v>63438</v>
      </c>
      <c r="AA199" s="167">
        <f t="shared" si="3"/>
        <v>-0.375</v>
      </c>
      <c r="AB199" s="161"/>
      <c r="AC199" s="161">
        <f t="shared" si="4"/>
        <v>60417.5</v>
      </c>
      <c r="AD199" s="161">
        <f t="shared" si="5"/>
        <v>1510.4375</v>
      </c>
      <c r="AE199" s="161">
        <f t="shared" si="6"/>
        <v>1510.4375</v>
      </c>
      <c r="AF199" s="167">
        <f t="shared" si="7"/>
        <v>0</v>
      </c>
      <c r="AG199" s="167">
        <f t="shared" si="8"/>
        <v>3020.875</v>
      </c>
      <c r="AH199" s="158">
        <f t="shared" si="9"/>
        <v>5</v>
      </c>
      <c r="AI199" s="158">
        <f t="shared" si="10"/>
        <v>2023</v>
      </c>
    </row>
    <row r="200" ht="12.75" customHeight="1">
      <c r="A200" s="48" t="s">
        <v>373</v>
      </c>
      <c r="B200" s="160" t="str">
        <f>iferror(VLOOKUP((LEFT(A200,6)),CUSTOMER_DETAILS,2,FALSE),"-")</f>
        <v>BIO ENERGY</v>
      </c>
      <c r="C200" s="161" t="s">
        <v>89</v>
      </c>
      <c r="D200" s="162">
        <v>45057.0</v>
      </c>
      <c r="E200" s="161" t="s">
        <v>89</v>
      </c>
      <c r="F200" s="164" t="s">
        <v>374</v>
      </c>
      <c r="G200" s="30" t="s">
        <v>89</v>
      </c>
      <c r="H200" s="30" t="s">
        <v>89</v>
      </c>
      <c r="I200" s="48" t="s">
        <v>108</v>
      </c>
      <c r="J200" s="188">
        <f t="shared" si="11"/>
        <v>45057</v>
      </c>
      <c r="K200" s="48">
        <v>216.0</v>
      </c>
      <c r="L200" s="48" t="s">
        <v>108</v>
      </c>
      <c r="M200" s="48" t="s">
        <v>91</v>
      </c>
      <c r="N200" s="48" t="s">
        <v>375</v>
      </c>
      <c r="O200" s="30" t="s">
        <v>89</v>
      </c>
      <c r="Q200" s="48" t="s">
        <v>233</v>
      </c>
      <c r="R200" s="161">
        <f>IFERROR(VLOOKUP(Q200,'PRODUCT TABLE'!$A$2:$B$26,2,FALSE),"-")</f>
        <v>44011090</v>
      </c>
      <c r="S200" s="48">
        <v>10000.0</v>
      </c>
      <c r="T200" s="48">
        <v>6.0</v>
      </c>
      <c r="U200" s="48" t="s">
        <v>95</v>
      </c>
      <c r="V200" s="161">
        <f t="shared" si="1"/>
        <v>60000</v>
      </c>
      <c r="W200" s="189">
        <v>0.025</v>
      </c>
      <c r="X200" s="189">
        <v>0.025</v>
      </c>
      <c r="Y200" s="186">
        <v>0.0</v>
      </c>
      <c r="Z200" s="169">
        <f t="shared" si="2"/>
        <v>63000</v>
      </c>
      <c r="AA200" s="167">
        <f t="shared" si="3"/>
        <v>0</v>
      </c>
      <c r="AB200" s="161"/>
      <c r="AC200" s="161">
        <f t="shared" si="4"/>
        <v>60000</v>
      </c>
      <c r="AD200" s="161">
        <f t="shared" si="5"/>
        <v>1500</v>
      </c>
      <c r="AE200" s="161">
        <f t="shared" si="6"/>
        <v>1500</v>
      </c>
      <c r="AF200" s="167">
        <f t="shared" si="7"/>
        <v>0</v>
      </c>
      <c r="AG200" s="167">
        <f t="shared" si="8"/>
        <v>3000</v>
      </c>
      <c r="AH200" s="158">
        <f t="shared" si="9"/>
        <v>5</v>
      </c>
      <c r="AI200" s="158">
        <f t="shared" si="10"/>
        <v>2023</v>
      </c>
    </row>
    <row r="201" ht="12.75" customHeight="1">
      <c r="A201" s="48" t="s">
        <v>376</v>
      </c>
      <c r="B201" s="160" t="str">
        <f>iferror(VLOOKUP((LEFT(A201,6)),CUSTOMER_DETAILS,2,FALSE),"-")</f>
        <v>HARIWANSH PACKAGING PVT LTD</v>
      </c>
      <c r="C201" s="161" t="s">
        <v>89</v>
      </c>
      <c r="D201" s="162">
        <v>45059.0</v>
      </c>
      <c r="E201" s="161" t="s">
        <v>89</v>
      </c>
      <c r="F201" s="164" t="s">
        <v>358</v>
      </c>
      <c r="G201" s="30" t="s">
        <v>89</v>
      </c>
      <c r="H201" s="30" t="s">
        <v>89</v>
      </c>
      <c r="I201" s="48">
        <v>136.0</v>
      </c>
      <c r="J201" s="188">
        <f t="shared" si="11"/>
        <v>45059</v>
      </c>
      <c r="K201" s="48">
        <v>217.0</v>
      </c>
      <c r="L201" s="48" t="s">
        <v>108</v>
      </c>
      <c r="M201" s="48" t="s">
        <v>91</v>
      </c>
      <c r="N201" s="48" t="s">
        <v>135</v>
      </c>
      <c r="O201" s="30" t="s">
        <v>89</v>
      </c>
      <c r="P201" s="48" t="s">
        <v>377</v>
      </c>
      <c r="Q201" s="48" t="s">
        <v>94</v>
      </c>
      <c r="R201" s="161">
        <f>IFERROR(VLOOKUP(Q201,'PRODUCT TABLE'!$A$2:$B$26,2,FALSE),"-")</f>
        <v>44011090</v>
      </c>
      <c r="S201" s="48">
        <v>10890.0</v>
      </c>
      <c r="T201" s="48">
        <v>6.5</v>
      </c>
      <c r="U201" s="48" t="s">
        <v>95</v>
      </c>
      <c r="V201" s="161">
        <f t="shared" si="1"/>
        <v>70785</v>
      </c>
      <c r="W201" s="189">
        <v>0.025</v>
      </c>
      <c r="X201" s="189">
        <v>0.025</v>
      </c>
      <c r="Y201" s="186">
        <v>0.0</v>
      </c>
      <c r="Z201" s="169">
        <f t="shared" si="2"/>
        <v>74324</v>
      </c>
      <c r="AA201" s="167">
        <f t="shared" si="3"/>
        <v>-0.25</v>
      </c>
      <c r="AB201" s="161"/>
      <c r="AC201" s="161">
        <f t="shared" si="4"/>
        <v>70785</v>
      </c>
      <c r="AD201" s="161">
        <f t="shared" si="5"/>
        <v>1769.625</v>
      </c>
      <c r="AE201" s="161">
        <f t="shared" si="6"/>
        <v>1769.625</v>
      </c>
      <c r="AF201" s="167">
        <f t="shared" si="7"/>
        <v>0</v>
      </c>
      <c r="AG201" s="167">
        <f t="shared" si="8"/>
        <v>3539.25</v>
      </c>
      <c r="AH201" s="158">
        <f t="shared" si="9"/>
        <v>5</v>
      </c>
      <c r="AI201" s="158">
        <f t="shared" si="10"/>
        <v>2023</v>
      </c>
    </row>
    <row r="202" ht="12.75" customHeight="1">
      <c r="A202" s="48" t="s">
        <v>378</v>
      </c>
      <c r="B202" s="160" t="str">
        <f>iferror(VLOOKUP((LEFT(A202,6)),CUSTOMER_DETAILS,2,FALSE),"-")</f>
        <v>HARIWANSH PACKAGING PVT LTD</v>
      </c>
      <c r="C202" s="161" t="s">
        <v>89</v>
      </c>
      <c r="D202" s="162">
        <v>45060.0</v>
      </c>
      <c r="E202" s="161" t="s">
        <v>89</v>
      </c>
      <c r="F202" s="164" t="s">
        <v>358</v>
      </c>
      <c r="G202" s="30" t="s">
        <v>89</v>
      </c>
      <c r="H202" s="30" t="s">
        <v>89</v>
      </c>
      <c r="I202" s="48">
        <v>224.0</v>
      </c>
      <c r="J202" s="188">
        <f t="shared" si="11"/>
        <v>45060</v>
      </c>
      <c r="K202" s="48">
        <v>218.0</v>
      </c>
      <c r="L202" s="48" t="s">
        <v>108</v>
      </c>
      <c r="M202" s="48" t="s">
        <v>91</v>
      </c>
      <c r="N202" s="48" t="s">
        <v>135</v>
      </c>
      <c r="O202" s="30" t="s">
        <v>89</v>
      </c>
      <c r="P202" s="48" t="s">
        <v>379</v>
      </c>
      <c r="Q202" s="48" t="s">
        <v>94</v>
      </c>
      <c r="R202" s="161">
        <f>IFERROR(VLOOKUP(Q202,'PRODUCT TABLE'!$A$2:$B$26,2,FALSE),"-")</f>
        <v>44011090</v>
      </c>
      <c r="S202" s="48">
        <v>11350.0</v>
      </c>
      <c r="T202" s="48">
        <v>6.75</v>
      </c>
      <c r="U202" s="48" t="s">
        <v>95</v>
      </c>
      <c r="V202" s="161">
        <f t="shared" si="1"/>
        <v>76612.5</v>
      </c>
      <c r="W202" s="189">
        <v>0.025</v>
      </c>
      <c r="X202" s="189">
        <v>0.025</v>
      </c>
      <c r="Y202" s="186">
        <v>0.0</v>
      </c>
      <c r="Z202" s="169">
        <f t="shared" si="2"/>
        <v>80443</v>
      </c>
      <c r="AA202" s="167">
        <f t="shared" si="3"/>
        <v>-0.125</v>
      </c>
      <c r="AB202" s="161"/>
      <c r="AC202" s="161">
        <f t="shared" si="4"/>
        <v>76612.5</v>
      </c>
      <c r="AD202" s="161">
        <f t="shared" si="5"/>
        <v>1915.3125</v>
      </c>
      <c r="AE202" s="161">
        <f t="shared" si="6"/>
        <v>1915.3125</v>
      </c>
      <c r="AF202" s="167">
        <f t="shared" si="7"/>
        <v>0</v>
      </c>
      <c r="AG202" s="167">
        <f t="shared" si="8"/>
        <v>3830.625</v>
      </c>
      <c r="AH202" s="158">
        <f t="shared" si="9"/>
        <v>5</v>
      </c>
      <c r="AI202" s="158">
        <f t="shared" si="10"/>
        <v>2023</v>
      </c>
    </row>
    <row r="203" ht="12.75" customHeight="1">
      <c r="A203" s="48" t="s">
        <v>380</v>
      </c>
      <c r="B203" s="160" t="str">
        <f>iferror(VLOOKUP((LEFT(A203,6)),CUSTOMER_DETAILS,2,FALSE),"-")</f>
        <v>GREENWAKE ENERGY SOLUTIONS</v>
      </c>
      <c r="C203" s="161" t="s">
        <v>89</v>
      </c>
      <c r="D203" s="162">
        <v>45062.0</v>
      </c>
      <c r="E203" s="161" t="s">
        <v>89</v>
      </c>
      <c r="F203" s="30" t="s">
        <v>89</v>
      </c>
      <c r="G203" s="30" t="s">
        <v>89</v>
      </c>
      <c r="H203" s="30" t="s">
        <v>89</v>
      </c>
      <c r="I203" s="48" t="s">
        <v>108</v>
      </c>
      <c r="J203" s="188">
        <f t="shared" si="11"/>
        <v>45062</v>
      </c>
      <c r="K203" s="48">
        <v>219.0</v>
      </c>
      <c r="L203" s="48" t="s">
        <v>108</v>
      </c>
      <c r="M203" s="48" t="s">
        <v>381</v>
      </c>
      <c r="N203" s="48" t="s">
        <v>130</v>
      </c>
      <c r="O203" s="30" t="s">
        <v>89</v>
      </c>
      <c r="Q203" s="48" t="s">
        <v>117</v>
      </c>
      <c r="R203" s="161">
        <f>IFERROR(VLOOKUP(Q203,'PRODUCT TABLE'!$A$2:$B$26,2,FALSE),"-")</f>
        <v>44011090</v>
      </c>
      <c r="S203" s="48">
        <v>300.0</v>
      </c>
      <c r="T203" s="48">
        <v>12.5</v>
      </c>
      <c r="U203" s="48" t="s">
        <v>95</v>
      </c>
      <c r="V203" s="161">
        <f t="shared" si="1"/>
        <v>3750</v>
      </c>
      <c r="W203" s="189">
        <v>0.025</v>
      </c>
      <c r="X203" s="189">
        <v>0.025</v>
      </c>
      <c r="Y203" s="186">
        <v>0.0</v>
      </c>
      <c r="Z203" s="169">
        <f t="shared" si="2"/>
        <v>3937</v>
      </c>
      <c r="AA203" s="167">
        <f t="shared" si="3"/>
        <v>-0.5</v>
      </c>
      <c r="AB203" s="161"/>
      <c r="AC203" s="161">
        <f t="shared" si="4"/>
        <v>3750</v>
      </c>
      <c r="AD203" s="161">
        <f t="shared" si="5"/>
        <v>93.75</v>
      </c>
      <c r="AE203" s="161">
        <f t="shared" si="6"/>
        <v>93.75</v>
      </c>
      <c r="AF203" s="167">
        <f t="shared" si="7"/>
        <v>0</v>
      </c>
      <c r="AG203" s="167">
        <f t="shared" si="8"/>
        <v>187.5</v>
      </c>
      <c r="AH203" s="158">
        <f t="shared" si="9"/>
        <v>5</v>
      </c>
      <c r="AI203" s="158">
        <f t="shared" si="10"/>
        <v>2023</v>
      </c>
    </row>
    <row r="204" ht="12.75" customHeight="1">
      <c r="A204" s="48" t="s">
        <v>382</v>
      </c>
      <c r="B204" s="160" t="str">
        <f>iferror(VLOOKUP((LEFT(A204,6)),CUSTOMER_DETAILS,2,FALSE),"-")</f>
        <v>HARIWANSH PACKAGING PVT LTD</v>
      </c>
      <c r="C204" s="161" t="s">
        <v>89</v>
      </c>
      <c r="D204" s="162">
        <v>45062.0</v>
      </c>
      <c r="E204" s="161" t="s">
        <v>89</v>
      </c>
      <c r="F204" s="164" t="s">
        <v>358</v>
      </c>
      <c r="G204" s="30" t="s">
        <v>89</v>
      </c>
      <c r="H204" s="30" t="s">
        <v>89</v>
      </c>
      <c r="I204" s="48">
        <v>224.0</v>
      </c>
      <c r="J204" s="188">
        <f t="shared" si="11"/>
        <v>45062</v>
      </c>
      <c r="K204" s="48">
        <v>220.0</v>
      </c>
      <c r="L204" s="48" t="s">
        <v>108</v>
      </c>
      <c r="M204" s="48" t="s">
        <v>91</v>
      </c>
      <c r="N204" s="48" t="s">
        <v>135</v>
      </c>
      <c r="O204" s="30" t="s">
        <v>89</v>
      </c>
      <c r="Q204" s="48" t="s">
        <v>94</v>
      </c>
      <c r="R204" s="161">
        <f>IFERROR(VLOOKUP(Q204,'PRODUCT TABLE'!$A$2:$B$26,2,FALSE),"-")</f>
        <v>44011090</v>
      </c>
      <c r="S204" s="48">
        <v>10515.0</v>
      </c>
      <c r="T204" s="48">
        <v>6.75</v>
      </c>
      <c r="U204" s="48" t="s">
        <v>95</v>
      </c>
      <c r="V204" s="161">
        <f t="shared" si="1"/>
        <v>70976.25</v>
      </c>
      <c r="W204" s="189">
        <v>0.025</v>
      </c>
      <c r="X204" s="189">
        <v>0.025</v>
      </c>
      <c r="Y204" s="186">
        <v>0.0</v>
      </c>
      <c r="Z204" s="169">
        <f t="shared" si="2"/>
        <v>74525</v>
      </c>
      <c r="AA204" s="167">
        <f t="shared" si="3"/>
        <v>-0.0625</v>
      </c>
      <c r="AB204" s="161"/>
      <c r="AC204" s="161">
        <f t="shared" si="4"/>
        <v>70976.25</v>
      </c>
      <c r="AD204" s="161">
        <f t="shared" si="5"/>
        <v>1774.40625</v>
      </c>
      <c r="AE204" s="161">
        <f t="shared" si="6"/>
        <v>1774.40625</v>
      </c>
      <c r="AF204" s="167">
        <f t="shared" si="7"/>
        <v>0</v>
      </c>
      <c r="AG204" s="167">
        <f t="shared" si="8"/>
        <v>3548.8125</v>
      </c>
      <c r="AH204" s="158">
        <f t="shared" si="9"/>
        <v>5</v>
      </c>
      <c r="AI204" s="158">
        <f t="shared" si="10"/>
        <v>2023</v>
      </c>
    </row>
    <row r="205" ht="12.75" customHeight="1">
      <c r="A205" s="48" t="s">
        <v>383</v>
      </c>
      <c r="B205" s="160" t="str">
        <f>iferror(VLOOKUP((LEFT(A205,6)),CUSTOMER_DETAILS,2,FALSE),"-")</f>
        <v>NATURE BLISS AGRO FARMS</v>
      </c>
      <c r="C205" s="175" t="s">
        <v>89</v>
      </c>
      <c r="D205" s="162">
        <v>45062.0</v>
      </c>
      <c r="E205" s="161" t="s">
        <v>89</v>
      </c>
      <c r="F205" s="30" t="s">
        <v>89</v>
      </c>
      <c r="G205" s="30" t="s">
        <v>89</v>
      </c>
      <c r="H205" s="30" t="s">
        <v>89</v>
      </c>
      <c r="I205" s="48" t="s">
        <v>108</v>
      </c>
      <c r="J205" s="188">
        <f t="shared" si="11"/>
        <v>45062</v>
      </c>
      <c r="K205" s="48">
        <v>221.0</v>
      </c>
      <c r="L205" s="48" t="s">
        <v>108</v>
      </c>
      <c r="M205" s="48" t="s">
        <v>91</v>
      </c>
      <c r="N205" s="48" t="s">
        <v>384</v>
      </c>
      <c r="O205" s="30" t="s">
        <v>89</v>
      </c>
      <c r="Q205" s="48" t="s">
        <v>151</v>
      </c>
      <c r="R205" s="161">
        <f>IFERROR(VLOOKUP(Q205,'PRODUCT TABLE'!$A$2:$B$26,2,FALSE),"-")</f>
        <v>23069026</v>
      </c>
      <c r="S205" s="48">
        <v>1100.0</v>
      </c>
      <c r="T205" s="48">
        <v>17.8</v>
      </c>
      <c r="U205" s="48" t="s">
        <v>95</v>
      </c>
      <c r="V205" s="161">
        <f t="shared" si="1"/>
        <v>19580</v>
      </c>
      <c r="W205" s="189">
        <v>0.025</v>
      </c>
      <c r="X205" s="189">
        <v>0.025</v>
      </c>
      <c r="Y205" s="186">
        <v>0.0</v>
      </c>
      <c r="Z205" s="169">
        <f t="shared" si="2"/>
        <v>20559</v>
      </c>
      <c r="AA205" s="167">
        <f t="shared" si="3"/>
        <v>0</v>
      </c>
      <c r="AB205" s="161"/>
      <c r="AC205" s="161">
        <f t="shared" si="4"/>
        <v>19580</v>
      </c>
      <c r="AD205" s="161">
        <f t="shared" si="5"/>
        <v>489.5</v>
      </c>
      <c r="AE205" s="161">
        <f t="shared" si="6"/>
        <v>489.5</v>
      </c>
      <c r="AF205" s="167">
        <f t="shared" si="7"/>
        <v>0</v>
      </c>
      <c r="AG205" s="167">
        <f t="shared" si="8"/>
        <v>979</v>
      </c>
      <c r="AH205" s="158">
        <f t="shared" si="9"/>
        <v>5</v>
      </c>
      <c r="AI205" s="158">
        <f t="shared" si="10"/>
        <v>2023</v>
      </c>
    </row>
    <row r="206" ht="12.75" customHeight="1">
      <c r="A206" s="48" t="s">
        <v>385</v>
      </c>
      <c r="B206" s="160" t="str">
        <f>iferror(VLOOKUP((LEFT(A206,6)),CUSTOMER_DETAILS,2,FALSE),"-")</f>
        <v>SIDDHAYU AYURVEDIC RESEARCH FOUNDATION PVT LTD</v>
      </c>
      <c r="C206" s="161" t="s">
        <v>89</v>
      </c>
      <c r="D206" s="162">
        <v>45076.0</v>
      </c>
      <c r="E206" s="161" t="s">
        <v>89</v>
      </c>
      <c r="F206" s="164" t="s">
        <v>358</v>
      </c>
      <c r="G206" s="30" t="s">
        <v>89</v>
      </c>
      <c r="H206" s="30" t="s">
        <v>89</v>
      </c>
      <c r="I206" s="48" t="s">
        <v>108</v>
      </c>
      <c r="J206" s="188">
        <f t="shared" si="11"/>
        <v>45076</v>
      </c>
      <c r="K206" s="48">
        <v>222.0</v>
      </c>
      <c r="L206" s="48" t="s">
        <v>108</v>
      </c>
      <c r="M206" s="48" t="s">
        <v>91</v>
      </c>
      <c r="N206" s="48" t="s">
        <v>125</v>
      </c>
      <c r="O206" s="30" t="s">
        <v>89</v>
      </c>
      <c r="P206" s="48" t="s">
        <v>386</v>
      </c>
      <c r="Q206" s="48" t="s">
        <v>94</v>
      </c>
      <c r="R206" s="161">
        <f>IFERROR(VLOOKUP(Q206,'PRODUCT TABLE'!$A$2:$B$26,2,FALSE),"-")</f>
        <v>44011090</v>
      </c>
      <c r="S206" s="48">
        <v>9940.0</v>
      </c>
      <c r="T206" s="48">
        <v>6.8</v>
      </c>
      <c r="U206" s="48" t="s">
        <v>95</v>
      </c>
      <c r="V206" s="161">
        <f t="shared" si="1"/>
        <v>67592</v>
      </c>
      <c r="W206" s="189">
        <v>0.025</v>
      </c>
      <c r="X206" s="189">
        <v>0.025</v>
      </c>
      <c r="Y206" s="186">
        <v>0.0</v>
      </c>
      <c r="Z206" s="169">
        <f t="shared" si="2"/>
        <v>70972</v>
      </c>
      <c r="AA206" s="167">
        <f t="shared" si="3"/>
        <v>0.4</v>
      </c>
      <c r="AB206" s="161"/>
      <c r="AC206" s="161">
        <f t="shared" si="4"/>
        <v>67592</v>
      </c>
      <c r="AD206" s="161">
        <f t="shared" si="5"/>
        <v>1689.8</v>
      </c>
      <c r="AE206" s="161">
        <f t="shared" si="6"/>
        <v>1689.8</v>
      </c>
      <c r="AF206" s="167">
        <f t="shared" si="7"/>
        <v>0</v>
      </c>
      <c r="AG206" s="167">
        <f t="shared" si="8"/>
        <v>3379.6</v>
      </c>
      <c r="AH206" s="158">
        <f t="shared" si="9"/>
        <v>5</v>
      </c>
      <c r="AI206" s="158">
        <f t="shared" si="10"/>
        <v>2023</v>
      </c>
    </row>
    <row r="207" ht="12.75" customHeight="1">
      <c r="A207" s="48" t="s">
        <v>387</v>
      </c>
      <c r="B207" s="160" t="str">
        <f>iferror(VLOOKUP((LEFT(A207,6)),CUSTOMER_DETAILS,2,FALSE),"-")</f>
        <v>HARIWANSH PACKAGING PVT LTD</v>
      </c>
      <c r="C207" s="161" t="s">
        <v>89</v>
      </c>
      <c r="D207" s="162">
        <v>45066.0</v>
      </c>
      <c r="E207" s="161" t="s">
        <v>89</v>
      </c>
      <c r="F207" s="164" t="s">
        <v>358</v>
      </c>
      <c r="G207" s="30" t="s">
        <v>89</v>
      </c>
      <c r="H207" s="30" t="s">
        <v>89</v>
      </c>
      <c r="I207" s="48">
        <v>224.0</v>
      </c>
      <c r="J207" s="188">
        <f t="shared" si="11"/>
        <v>45066</v>
      </c>
      <c r="K207" s="48">
        <v>223.0</v>
      </c>
      <c r="L207" s="48" t="s">
        <v>108</v>
      </c>
      <c r="M207" s="48" t="s">
        <v>91</v>
      </c>
      <c r="N207" s="48" t="s">
        <v>135</v>
      </c>
      <c r="O207" s="30" t="s">
        <v>89</v>
      </c>
      <c r="P207" s="48" t="s">
        <v>388</v>
      </c>
      <c r="Q207" s="48" t="s">
        <v>94</v>
      </c>
      <c r="R207" s="161">
        <f>IFERROR(VLOOKUP(Q207,'PRODUCT TABLE'!$A$2:$B$26,2,FALSE),"-")</f>
        <v>44011090</v>
      </c>
      <c r="S207" s="48">
        <v>10130.0</v>
      </c>
      <c r="T207" s="48">
        <v>6.75</v>
      </c>
      <c r="U207" s="48" t="s">
        <v>95</v>
      </c>
      <c r="V207" s="161">
        <f t="shared" si="1"/>
        <v>68377.5</v>
      </c>
      <c r="W207" s="189">
        <v>0.025</v>
      </c>
      <c r="X207" s="189">
        <v>0.025</v>
      </c>
      <c r="Y207" s="186">
        <v>0.0</v>
      </c>
      <c r="Z207" s="169">
        <f t="shared" si="2"/>
        <v>71796</v>
      </c>
      <c r="AA207" s="167">
        <f t="shared" si="3"/>
        <v>-0.375</v>
      </c>
      <c r="AB207" s="161"/>
      <c r="AC207" s="161">
        <f t="shared" si="4"/>
        <v>68377.5</v>
      </c>
      <c r="AD207" s="161">
        <f t="shared" si="5"/>
        <v>1709.4375</v>
      </c>
      <c r="AE207" s="161">
        <f t="shared" si="6"/>
        <v>1709.4375</v>
      </c>
      <c r="AF207" s="167">
        <f t="shared" si="7"/>
        <v>0</v>
      </c>
      <c r="AG207" s="167">
        <f t="shared" si="8"/>
        <v>3418.875</v>
      </c>
      <c r="AH207" s="158">
        <f t="shared" si="9"/>
        <v>5</v>
      </c>
      <c r="AI207" s="158">
        <f t="shared" si="10"/>
        <v>2023</v>
      </c>
    </row>
    <row r="208" ht="12.75" customHeight="1">
      <c r="A208" s="48" t="s">
        <v>389</v>
      </c>
      <c r="B208" s="160" t="str">
        <f>iferror(VLOOKUP((LEFT(A208,6)),CUSTOMER_DETAILS,2,FALSE),"-")</f>
        <v>BHARTI ENTERPRISES</v>
      </c>
      <c r="C208" s="161" t="s">
        <v>89</v>
      </c>
      <c r="D208" s="162">
        <v>45047.0</v>
      </c>
      <c r="E208" s="161" t="s">
        <v>89</v>
      </c>
      <c r="F208" s="30" t="s">
        <v>89</v>
      </c>
      <c r="G208" s="30" t="s">
        <v>89</v>
      </c>
      <c r="H208" s="30" t="s">
        <v>89</v>
      </c>
      <c r="I208" s="48" t="s">
        <v>108</v>
      </c>
      <c r="J208" s="190">
        <v>45047.0</v>
      </c>
      <c r="K208" s="48">
        <v>224.0</v>
      </c>
      <c r="L208" s="48" t="s">
        <v>108</v>
      </c>
      <c r="M208" s="48" t="s">
        <v>245</v>
      </c>
      <c r="N208" s="48" t="s">
        <v>135</v>
      </c>
      <c r="O208" s="30" t="s">
        <v>89</v>
      </c>
      <c r="Q208" s="48" t="s">
        <v>117</v>
      </c>
      <c r="R208" s="161">
        <f>IFERROR(VLOOKUP(Q208,'PRODUCT TABLE'!$A$2:$B$26,2,FALSE),"-")</f>
        <v>44011090</v>
      </c>
      <c r="S208" s="48">
        <v>300.0</v>
      </c>
      <c r="T208" s="48">
        <v>12.5</v>
      </c>
      <c r="U208" s="48" t="s">
        <v>95</v>
      </c>
      <c r="V208" s="161">
        <f t="shared" si="1"/>
        <v>3750</v>
      </c>
      <c r="W208" s="189">
        <v>0.025</v>
      </c>
      <c r="X208" s="189">
        <v>0.025</v>
      </c>
      <c r="Y208" s="186">
        <v>0.0</v>
      </c>
      <c r="Z208" s="169">
        <f t="shared" si="2"/>
        <v>3937</v>
      </c>
      <c r="AA208" s="167">
        <f t="shared" si="3"/>
        <v>-0.5</v>
      </c>
      <c r="AB208" s="161"/>
      <c r="AC208" s="161">
        <f t="shared" si="4"/>
        <v>3750</v>
      </c>
      <c r="AD208" s="161">
        <f t="shared" si="5"/>
        <v>93.75</v>
      </c>
      <c r="AE208" s="161">
        <f t="shared" si="6"/>
        <v>93.75</v>
      </c>
      <c r="AF208" s="167">
        <f t="shared" si="7"/>
        <v>0</v>
      </c>
      <c r="AG208" s="167">
        <f t="shared" si="8"/>
        <v>187.5</v>
      </c>
      <c r="AH208" s="158">
        <f t="shared" si="9"/>
        <v>5</v>
      </c>
      <c r="AI208" s="158">
        <f t="shared" si="10"/>
        <v>2023</v>
      </c>
    </row>
    <row r="209" ht="12.75" customHeight="1">
      <c r="A209" s="48" t="s">
        <v>390</v>
      </c>
      <c r="B209" s="160" t="str">
        <f>iferror(VLOOKUP((LEFT(A209,6)),CUSTOMER_DETAILS,2,FALSE),"-")</f>
        <v>HARIWANSH PACKAGING PVT LTD</v>
      </c>
      <c r="C209" s="161" t="s">
        <v>89</v>
      </c>
      <c r="D209" s="162">
        <v>45069.0</v>
      </c>
      <c r="E209" s="161" t="s">
        <v>89</v>
      </c>
      <c r="F209" s="164" t="s">
        <v>358</v>
      </c>
      <c r="G209" s="30" t="s">
        <v>89</v>
      </c>
      <c r="H209" s="30" t="s">
        <v>89</v>
      </c>
      <c r="I209" s="48">
        <v>224.0</v>
      </c>
      <c r="J209" s="188">
        <f t="shared" ref="J209:J281" si="12">D209</f>
        <v>45069</v>
      </c>
      <c r="K209" s="48">
        <v>225.0</v>
      </c>
      <c r="L209" s="48" t="s">
        <v>108</v>
      </c>
      <c r="M209" s="48" t="s">
        <v>91</v>
      </c>
      <c r="N209" s="48" t="s">
        <v>135</v>
      </c>
      <c r="O209" s="30" t="s">
        <v>89</v>
      </c>
      <c r="Q209" s="48" t="s">
        <v>94</v>
      </c>
      <c r="R209" s="161">
        <f>IFERROR(VLOOKUP(Q209,'PRODUCT TABLE'!$A$2:$B$26,2,FALSE),"-")</f>
        <v>44011090</v>
      </c>
      <c r="S209" s="48">
        <v>10160.0</v>
      </c>
      <c r="T209" s="48">
        <v>6.75</v>
      </c>
      <c r="U209" s="48" t="s">
        <v>95</v>
      </c>
      <c r="V209" s="161">
        <f t="shared" si="1"/>
        <v>68580</v>
      </c>
      <c r="W209" s="189">
        <v>0.025</v>
      </c>
      <c r="X209" s="189">
        <v>0.025</v>
      </c>
      <c r="Y209" s="186">
        <v>0.0</v>
      </c>
      <c r="Z209" s="169">
        <f t="shared" si="2"/>
        <v>72009</v>
      </c>
      <c r="AA209" s="167">
        <f t="shared" si="3"/>
        <v>0</v>
      </c>
      <c r="AB209" s="161"/>
      <c r="AC209" s="161">
        <f t="shared" si="4"/>
        <v>68580</v>
      </c>
      <c r="AD209" s="161">
        <f t="shared" si="5"/>
        <v>1714.5</v>
      </c>
      <c r="AE209" s="161">
        <f t="shared" si="6"/>
        <v>1714.5</v>
      </c>
      <c r="AF209" s="167">
        <f t="shared" si="7"/>
        <v>0</v>
      </c>
      <c r="AG209" s="167">
        <f t="shared" si="8"/>
        <v>3429</v>
      </c>
      <c r="AH209" s="158">
        <f t="shared" si="9"/>
        <v>5</v>
      </c>
      <c r="AI209" s="158">
        <f t="shared" si="10"/>
        <v>2023</v>
      </c>
    </row>
    <row r="210" ht="12.75" customHeight="1">
      <c r="A210" s="48" t="s">
        <v>391</v>
      </c>
      <c r="B210" s="160" t="str">
        <f>iferror(VLOOKUP((LEFT(A210,6)),CUSTOMER_DETAILS,2,FALSE),"-")</f>
        <v>HARIWANSH PACKAGING PVT LTD</v>
      </c>
      <c r="C210" s="161" t="s">
        <v>89</v>
      </c>
      <c r="D210" s="162">
        <v>45072.0</v>
      </c>
      <c r="E210" s="161" t="s">
        <v>89</v>
      </c>
      <c r="F210" s="164" t="s">
        <v>358</v>
      </c>
      <c r="G210" s="30" t="s">
        <v>89</v>
      </c>
      <c r="H210" s="30" t="s">
        <v>89</v>
      </c>
      <c r="I210" s="48">
        <v>224.0</v>
      </c>
      <c r="J210" s="188">
        <f t="shared" si="12"/>
        <v>45072</v>
      </c>
      <c r="K210" s="48">
        <v>226.0</v>
      </c>
      <c r="L210" s="48" t="s">
        <v>108</v>
      </c>
      <c r="M210" s="48" t="s">
        <v>91</v>
      </c>
      <c r="N210" s="48" t="s">
        <v>135</v>
      </c>
      <c r="O210" s="30" t="s">
        <v>89</v>
      </c>
      <c r="Q210" s="48" t="s">
        <v>94</v>
      </c>
      <c r="R210" s="161">
        <f>IFERROR(VLOOKUP(Q210,'PRODUCT TABLE'!$A$2:$B$26,2,FALSE),"-")</f>
        <v>44011090</v>
      </c>
      <c r="S210" s="48">
        <v>7440.0</v>
      </c>
      <c r="T210" s="48">
        <v>6.75</v>
      </c>
      <c r="U210" s="48" t="s">
        <v>95</v>
      </c>
      <c r="V210" s="161">
        <f t="shared" si="1"/>
        <v>50220</v>
      </c>
      <c r="W210" s="189">
        <v>0.025</v>
      </c>
      <c r="X210" s="189">
        <v>0.025</v>
      </c>
      <c r="Y210" s="186">
        <v>0.0</v>
      </c>
      <c r="Z210" s="169">
        <f t="shared" si="2"/>
        <v>52731</v>
      </c>
      <c r="AA210" s="167">
        <f t="shared" si="3"/>
        <v>0</v>
      </c>
      <c r="AB210" s="161"/>
      <c r="AC210" s="161">
        <f t="shared" si="4"/>
        <v>50220</v>
      </c>
      <c r="AD210" s="161">
        <f t="shared" si="5"/>
        <v>1255.5</v>
      </c>
      <c r="AE210" s="161">
        <f t="shared" si="6"/>
        <v>1255.5</v>
      </c>
      <c r="AF210" s="167">
        <f t="shared" si="7"/>
        <v>0</v>
      </c>
      <c r="AG210" s="167">
        <f t="shared" si="8"/>
        <v>2511</v>
      </c>
      <c r="AH210" s="158">
        <f t="shared" si="9"/>
        <v>5</v>
      </c>
      <c r="AI210" s="158">
        <f t="shared" si="10"/>
        <v>2023</v>
      </c>
    </row>
    <row r="211" ht="12.75" customHeight="1">
      <c r="A211" s="48" t="s">
        <v>392</v>
      </c>
      <c r="B211" s="160" t="str">
        <f>iferror(VLOOKUP((LEFT(A211,6)),CUSTOMER_DETAILS,2,FALSE),"-")</f>
        <v>SAI KALYANI AGENCY</v>
      </c>
      <c r="C211" s="161" t="s">
        <v>89</v>
      </c>
      <c r="D211" s="162">
        <v>45072.0</v>
      </c>
      <c r="E211" s="161" t="s">
        <v>89</v>
      </c>
      <c r="F211" s="164"/>
      <c r="G211" s="30" t="s">
        <v>89</v>
      </c>
      <c r="H211" s="30" t="s">
        <v>89</v>
      </c>
      <c r="I211" s="48" t="s">
        <v>108</v>
      </c>
      <c r="J211" s="188">
        <f t="shared" si="12"/>
        <v>45072</v>
      </c>
      <c r="K211" s="48">
        <v>227.0</v>
      </c>
      <c r="L211" s="48" t="s">
        <v>108</v>
      </c>
      <c r="M211" s="48" t="s">
        <v>91</v>
      </c>
      <c r="N211" s="48" t="s">
        <v>369</v>
      </c>
      <c r="O211" s="30" t="s">
        <v>89</v>
      </c>
      <c r="P211" s="48" t="s">
        <v>393</v>
      </c>
      <c r="Q211" s="48" t="s">
        <v>233</v>
      </c>
      <c r="R211" s="161">
        <f>IFERROR(VLOOKUP(Q211,'PRODUCT TABLE'!$A$2:$B$26,2,FALSE),"-")</f>
        <v>44011090</v>
      </c>
      <c r="S211" s="48">
        <v>25000.0</v>
      </c>
      <c r="T211" s="48">
        <v>10.8</v>
      </c>
      <c r="U211" s="48" t="s">
        <v>95</v>
      </c>
      <c r="V211" s="161">
        <f t="shared" si="1"/>
        <v>270000</v>
      </c>
      <c r="W211" s="189">
        <v>0.025</v>
      </c>
      <c r="X211" s="189">
        <v>0.025</v>
      </c>
      <c r="Y211" s="186">
        <v>0.0</v>
      </c>
      <c r="Z211" s="169">
        <f t="shared" si="2"/>
        <v>283500</v>
      </c>
      <c r="AA211" s="167">
        <f t="shared" si="3"/>
        <v>0</v>
      </c>
      <c r="AB211" s="161"/>
      <c r="AC211" s="161">
        <f t="shared" si="4"/>
        <v>270000</v>
      </c>
      <c r="AD211" s="161">
        <f t="shared" si="5"/>
        <v>6750</v>
      </c>
      <c r="AE211" s="161">
        <f t="shared" si="6"/>
        <v>6750</v>
      </c>
      <c r="AF211" s="167">
        <f t="shared" si="7"/>
        <v>0</v>
      </c>
      <c r="AG211" s="167">
        <f t="shared" si="8"/>
        <v>13500</v>
      </c>
      <c r="AH211" s="158">
        <f t="shared" si="9"/>
        <v>5</v>
      </c>
      <c r="AI211" s="158">
        <f t="shared" si="10"/>
        <v>2023</v>
      </c>
    </row>
    <row r="212" ht="12.75" customHeight="1">
      <c r="A212" s="48" t="s">
        <v>394</v>
      </c>
      <c r="B212" s="160" t="str">
        <f>iferror(VLOOKUP((LEFT(A212,6)),CUSTOMER_DETAILS,2,FALSE),"-")</f>
        <v>HARIWANSH PACKAGING PVT LTD</v>
      </c>
      <c r="C212" s="161" t="s">
        <v>89</v>
      </c>
      <c r="D212" s="162">
        <v>45076.0</v>
      </c>
      <c r="E212" s="161" t="s">
        <v>89</v>
      </c>
      <c r="F212" s="164" t="s">
        <v>358</v>
      </c>
      <c r="G212" s="30" t="s">
        <v>89</v>
      </c>
      <c r="H212" s="30" t="s">
        <v>89</v>
      </c>
      <c r="I212" s="48">
        <v>224.0</v>
      </c>
      <c r="J212" s="188">
        <f t="shared" si="12"/>
        <v>45076</v>
      </c>
      <c r="K212" s="48">
        <v>228.0</v>
      </c>
      <c r="L212" s="48" t="s">
        <v>108</v>
      </c>
      <c r="M212" s="48" t="s">
        <v>91</v>
      </c>
      <c r="N212" s="48" t="s">
        <v>135</v>
      </c>
      <c r="O212" s="30" t="s">
        <v>89</v>
      </c>
      <c r="Q212" s="48" t="s">
        <v>94</v>
      </c>
      <c r="R212" s="161">
        <f>IFERROR(VLOOKUP(Q212,'PRODUCT TABLE'!$A$2:$B$26,2,FALSE),"-")</f>
        <v>44011090</v>
      </c>
      <c r="S212" s="48">
        <v>10310.0</v>
      </c>
      <c r="T212" s="48">
        <v>6.75</v>
      </c>
      <c r="U212" s="48" t="s">
        <v>95</v>
      </c>
      <c r="V212" s="161">
        <f t="shared" si="1"/>
        <v>69592.5</v>
      </c>
      <c r="W212" s="189">
        <v>0.025</v>
      </c>
      <c r="X212" s="189">
        <v>0.025</v>
      </c>
      <c r="Y212" s="186">
        <v>0.0</v>
      </c>
      <c r="Z212" s="169">
        <f t="shared" si="2"/>
        <v>73072</v>
      </c>
      <c r="AA212" s="167">
        <f t="shared" si="3"/>
        <v>-0.125</v>
      </c>
      <c r="AB212" s="161"/>
      <c r="AC212" s="161">
        <f t="shared" si="4"/>
        <v>69592.5</v>
      </c>
      <c r="AD212" s="161">
        <f t="shared" si="5"/>
        <v>1739.8125</v>
      </c>
      <c r="AE212" s="161">
        <f t="shared" si="6"/>
        <v>1739.8125</v>
      </c>
      <c r="AF212" s="167">
        <f t="shared" si="7"/>
        <v>0</v>
      </c>
      <c r="AG212" s="167">
        <f t="shared" si="8"/>
        <v>3479.625</v>
      </c>
      <c r="AH212" s="158">
        <f t="shared" si="9"/>
        <v>5</v>
      </c>
      <c r="AI212" s="158">
        <f t="shared" si="10"/>
        <v>2023</v>
      </c>
    </row>
    <row r="213" ht="12.75" customHeight="1">
      <c r="A213" s="48" t="s">
        <v>395</v>
      </c>
      <c r="B213" s="160" t="str">
        <f>iferror(VLOOKUP((LEFT(A213,6)),CUSTOMER_DETAILS,2,FALSE),"-")</f>
        <v>HARIWANSH PACKAGING PVT LTD</v>
      </c>
      <c r="C213" s="161" t="s">
        <v>89</v>
      </c>
      <c r="D213" s="162">
        <v>45077.0</v>
      </c>
      <c r="E213" s="161" t="s">
        <v>89</v>
      </c>
      <c r="F213" s="164" t="s">
        <v>358</v>
      </c>
      <c r="G213" s="30" t="s">
        <v>89</v>
      </c>
      <c r="H213" s="30" t="s">
        <v>89</v>
      </c>
      <c r="I213" s="48">
        <v>224.0</v>
      </c>
      <c r="J213" s="188">
        <f t="shared" si="12"/>
        <v>45077</v>
      </c>
      <c r="K213" s="48">
        <v>229.0</v>
      </c>
      <c r="L213" s="48" t="s">
        <v>108</v>
      </c>
      <c r="M213" s="48" t="s">
        <v>91</v>
      </c>
      <c r="N213" s="48" t="s">
        <v>135</v>
      </c>
      <c r="O213" s="30" t="s">
        <v>89</v>
      </c>
      <c r="Q213" s="48" t="s">
        <v>94</v>
      </c>
      <c r="R213" s="161">
        <f>IFERROR(VLOOKUP(Q213,'PRODUCT TABLE'!$A$2:$B$26,2,FALSE),"-")</f>
        <v>44011090</v>
      </c>
      <c r="S213" s="48">
        <v>10010.0</v>
      </c>
      <c r="T213" s="48">
        <v>6.75</v>
      </c>
      <c r="U213" s="48" t="s">
        <v>95</v>
      </c>
      <c r="V213" s="161">
        <f t="shared" si="1"/>
        <v>67567.5</v>
      </c>
      <c r="W213" s="189">
        <v>0.025</v>
      </c>
      <c r="X213" s="189">
        <v>0.025</v>
      </c>
      <c r="Y213" s="186">
        <v>0.0</v>
      </c>
      <c r="Z213" s="169">
        <f t="shared" si="2"/>
        <v>70946</v>
      </c>
      <c r="AA213" s="167">
        <f t="shared" si="3"/>
        <v>0.125</v>
      </c>
      <c r="AB213" s="161"/>
      <c r="AC213" s="161">
        <f t="shared" si="4"/>
        <v>67567.5</v>
      </c>
      <c r="AD213" s="161">
        <f t="shared" si="5"/>
        <v>1689.1875</v>
      </c>
      <c r="AE213" s="161">
        <f t="shared" si="6"/>
        <v>1689.1875</v>
      </c>
      <c r="AF213" s="167">
        <f t="shared" si="7"/>
        <v>0</v>
      </c>
      <c r="AG213" s="167">
        <f t="shared" si="8"/>
        <v>3378.375</v>
      </c>
      <c r="AH213" s="158">
        <f t="shared" si="9"/>
        <v>5</v>
      </c>
      <c r="AI213" s="158">
        <f t="shared" si="10"/>
        <v>2023</v>
      </c>
    </row>
    <row r="214" ht="12.75" customHeight="1">
      <c r="A214" s="48" t="s">
        <v>396</v>
      </c>
      <c r="B214" s="160" t="str">
        <f>iferror(VLOOKUP((LEFT(A214,6)),CUSTOMER_DETAILS,2,FALSE),"-")</f>
        <v>NAGPUR FUELS</v>
      </c>
      <c r="C214" s="161" t="s">
        <v>89</v>
      </c>
      <c r="D214" s="162">
        <v>45077.0</v>
      </c>
      <c r="E214" s="161" t="s">
        <v>89</v>
      </c>
      <c r="F214" s="30" t="s">
        <v>89</v>
      </c>
      <c r="G214" s="30" t="s">
        <v>89</v>
      </c>
      <c r="H214" s="30" t="s">
        <v>89</v>
      </c>
      <c r="J214" s="188">
        <f t="shared" si="12"/>
        <v>45077</v>
      </c>
      <c r="K214" s="48">
        <v>230.0</v>
      </c>
      <c r="L214" s="48" t="s">
        <v>108</v>
      </c>
      <c r="M214" s="48" t="s">
        <v>91</v>
      </c>
      <c r="N214" s="48" t="s">
        <v>125</v>
      </c>
      <c r="O214" s="30" t="s">
        <v>89</v>
      </c>
      <c r="Q214" s="48" t="s">
        <v>117</v>
      </c>
      <c r="R214" s="161">
        <f>IFERROR(VLOOKUP(Q214,'PRODUCT TABLE'!$A$2:$B$26,2,FALSE),"-")</f>
        <v>44011090</v>
      </c>
      <c r="S214" s="48">
        <v>10630.0</v>
      </c>
      <c r="T214" s="48">
        <v>11.0</v>
      </c>
      <c r="U214" s="48" t="s">
        <v>95</v>
      </c>
      <c r="V214" s="161">
        <f t="shared" si="1"/>
        <v>116930</v>
      </c>
      <c r="W214" s="189">
        <v>0.025</v>
      </c>
      <c r="X214" s="189">
        <v>0.025</v>
      </c>
      <c r="Y214" s="186">
        <v>0.0</v>
      </c>
      <c r="Z214" s="169">
        <f t="shared" si="2"/>
        <v>122776</v>
      </c>
      <c r="AA214" s="167">
        <f t="shared" si="3"/>
        <v>-0.5</v>
      </c>
      <c r="AB214" s="161"/>
      <c r="AC214" s="161">
        <f t="shared" si="4"/>
        <v>116930</v>
      </c>
      <c r="AD214" s="161">
        <f t="shared" si="5"/>
        <v>2923.25</v>
      </c>
      <c r="AE214" s="161">
        <f t="shared" si="6"/>
        <v>2923.25</v>
      </c>
      <c r="AF214" s="167">
        <f t="shared" si="7"/>
        <v>0</v>
      </c>
      <c r="AG214" s="167">
        <f t="shared" si="8"/>
        <v>5846.5</v>
      </c>
      <c r="AH214" s="158">
        <f t="shared" si="9"/>
        <v>5</v>
      </c>
      <c r="AI214" s="158">
        <f t="shared" si="10"/>
        <v>2023</v>
      </c>
    </row>
    <row r="215" ht="12.75" customHeight="1">
      <c r="A215" s="48" t="s">
        <v>397</v>
      </c>
      <c r="B215" s="160" t="str">
        <f>iferror(VLOOKUP((LEFT(A215,6)),CUSTOMER_DETAILS,2,FALSE),"-")</f>
        <v>HARIWANSH PACKAGING PVT LTD</v>
      </c>
      <c r="C215" s="161" t="s">
        <v>89</v>
      </c>
      <c r="D215" s="162">
        <v>45082.0</v>
      </c>
      <c r="E215" s="161" t="s">
        <v>89</v>
      </c>
      <c r="F215" s="164" t="s">
        <v>358</v>
      </c>
      <c r="G215" s="30" t="s">
        <v>89</v>
      </c>
      <c r="H215" s="30" t="s">
        <v>89</v>
      </c>
      <c r="I215" s="48">
        <v>325.0</v>
      </c>
      <c r="J215" s="188">
        <f t="shared" si="12"/>
        <v>45082</v>
      </c>
      <c r="K215" s="48">
        <v>231.0</v>
      </c>
      <c r="L215" s="48" t="s">
        <v>108</v>
      </c>
      <c r="M215" s="48" t="s">
        <v>91</v>
      </c>
      <c r="N215" s="48" t="s">
        <v>135</v>
      </c>
      <c r="O215" s="30" t="s">
        <v>89</v>
      </c>
      <c r="Q215" s="48" t="s">
        <v>94</v>
      </c>
      <c r="R215" s="161">
        <f>IFERROR(VLOOKUP(Q215,'PRODUCT TABLE'!$A$2:$B$26,2,FALSE),"-")</f>
        <v>44011090</v>
      </c>
      <c r="S215" s="48">
        <v>12330.0</v>
      </c>
      <c r="T215" s="48">
        <v>6.9</v>
      </c>
      <c r="U215" s="48" t="s">
        <v>95</v>
      </c>
      <c r="V215" s="161">
        <f t="shared" si="1"/>
        <v>85077</v>
      </c>
      <c r="W215" s="189">
        <v>0.025</v>
      </c>
      <c r="X215" s="189">
        <v>0.025</v>
      </c>
      <c r="Y215" s="186">
        <v>0.0</v>
      </c>
      <c r="Z215" s="169">
        <f t="shared" si="2"/>
        <v>89331</v>
      </c>
      <c r="AA215" s="167">
        <f t="shared" si="3"/>
        <v>0.15</v>
      </c>
      <c r="AB215" s="161"/>
      <c r="AC215" s="161">
        <f t="shared" si="4"/>
        <v>85077</v>
      </c>
      <c r="AD215" s="161">
        <f t="shared" si="5"/>
        <v>2126.925</v>
      </c>
      <c r="AE215" s="161">
        <f t="shared" si="6"/>
        <v>2126.925</v>
      </c>
      <c r="AF215" s="167">
        <f t="shared" si="7"/>
        <v>0</v>
      </c>
      <c r="AG215" s="167">
        <f t="shared" si="8"/>
        <v>4253.85</v>
      </c>
      <c r="AH215" s="158">
        <f t="shared" si="9"/>
        <v>6</v>
      </c>
      <c r="AI215" s="158">
        <f t="shared" si="10"/>
        <v>2023</v>
      </c>
    </row>
    <row r="216" ht="12.75" customHeight="1">
      <c r="A216" s="48" t="s">
        <v>398</v>
      </c>
      <c r="B216" s="160" t="str">
        <f>iferror(VLOOKUP((LEFT(A216,6)),CUSTOMER_DETAILS,2,FALSE),"-")</f>
        <v>HARIWANSH PACKAGING PVT LTD</v>
      </c>
      <c r="C216" s="161" t="s">
        <v>89</v>
      </c>
      <c r="D216" s="162">
        <v>45083.0</v>
      </c>
      <c r="E216" s="161" t="s">
        <v>89</v>
      </c>
      <c r="F216" s="164" t="s">
        <v>358</v>
      </c>
      <c r="G216" s="30" t="s">
        <v>89</v>
      </c>
      <c r="H216" s="30" t="s">
        <v>89</v>
      </c>
      <c r="I216" s="48">
        <v>325.0</v>
      </c>
      <c r="J216" s="188">
        <f t="shared" si="12"/>
        <v>45083</v>
      </c>
      <c r="K216" s="48">
        <v>232.0</v>
      </c>
      <c r="L216" s="48" t="s">
        <v>108</v>
      </c>
      <c r="M216" s="48" t="s">
        <v>91</v>
      </c>
      <c r="N216" s="48" t="s">
        <v>135</v>
      </c>
      <c r="O216" s="30" t="s">
        <v>89</v>
      </c>
      <c r="P216" s="48" t="s">
        <v>377</v>
      </c>
      <c r="Q216" s="48" t="s">
        <v>94</v>
      </c>
      <c r="R216" s="161">
        <f>IFERROR(VLOOKUP(Q216,'PRODUCT TABLE'!$A$2:$B$26,2,FALSE),"-")</f>
        <v>44011090</v>
      </c>
      <c r="S216" s="48">
        <v>12100.0</v>
      </c>
      <c r="T216" s="48">
        <v>6.9</v>
      </c>
      <c r="U216" s="48" t="s">
        <v>95</v>
      </c>
      <c r="V216" s="161">
        <f t="shared" si="1"/>
        <v>83490</v>
      </c>
      <c r="W216" s="189">
        <v>0.025</v>
      </c>
      <c r="X216" s="189">
        <v>0.025</v>
      </c>
      <c r="Y216" s="186">
        <v>0.0</v>
      </c>
      <c r="Z216" s="169">
        <f t="shared" si="2"/>
        <v>87664</v>
      </c>
      <c r="AA216" s="167">
        <f t="shared" si="3"/>
        <v>-0.5</v>
      </c>
      <c r="AB216" s="161"/>
      <c r="AC216" s="161">
        <f t="shared" si="4"/>
        <v>83490</v>
      </c>
      <c r="AD216" s="161">
        <f t="shared" si="5"/>
        <v>2087.25</v>
      </c>
      <c r="AE216" s="161">
        <f t="shared" si="6"/>
        <v>2087.25</v>
      </c>
      <c r="AF216" s="167">
        <f t="shared" si="7"/>
        <v>0</v>
      </c>
      <c r="AG216" s="167">
        <f t="shared" si="8"/>
        <v>4174.5</v>
      </c>
      <c r="AH216" s="158">
        <f t="shared" si="9"/>
        <v>6</v>
      </c>
      <c r="AI216" s="158">
        <f t="shared" si="10"/>
        <v>2023</v>
      </c>
    </row>
    <row r="217" ht="12.75" customHeight="1">
      <c r="A217" s="48" t="s">
        <v>399</v>
      </c>
      <c r="B217" s="160" t="str">
        <f>iferror(VLOOKUP((LEFT(A217,6)),CUSTOMER_DETAILS,2,FALSE),"-")</f>
        <v>MITTAL COAL COMPANY</v>
      </c>
      <c r="C217" s="161" t="s">
        <v>89</v>
      </c>
      <c r="D217" s="162">
        <v>45083.0</v>
      </c>
      <c r="E217" s="161" t="s">
        <v>89</v>
      </c>
      <c r="F217" s="164" t="s">
        <v>374</v>
      </c>
      <c r="G217" s="30" t="s">
        <v>89</v>
      </c>
      <c r="H217" s="30" t="s">
        <v>89</v>
      </c>
      <c r="J217" s="188">
        <f t="shared" si="12"/>
        <v>45083</v>
      </c>
      <c r="K217" s="48">
        <v>233.0</v>
      </c>
      <c r="L217" s="48" t="s">
        <v>108</v>
      </c>
      <c r="M217" s="48" t="s">
        <v>91</v>
      </c>
      <c r="N217" s="48" t="s">
        <v>400</v>
      </c>
      <c r="O217" s="30" t="s">
        <v>89</v>
      </c>
      <c r="P217" s="48" t="s">
        <v>401</v>
      </c>
      <c r="Q217" s="48" t="s">
        <v>233</v>
      </c>
      <c r="R217" s="161">
        <f>IFERROR(VLOOKUP(Q217,'PRODUCT TABLE'!$A$2:$B$26,2,FALSE),"-")</f>
        <v>44011090</v>
      </c>
      <c r="S217" s="48">
        <v>25000.0</v>
      </c>
      <c r="T217" s="48">
        <v>10.5</v>
      </c>
      <c r="U217" s="48" t="s">
        <v>95</v>
      </c>
      <c r="V217" s="161">
        <f t="shared" si="1"/>
        <v>262500</v>
      </c>
      <c r="W217" s="186">
        <v>0.0</v>
      </c>
      <c r="X217" s="186">
        <v>0.0</v>
      </c>
      <c r="Y217" s="186">
        <v>0.05</v>
      </c>
      <c r="Z217" s="169">
        <f t="shared" si="2"/>
        <v>275625</v>
      </c>
      <c r="AA217" s="167">
        <f t="shared" si="3"/>
        <v>0</v>
      </c>
      <c r="AB217" s="161"/>
      <c r="AC217" s="161">
        <f t="shared" si="4"/>
        <v>262500</v>
      </c>
      <c r="AD217" s="161">
        <f t="shared" si="5"/>
        <v>0</v>
      </c>
      <c r="AE217" s="161">
        <f t="shared" si="6"/>
        <v>0</v>
      </c>
      <c r="AF217" s="167">
        <f t="shared" si="7"/>
        <v>13125</v>
      </c>
      <c r="AG217" s="167">
        <f t="shared" si="8"/>
        <v>13125</v>
      </c>
      <c r="AH217" s="158">
        <f t="shared" si="9"/>
        <v>6</v>
      </c>
      <c r="AI217" s="158">
        <f t="shared" si="10"/>
        <v>2023</v>
      </c>
    </row>
    <row r="218" ht="12.75" customHeight="1">
      <c r="A218" s="48" t="s">
        <v>402</v>
      </c>
      <c r="B218" s="160" t="str">
        <f>iferror(VLOOKUP((LEFT(A218,6)),CUSTOMER_DETAILS,2,FALSE),"-")</f>
        <v>SHIVA TRADERS</v>
      </c>
      <c r="C218" s="161" t="s">
        <v>89</v>
      </c>
      <c r="D218" s="162">
        <v>45083.0</v>
      </c>
      <c r="E218" s="161" t="s">
        <v>89</v>
      </c>
      <c r="F218" s="164" t="s">
        <v>374</v>
      </c>
      <c r="G218" s="30" t="s">
        <v>89</v>
      </c>
      <c r="H218" s="30" t="s">
        <v>89</v>
      </c>
      <c r="I218" s="48" t="s">
        <v>108</v>
      </c>
      <c r="J218" s="188">
        <f t="shared" si="12"/>
        <v>45083</v>
      </c>
      <c r="K218" s="48">
        <v>234.0</v>
      </c>
      <c r="L218" s="48" t="s">
        <v>108</v>
      </c>
      <c r="M218" s="48" t="s">
        <v>91</v>
      </c>
      <c r="N218" s="48" t="s">
        <v>403</v>
      </c>
      <c r="O218" s="30" t="s">
        <v>89</v>
      </c>
      <c r="P218" s="48" t="s">
        <v>404</v>
      </c>
      <c r="Q218" s="48" t="s">
        <v>405</v>
      </c>
      <c r="R218" s="175">
        <v>801.0</v>
      </c>
      <c r="S218" s="48">
        <v>10060.0</v>
      </c>
      <c r="T218" s="48">
        <v>10.0</v>
      </c>
      <c r="U218" s="48" t="s">
        <v>95</v>
      </c>
      <c r="V218" s="161">
        <f t="shared" si="1"/>
        <v>100600</v>
      </c>
      <c r="W218" s="186">
        <v>0.0</v>
      </c>
      <c r="X218" s="186">
        <v>0.0</v>
      </c>
      <c r="Y218" s="186">
        <v>0.05</v>
      </c>
      <c r="Z218" s="169">
        <f t="shared" si="2"/>
        <v>105630</v>
      </c>
      <c r="AA218" s="167">
        <f t="shared" si="3"/>
        <v>0</v>
      </c>
      <c r="AB218" s="161"/>
      <c r="AC218" s="161">
        <f t="shared" si="4"/>
        <v>100600</v>
      </c>
      <c r="AD218" s="161">
        <f t="shared" si="5"/>
        <v>0</v>
      </c>
      <c r="AE218" s="161">
        <f t="shared" si="6"/>
        <v>0</v>
      </c>
      <c r="AF218" s="167">
        <f t="shared" si="7"/>
        <v>5030</v>
      </c>
      <c r="AG218" s="167">
        <f t="shared" si="8"/>
        <v>5030</v>
      </c>
      <c r="AH218" s="158">
        <f t="shared" si="9"/>
        <v>6</v>
      </c>
      <c r="AI218" s="158">
        <f t="shared" si="10"/>
        <v>2023</v>
      </c>
    </row>
    <row r="219" ht="12.75" customHeight="1">
      <c r="A219" s="48" t="s">
        <v>406</v>
      </c>
      <c r="B219" s="160" t="str">
        <f>iferror(VLOOKUP((LEFT(A219,6)),CUSTOMER_DETAILS,2,FALSE),"-")</f>
        <v>HARIWANSH PACKAGING PVT LTD</v>
      </c>
      <c r="C219" s="161" t="s">
        <v>89</v>
      </c>
      <c r="D219" s="162">
        <v>45084.0</v>
      </c>
      <c r="E219" s="161" t="s">
        <v>89</v>
      </c>
      <c r="F219" s="164" t="s">
        <v>358</v>
      </c>
      <c r="G219" s="30" t="s">
        <v>89</v>
      </c>
      <c r="H219" s="30" t="s">
        <v>89</v>
      </c>
      <c r="I219" s="48">
        <v>325.0</v>
      </c>
      <c r="J219" s="188">
        <f t="shared" si="12"/>
        <v>45084</v>
      </c>
      <c r="K219" s="48">
        <v>235.0</v>
      </c>
      <c r="L219" s="48" t="s">
        <v>108</v>
      </c>
      <c r="M219" s="48" t="s">
        <v>91</v>
      </c>
      <c r="N219" s="48" t="s">
        <v>135</v>
      </c>
      <c r="O219" s="30" t="s">
        <v>89</v>
      </c>
      <c r="P219" s="48" t="s">
        <v>407</v>
      </c>
      <c r="Q219" s="48" t="s">
        <v>94</v>
      </c>
      <c r="R219" s="161">
        <f>IFERROR(VLOOKUP(Q219,'PRODUCT TABLE'!$A$2:$B$26,2,FALSE),"-")</f>
        <v>44011090</v>
      </c>
      <c r="S219" s="48">
        <v>10060.0</v>
      </c>
      <c r="T219" s="48">
        <v>6.9</v>
      </c>
      <c r="U219" s="48" t="s">
        <v>95</v>
      </c>
      <c r="V219" s="161">
        <f t="shared" si="1"/>
        <v>69414</v>
      </c>
      <c r="W219" s="189">
        <v>0.025</v>
      </c>
      <c r="X219" s="189">
        <v>0.025</v>
      </c>
      <c r="Y219" s="186">
        <v>0.0</v>
      </c>
      <c r="Z219" s="169">
        <f t="shared" si="2"/>
        <v>72885</v>
      </c>
      <c r="AA219" s="167">
        <f t="shared" si="3"/>
        <v>0.3</v>
      </c>
      <c r="AB219" s="161"/>
      <c r="AC219" s="161">
        <f t="shared" si="4"/>
        <v>69414</v>
      </c>
      <c r="AD219" s="161">
        <f t="shared" si="5"/>
        <v>1735.35</v>
      </c>
      <c r="AE219" s="161">
        <f t="shared" si="6"/>
        <v>1735.35</v>
      </c>
      <c r="AF219" s="167">
        <f t="shared" si="7"/>
        <v>0</v>
      </c>
      <c r="AG219" s="167">
        <f t="shared" si="8"/>
        <v>3470.7</v>
      </c>
      <c r="AH219" s="158">
        <f t="shared" si="9"/>
        <v>6</v>
      </c>
      <c r="AI219" s="158">
        <f t="shared" si="10"/>
        <v>2023</v>
      </c>
    </row>
    <row r="220" ht="12.75" customHeight="1">
      <c r="A220" s="48" t="s">
        <v>408</v>
      </c>
      <c r="B220" s="160" t="str">
        <f>iferror(VLOOKUP((LEFT(A220,6)),CUSTOMER_DETAILS,2,FALSE),"-")</f>
        <v>HARIWANSH PACKAGING PVT LTD</v>
      </c>
      <c r="C220" s="161" t="s">
        <v>89</v>
      </c>
      <c r="D220" s="162">
        <v>45088.0</v>
      </c>
      <c r="E220" s="161" t="s">
        <v>89</v>
      </c>
      <c r="F220" s="164" t="s">
        <v>358</v>
      </c>
      <c r="G220" s="30" t="s">
        <v>89</v>
      </c>
      <c r="H220" s="30" t="s">
        <v>89</v>
      </c>
      <c r="I220" s="48">
        <v>325.0</v>
      </c>
      <c r="J220" s="188">
        <f t="shared" si="12"/>
        <v>45088</v>
      </c>
      <c r="K220" s="48">
        <v>236.0</v>
      </c>
      <c r="L220" s="48" t="s">
        <v>108</v>
      </c>
      <c r="M220" s="48" t="s">
        <v>91</v>
      </c>
      <c r="N220" s="48" t="s">
        <v>135</v>
      </c>
      <c r="O220" s="30" t="s">
        <v>89</v>
      </c>
      <c r="P220" s="48" t="s">
        <v>409</v>
      </c>
      <c r="Q220" s="48" t="s">
        <v>94</v>
      </c>
      <c r="R220" s="161">
        <f>IFERROR(VLOOKUP(Q220,'PRODUCT TABLE'!$A$2:$B$26,2,FALSE),"-")</f>
        <v>44011090</v>
      </c>
      <c r="S220" s="48">
        <v>10040.0</v>
      </c>
      <c r="T220" s="48">
        <v>6.9</v>
      </c>
      <c r="U220" s="48" t="s">
        <v>95</v>
      </c>
      <c r="V220" s="161">
        <f t="shared" si="1"/>
        <v>69276</v>
      </c>
      <c r="W220" s="189">
        <v>0.025</v>
      </c>
      <c r="X220" s="189">
        <v>0.025</v>
      </c>
      <c r="Y220" s="186">
        <v>0.0</v>
      </c>
      <c r="Z220" s="169">
        <f t="shared" si="2"/>
        <v>72740</v>
      </c>
      <c r="AA220" s="167">
        <f t="shared" si="3"/>
        <v>0.2</v>
      </c>
      <c r="AB220" s="161"/>
      <c r="AC220" s="161">
        <f t="shared" si="4"/>
        <v>69276</v>
      </c>
      <c r="AD220" s="161">
        <f t="shared" si="5"/>
        <v>1731.9</v>
      </c>
      <c r="AE220" s="161">
        <f t="shared" si="6"/>
        <v>1731.9</v>
      </c>
      <c r="AF220" s="167">
        <f t="shared" si="7"/>
        <v>0</v>
      </c>
      <c r="AG220" s="167">
        <f t="shared" si="8"/>
        <v>3463.8</v>
      </c>
      <c r="AH220" s="158">
        <f t="shared" si="9"/>
        <v>6</v>
      </c>
      <c r="AI220" s="158">
        <f t="shared" si="10"/>
        <v>2023</v>
      </c>
    </row>
    <row r="221" ht="12.75" customHeight="1">
      <c r="A221" s="48" t="s">
        <v>410</v>
      </c>
      <c r="B221" s="160" t="str">
        <f>iferror(VLOOKUP((LEFT(A221,6)),CUSTOMER_DETAILS,2,FALSE),"-")</f>
        <v>HARIWANSH PACKAGING PVT LTD</v>
      </c>
      <c r="C221" s="161" t="s">
        <v>89</v>
      </c>
      <c r="D221" s="162">
        <v>45088.0</v>
      </c>
      <c r="E221" s="161" t="s">
        <v>89</v>
      </c>
      <c r="F221" s="164" t="s">
        <v>358</v>
      </c>
      <c r="G221" s="30" t="s">
        <v>89</v>
      </c>
      <c r="H221" s="30" t="s">
        <v>89</v>
      </c>
      <c r="I221" s="48">
        <v>325.0</v>
      </c>
      <c r="J221" s="188">
        <f t="shared" si="12"/>
        <v>45088</v>
      </c>
      <c r="K221" s="48">
        <v>237.0</v>
      </c>
      <c r="L221" s="48" t="s">
        <v>108</v>
      </c>
      <c r="M221" s="48" t="s">
        <v>91</v>
      </c>
      <c r="N221" s="48" t="s">
        <v>135</v>
      </c>
      <c r="O221" s="30" t="s">
        <v>89</v>
      </c>
      <c r="P221" s="48" t="s">
        <v>327</v>
      </c>
      <c r="Q221" s="48" t="s">
        <v>94</v>
      </c>
      <c r="R221" s="161">
        <f>IFERROR(VLOOKUP(Q221,'PRODUCT TABLE'!$A$2:$B$26,2,FALSE),"-")</f>
        <v>44011090</v>
      </c>
      <c r="S221" s="48">
        <v>9490.0</v>
      </c>
      <c r="T221" s="48">
        <v>6.9</v>
      </c>
      <c r="U221" s="48" t="s">
        <v>95</v>
      </c>
      <c r="V221" s="161">
        <f t="shared" si="1"/>
        <v>65481</v>
      </c>
      <c r="W221" s="189">
        <v>0.025</v>
      </c>
      <c r="X221" s="189">
        <v>0.025</v>
      </c>
      <c r="Y221" s="186">
        <v>0.0</v>
      </c>
      <c r="Z221" s="169">
        <f t="shared" si="2"/>
        <v>68755</v>
      </c>
      <c r="AA221" s="167">
        <f t="shared" si="3"/>
        <v>-0.05</v>
      </c>
      <c r="AB221" s="161"/>
      <c r="AC221" s="161">
        <f t="shared" si="4"/>
        <v>65481</v>
      </c>
      <c r="AD221" s="161">
        <f t="shared" si="5"/>
        <v>1637.025</v>
      </c>
      <c r="AE221" s="161">
        <f t="shared" si="6"/>
        <v>1637.025</v>
      </c>
      <c r="AF221" s="167">
        <f t="shared" si="7"/>
        <v>0</v>
      </c>
      <c r="AG221" s="167">
        <f t="shared" si="8"/>
        <v>3274.05</v>
      </c>
      <c r="AH221" s="158">
        <f t="shared" si="9"/>
        <v>6</v>
      </c>
      <c r="AI221" s="158">
        <f t="shared" si="10"/>
        <v>2023</v>
      </c>
    </row>
    <row r="222" ht="12.75" customHeight="1">
      <c r="A222" s="48" t="s">
        <v>411</v>
      </c>
      <c r="B222" s="160" t="str">
        <f>iferror(VLOOKUP((LEFT(A222,6)),CUSTOMER_DETAILS,2,FALSE),"-")</f>
        <v>HARIWANSH PACKAGING PVT LTD</v>
      </c>
      <c r="C222" s="161" t="s">
        <v>89</v>
      </c>
      <c r="D222" s="162">
        <v>45089.0</v>
      </c>
      <c r="E222" s="161" t="s">
        <v>89</v>
      </c>
      <c r="F222" s="164" t="s">
        <v>358</v>
      </c>
      <c r="G222" s="30" t="s">
        <v>89</v>
      </c>
      <c r="H222" s="30" t="s">
        <v>89</v>
      </c>
      <c r="I222" s="48">
        <v>325.0</v>
      </c>
      <c r="J222" s="188">
        <f t="shared" si="12"/>
        <v>45089</v>
      </c>
      <c r="K222" s="48">
        <v>238.0</v>
      </c>
      <c r="L222" s="48" t="s">
        <v>108</v>
      </c>
      <c r="M222" s="48" t="s">
        <v>91</v>
      </c>
      <c r="N222" s="48" t="s">
        <v>135</v>
      </c>
      <c r="O222" s="30" t="s">
        <v>89</v>
      </c>
      <c r="P222" s="48" t="s">
        <v>412</v>
      </c>
      <c r="Q222" s="48" t="s">
        <v>94</v>
      </c>
      <c r="R222" s="161">
        <f>IFERROR(VLOOKUP(Q222,'PRODUCT TABLE'!$A$2:$B$26,2,FALSE),"-")</f>
        <v>44011090</v>
      </c>
      <c r="S222" s="48">
        <v>10310.0</v>
      </c>
      <c r="T222" s="48">
        <v>6.9</v>
      </c>
      <c r="U222" s="48" t="s">
        <v>95</v>
      </c>
      <c r="V222" s="161">
        <f t="shared" si="1"/>
        <v>71139</v>
      </c>
      <c r="W222" s="189">
        <v>0.025</v>
      </c>
      <c r="X222" s="189">
        <v>0.025</v>
      </c>
      <c r="Y222" s="186">
        <v>0.0</v>
      </c>
      <c r="Z222" s="169">
        <f t="shared" si="2"/>
        <v>74696</v>
      </c>
      <c r="AA222" s="167">
        <f t="shared" si="3"/>
        <v>0.05</v>
      </c>
      <c r="AB222" s="161"/>
      <c r="AC222" s="161">
        <f t="shared" si="4"/>
        <v>71139</v>
      </c>
      <c r="AD222" s="161">
        <f t="shared" si="5"/>
        <v>1778.475</v>
      </c>
      <c r="AE222" s="161">
        <f t="shared" si="6"/>
        <v>1778.475</v>
      </c>
      <c r="AF222" s="167">
        <f t="shared" si="7"/>
        <v>0</v>
      </c>
      <c r="AG222" s="167">
        <f t="shared" si="8"/>
        <v>3556.95</v>
      </c>
      <c r="AH222" s="158">
        <f t="shared" si="9"/>
        <v>6</v>
      </c>
      <c r="AI222" s="158">
        <f t="shared" si="10"/>
        <v>2023</v>
      </c>
    </row>
    <row r="223" ht="12.75" customHeight="1">
      <c r="A223" s="48" t="s">
        <v>413</v>
      </c>
      <c r="B223" s="160" t="str">
        <f>iferror(VLOOKUP((LEFT(A223,6)),CUSTOMER_DETAILS,2,FALSE),"-")</f>
        <v>HARIWANSH PACKAGING PVT LTD</v>
      </c>
      <c r="C223" s="161" t="s">
        <v>89</v>
      </c>
      <c r="D223" s="162">
        <v>45091.0</v>
      </c>
      <c r="E223" s="161" t="s">
        <v>89</v>
      </c>
      <c r="F223" s="164" t="s">
        <v>358</v>
      </c>
      <c r="G223" s="30" t="s">
        <v>89</v>
      </c>
      <c r="H223" s="30" t="s">
        <v>89</v>
      </c>
      <c r="I223" s="48">
        <v>325.0</v>
      </c>
      <c r="J223" s="188">
        <f t="shared" si="12"/>
        <v>45091</v>
      </c>
      <c r="K223" s="48">
        <v>239.0</v>
      </c>
      <c r="L223" s="48" t="s">
        <v>108</v>
      </c>
      <c r="M223" s="48" t="s">
        <v>91</v>
      </c>
      <c r="N223" s="48" t="s">
        <v>135</v>
      </c>
      <c r="O223" s="30" t="s">
        <v>89</v>
      </c>
      <c r="P223" s="48" t="s">
        <v>414</v>
      </c>
      <c r="Q223" s="48" t="s">
        <v>94</v>
      </c>
      <c r="R223" s="161">
        <f>IFERROR(VLOOKUP(Q223,'PRODUCT TABLE'!$A$2:$B$26,2,FALSE),"-")</f>
        <v>44011090</v>
      </c>
      <c r="S223" s="48">
        <v>23420.0</v>
      </c>
      <c r="T223" s="48">
        <v>6.9</v>
      </c>
      <c r="U223" s="48" t="s">
        <v>95</v>
      </c>
      <c r="V223" s="161">
        <f t="shared" si="1"/>
        <v>161598</v>
      </c>
      <c r="W223" s="189">
        <v>0.025</v>
      </c>
      <c r="X223" s="189">
        <v>0.025</v>
      </c>
      <c r="Y223" s="186">
        <v>0.0</v>
      </c>
      <c r="Z223" s="169">
        <f t="shared" si="2"/>
        <v>169678</v>
      </c>
      <c r="AA223" s="167">
        <f t="shared" si="3"/>
        <v>0.1</v>
      </c>
      <c r="AB223" s="161"/>
      <c r="AC223" s="161">
        <f t="shared" si="4"/>
        <v>161598</v>
      </c>
      <c r="AD223" s="161">
        <f t="shared" si="5"/>
        <v>4039.95</v>
      </c>
      <c r="AE223" s="161">
        <f t="shared" si="6"/>
        <v>4039.95</v>
      </c>
      <c r="AF223" s="167">
        <f t="shared" si="7"/>
        <v>0</v>
      </c>
      <c r="AG223" s="167">
        <f t="shared" si="8"/>
        <v>8079.9</v>
      </c>
      <c r="AH223" s="158">
        <f t="shared" si="9"/>
        <v>6</v>
      </c>
      <c r="AI223" s="158">
        <f t="shared" si="10"/>
        <v>2023</v>
      </c>
    </row>
    <row r="224" ht="12.75" customHeight="1">
      <c r="A224" s="48" t="s">
        <v>415</v>
      </c>
      <c r="B224" s="160" t="str">
        <f>iferror(VLOOKUP((LEFT(A224,6)),CUSTOMER_DETAILS,2,FALSE),"-")</f>
        <v>AERO AGRO CHEMICAL INDUSTRIES</v>
      </c>
      <c r="C224" s="161" t="s">
        <v>89</v>
      </c>
      <c r="D224" s="162">
        <v>45092.0</v>
      </c>
      <c r="E224" s="161" t="s">
        <v>89</v>
      </c>
      <c r="F224" s="164" t="s">
        <v>374</v>
      </c>
      <c r="G224" s="30" t="s">
        <v>89</v>
      </c>
      <c r="H224" s="30" t="s">
        <v>89</v>
      </c>
      <c r="I224" s="48" t="s">
        <v>108</v>
      </c>
      <c r="J224" s="188">
        <f t="shared" si="12"/>
        <v>45092</v>
      </c>
      <c r="K224" s="48">
        <v>240.0</v>
      </c>
      <c r="L224" s="48" t="s">
        <v>108</v>
      </c>
      <c r="M224" s="48" t="s">
        <v>91</v>
      </c>
      <c r="N224" s="48" t="s">
        <v>403</v>
      </c>
      <c r="O224" s="30" t="s">
        <v>89</v>
      </c>
      <c r="P224" s="48" t="s">
        <v>416</v>
      </c>
      <c r="Q224" s="48" t="s">
        <v>117</v>
      </c>
      <c r="R224" s="161">
        <f>IFERROR(VLOOKUP(Q224,'PRODUCT TABLE'!$A$2:$B$26,2,FALSE),"-")</f>
        <v>44011090</v>
      </c>
      <c r="S224" s="48">
        <v>9350.0</v>
      </c>
      <c r="T224" s="48">
        <v>11.3</v>
      </c>
      <c r="U224" s="48" t="s">
        <v>95</v>
      </c>
      <c r="V224" s="161">
        <f t="shared" si="1"/>
        <v>105655</v>
      </c>
      <c r="W224" s="186">
        <v>0.0</v>
      </c>
      <c r="X224" s="186">
        <v>0.0</v>
      </c>
      <c r="Y224" s="186">
        <v>0.05</v>
      </c>
      <c r="Z224" s="169">
        <f t="shared" si="2"/>
        <v>126833</v>
      </c>
      <c r="AA224" s="167">
        <f t="shared" si="3"/>
        <v>0.25</v>
      </c>
      <c r="AB224" s="175">
        <v>15895.0</v>
      </c>
      <c r="AC224" s="161">
        <f t="shared" si="4"/>
        <v>105655</v>
      </c>
      <c r="AD224" s="161">
        <f t="shared" si="5"/>
        <v>0</v>
      </c>
      <c r="AE224" s="161">
        <f t="shared" si="6"/>
        <v>0</v>
      </c>
      <c r="AF224" s="167">
        <f t="shared" si="7"/>
        <v>5282.75</v>
      </c>
      <c r="AG224" s="167">
        <f t="shared" si="8"/>
        <v>5282.75</v>
      </c>
      <c r="AH224" s="158">
        <f t="shared" si="9"/>
        <v>6</v>
      </c>
      <c r="AI224" s="158">
        <f t="shared" si="10"/>
        <v>2023</v>
      </c>
    </row>
    <row r="225" ht="12.75" customHeight="1">
      <c r="A225" s="48" t="s">
        <v>417</v>
      </c>
      <c r="B225" s="160" t="str">
        <f>iferror(VLOOKUP((LEFT(A225,6)),CUSTOMER_DETAILS,2,FALSE),"-")</f>
        <v>SAI KALYANI AGENCY</v>
      </c>
      <c r="C225" s="161" t="s">
        <v>89</v>
      </c>
      <c r="D225" s="162">
        <v>45092.0</v>
      </c>
      <c r="E225" s="161" t="s">
        <v>89</v>
      </c>
      <c r="F225" s="164" t="s">
        <v>374</v>
      </c>
      <c r="G225" s="30" t="s">
        <v>89</v>
      </c>
      <c r="H225" s="30" t="s">
        <v>89</v>
      </c>
      <c r="I225" s="48" t="s">
        <v>108</v>
      </c>
      <c r="J225" s="188">
        <f t="shared" si="12"/>
        <v>45092</v>
      </c>
      <c r="K225" s="48">
        <v>241.0</v>
      </c>
      <c r="L225" s="48" t="s">
        <v>108</v>
      </c>
      <c r="M225" s="48" t="s">
        <v>91</v>
      </c>
      <c r="N225" s="48" t="s">
        <v>369</v>
      </c>
      <c r="O225" s="30" t="s">
        <v>89</v>
      </c>
      <c r="P225" s="48" t="s">
        <v>418</v>
      </c>
      <c r="Q225" s="48" t="s">
        <v>233</v>
      </c>
      <c r="R225" s="161">
        <f>IFERROR(VLOOKUP(Q225,'PRODUCT TABLE'!$A$2:$B$26,2,FALSE),"-")</f>
        <v>44011090</v>
      </c>
      <c r="S225" s="48">
        <v>25100.0</v>
      </c>
      <c r="T225" s="48">
        <v>11.0</v>
      </c>
      <c r="U225" s="48" t="s">
        <v>95</v>
      </c>
      <c r="V225" s="161">
        <f t="shared" si="1"/>
        <v>276100</v>
      </c>
      <c r="Y225" s="186">
        <v>0.05</v>
      </c>
      <c r="Z225" s="169">
        <f t="shared" si="2"/>
        <v>289905</v>
      </c>
      <c r="AA225" s="167">
        <f t="shared" si="3"/>
        <v>0</v>
      </c>
      <c r="AB225" s="175"/>
      <c r="AC225" s="161">
        <f t="shared" si="4"/>
        <v>276100</v>
      </c>
      <c r="AD225" s="161">
        <f t="shared" si="5"/>
        <v>0</v>
      </c>
      <c r="AE225" s="161">
        <f t="shared" si="6"/>
        <v>0</v>
      </c>
      <c r="AF225" s="167">
        <f t="shared" si="7"/>
        <v>13805</v>
      </c>
      <c r="AG225" s="167">
        <f t="shared" si="8"/>
        <v>13805</v>
      </c>
      <c r="AH225" s="158">
        <f t="shared" si="9"/>
        <v>6</v>
      </c>
      <c r="AI225" s="158">
        <f t="shared" si="10"/>
        <v>2023</v>
      </c>
    </row>
    <row r="226" ht="12.75" customHeight="1">
      <c r="A226" s="48" t="s">
        <v>419</v>
      </c>
      <c r="B226" s="160" t="str">
        <f>iferror(VLOOKUP((LEFT(A226,6)),CUSTOMER_DETAILS,2,FALSE),"-")</f>
        <v>HARIWANSH PACKAGING PVT LTD</v>
      </c>
      <c r="C226" s="161" t="s">
        <v>89</v>
      </c>
      <c r="D226" s="191">
        <v>45095.0</v>
      </c>
      <c r="E226" s="161" t="s">
        <v>89</v>
      </c>
      <c r="F226" s="164" t="s">
        <v>358</v>
      </c>
      <c r="G226" s="30" t="s">
        <v>89</v>
      </c>
      <c r="H226" s="30" t="s">
        <v>89</v>
      </c>
      <c r="I226" s="48">
        <v>325.0</v>
      </c>
      <c r="J226" s="188">
        <f t="shared" si="12"/>
        <v>45095</v>
      </c>
      <c r="K226" s="48">
        <v>242.0</v>
      </c>
      <c r="L226" s="48" t="s">
        <v>108</v>
      </c>
      <c r="M226" s="48" t="s">
        <v>91</v>
      </c>
      <c r="N226" s="48" t="s">
        <v>135</v>
      </c>
      <c r="O226" s="30" t="s">
        <v>89</v>
      </c>
      <c r="P226" s="48" t="s">
        <v>420</v>
      </c>
      <c r="Q226" s="48" t="s">
        <v>94</v>
      </c>
      <c r="R226" s="161">
        <f>IFERROR(VLOOKUP(Q226,'PRODUCT TABLE'!$A$2:$B$26,2,FALSE),"-")</f>
        <v>44011090</v>
      </c>
      <c r="S226" s="48">
        <v>11640.0</v>
      </c>
      <c r="T226" s="48">
        <v>6.9</v>
      </c>
      <c r="U226" s="48" t="s">
        <v>95</v>
      </c>
      <c r="V226" s="161">
        <f t="shared" si="1"/>
        <v>80316</v>
      </c>
      <c r="W226" s="189">
        <v>0.025</v>
      </c>
      <c r="X226" s="189">
        <v>0.025</v>
      </c>
      <c r="Y226" s="186">
        <v>0.0</v>
      </c>
      <c r="Z226" s="169">
        <f t="shared" si="2"/>
        <v>84332</v>
      </c>
      <c r="AA226" s="167">
        <f t="shared" si="3"/>
        <v>0.2</v>
      </c>
      <c r="AB226" s="161"/>
      <c r="AC226" s="161">
        <f t="shared" si="4"/>
        <v>80316</v>
      </c>
      <c r="AD226" s="161">
        <f t="shared" si="5"/>
        <v>2007.9</v>
      </c>
      <c r="AE226" s="161">
        <f t="shared" si="6"/>
        <v>2007.9</v>
      </c>
      <c r="AF226" s="167">
        <f t="shared" si="7"/>
        <v>0</v>
      </c>
      <c r="AG226" s="167">
        <f t="shared" si="8"/>
        <v>4015.8</v>
      </c>
      <c r="AH226" s="158">
        <f t="shared" si="9"/>
        <v>6</v>
      </c>
      <c r="AI226" s="158">
        <f t="shared" si="10"/>
        <v>2023</v>
      </c>
    </row>
    <row r="227" ht="12.75" customHeight="1">
      <c r="A227" s="48" t="s">
        <v>421</v>
      </c>
      <c r="B227" s="160" t="str">
        <f>iferror(VLOOKUP((LEFT(A227,6)),CUSTOMER_DETAILS,2,FALSE),"-")</f>
        <v>SIDDHAYU AYURVEDIC RESEARCH FOUNDATION PVT LTD</v>
      </c>
      <c r="C227" s="161" t="s">
        <v>89</v>
      </c>
      <c r="D227" s="191">
        <v>45095.0</v>
      </c>
      <c r="E227" s="161" t="s">
        <v>89</v>
      </c>
      <c r="F227" s="164" t="s">
        <v>358</v>
      </c>
      <c r="G227" s="30" t="s">
        <v>89</v>
      </c>
      <c r="H227" s="30" t="s">
        <v>89</v>
      </c>
      <c r="I227" s="48" t="s">
        <v>108</v>
      </c>
      <c r="J227" s="188">
        <f t="shared" si="12"/>
        <v>45095</v>
      </c>
      <c r="K227" s="48">
        <v>243.0</v>
      </c>
      <c r="L227" s="48" t="s">
        <v>108</v>
      </c>
      <c r="M227" s="48" t="s">
        <v>91</v>
      </c>
      <c r="N227" s="48" t="s">
        <v>125</v>
      </c>
      <c r="O227" s="30" t="s">
        <v>89</v>
      </c>
      <c r="P227" s="48" t="s">
        <v>422</v>
      </c>
      <c r="Q227" s="48" t="s">
        <v>94</v>
      </c>
      <c r="R227" s="161">
        <f>IFERROR(VLOOKUP(Q227,'PRODUCT TABLE'!$A$2:$B$26,2,FALSE),"-")</f>
        <v>44011090</v>
      </c>
      <c r="S227" s="48">
        <v>10405.0</v>
      </c>
      <c r="T227" s="48">
        <v>6.9</v>
      </c>
      <c r="U227" s="48" t="s">
        <v>95</v>
      </c>
      <c r="V227" s="161">
        <f t="shared" si="1"/>
        <v>71794.5</v>
      </c>
      <c r="W227" s="189">
        <v>0.025</v>
      </c>
      <c r="X227" s="189">
        <v>0.025</v>
      </c>
      <c r="Y227" s="186">
        <v>0.0</v>
      </c>
      <c r="Z227" s="169">
        <f t="shared" si="2"/>
        <v>75384</v>
      </c>
      <c r="AA227" s="167">
        <f t="shared" si="3"/>
        <v>-0.225</v>
      </c>
      <c r="AB227" s="161"/>
      <c r="AC227" s="161">
        <f t="shared" si="4"/>
        <v>71794.5</v>
      </c>
      <c r="AD227" s="161">
        <f t="shared" si="5"/>
        <v>1794.8625</v>
      </c>
      <c r="AE227" s="161">
        <f t="shared" si="6"/>
        <v>1794.8625</v>
      </c>
      <c r="AF227" s="167">
        <f t="shared" si="7"/>
        <v>0</v>
      </c>
      <c r="AG227" s="167">
        <f t="shared" si="8"/>
        <v>3589.725</v>
      </c>
      <c r="AH227" s="158">
        <f t="shared" si="9"/>
        <v>6</v>
      </c>
      <c r="AI227" s="158">
        <f t="shared" si="10"/>
        <v>2023</v>
      </c>
    </row>
    <row r="228" ht="12.75" customHeight="1">
      <c r="A228" s="48" t="s">
        <v>423</v>
      </c>
      <c r="B228" s="160" t="str">
        <f>iferror(VLOOKUP((LEFT(A228,6)),CUSTOMER_DETAILS,2,FALSE),"-")</f>
        <v>SIDDHAYU AYURVEDIC RESEARCH FOUNDATION PVT LTD</v>
      </c>
      <c r="C228" s="161" t="s">
        <v>89</v>
      </c>
      <c r="D228" s="191">
        <v>45104.0</v>
      </c>
      <c r="E228" s="161" t="s">
        <v>89</v>
      </c>
      <c r="F228" s="164" t="s">
        <v>358</v>
      </c>
      <c r="G228" s="30" t="s">
        <v>89</v>
      </c>
      <c r="H228" s="30" t="s">
        <v>89</v>
      </c>
      <c r="I228" s="48" t="s">
        <v>424</v>
      </c>
      <c r="J228" s="188">
        <f t="shared" si="12"/>
        <v>45104</v>
      </c>
      <c r="K228" s="48">
        <v>244.0</v>
      </c>
      <c r="L228" s="48" t="s">
        <v>108</v>
      </c>
      <c r="M228" s="48" t="s">
        <v>91</v>
      </c>
      <c r="N228" s="48" t="s">
        <v>269</v>
      </c>
      <c r="O228" s="30" t="s">
        <v>89</v>
      </c>
      <c r="P228" s="48" t="s">
        <v>425</v>
      </c>
      <c r="Q228" s="48" t="s">
        <v>94</v>
      </c>
      <c r="R228" s="161">
        <f>IFERROR(VLOOKUP(Q228,'PRODUCT TABLE'!$A$2:$B$26,2,FALSE),"-")</f>
        <v>44011090</v>
      </c>
      <c r="S228" s="48">
        <v>10775.0</v>
      </c>
      <c r="T228" s="48">
        <v>6.9</v>
      </c>
      <c r="U228" s="48" t="s">
        <v>95</v>
      </c>
      <c r="V228" s="161">
        <f t="shared" si="1"/>
        <v>74347.5</v>
      </c>
      <c r="W228" s="189">
        <v>0.025</v>
      </c>
      <c r="X228" s="189">
        <v>0.025</v>
      </c>
      <c r="Y228" s="186">
        <v>0.0</v>
      </c>
      <c r="Z228" s="169">
        <f t="shared" si="2"/>
        <v>78065</v>
      </c>
      <c r="AA228" s="167">
        <f t="shared" si="3"/>
        <v>0.125</v>
      </c>
      <c r="AB228" s="161"/>
      <c r="AC228" s="161">
        <f t="shared" si="4"/>
        <v>74347.5</v>
      </c>
      <c r="AD228" s="161">
        <f t="shared" si="5"/>
        <v>1858.6875</v>
      </c>
      <c r="AE228" s="161">
        <f t="shared" si="6"/>
        <v>1858.6875</v>
      </c>
      <c r="AF228" s="167">
        <f t="shared" si="7"/>
        <v>0</v>
      </c>
      <c r="AG228" s="167">
        <f t="shared" si="8"/>
        <v>3717.375</v>
      </c>
      <c r="AH228" s="158">
        <f t="shared" si="9"/>
        <v>6</v>
      </c>
      <c r="AI228" s="158">
        <f t="shared" si="10"/>
        <v>2023</v>
      </c>
    </row>
    <row r="229" ht="12.75" customHeight="1">
      <c r="A229" s="48" t="s">
        <v>426</v>
      </c>
      <c r="B229" s="160" t="str">
        <f>iferror(VLOOKUP((LEFT(A229,6)),CUSTOMER_DETAILS,2,FALSE),"-")</f>
        <v>HARIWANSH PACKAGING PVT LTD</v>
      </c>
      <c r="C229" s="161" t="s">
        <v>89</v>
      </c>
      <c r="D229" s="191">
        <v>45109.0</v>
      </c>
      <c r="E229" s="161" t="s">
        <v>89</v>
      </c>
      <c r="F229" s="164" t="s">
        <v>358</v>
      </c>
      <c r="G229" s="30" t="s">
        <v>89</v>
      </c>
      <c r="H229" s="30" t="s">
        <v>89</v>
      </c>
      <c r="I229" s="48">
        <v>325.0</v>
      </c>
      <c r="J229" s="188">
        <f t="shared" si="12"/>
        <v>45109</v>
      </c>
      <c r="K229" s="48">
        <v>245.0</v>
      </c>
      <c r="L229" s="48" t="s">
        <v>108</v>
      </c>
      <c r="M229" s="48" t="s">
        <v>91</v>
      </c>
      <c r="N229" s="48" t="s">
        <v>135</v>
      </c>
      <c r="O229" s="30" t="s">
        <v>89</v>
      </c>
      <c r="P229" s="48" t="s">
        <v>427</v>
      </c>
      <c r="Q229" s="48" t="s">
        <v>94</v>
      </c>
      <c r="R229" s="161">
        <f>IFERROR(VLOOKUP(Q229,'PRODUCT TABLE'!$A$2:$B$26,2,FALSE),"-")</f>
        <v>44011090</v>
      </c>
      <c r="S229" s="48">
        <v>2310.0</v>
      </c>
      <c r="T229" s="48">
        <v>6.9</v>
      </c>
      <c r="U229" s="48" t="s">
        <v>95</v>
      </c>
      <c r="V229" s="161">
        <f t="shared" si="1"/>
        <v>15939</v>
      </c>
      <c r="W229" s="189">
        <v>0.025</v>
      </c>
      <c r="X229" s="189">
        <v>0.025</v>
      </c>
      <c r="Y229" s="30"/>
      <c r="Z229" s="169">
        <f t="shared" si="2"/>
        <v>16736</v>
      </c>
      <c r="AA229" s="167">
        <f t="shared" si="3"/>
        <v>0.05</v>
      </c>
      <c r="AB229" s="161"/>
      <c r="AC229" s="161">
        <f t="shared" si="4"/>
        <v>15939</v>
      </c>
      <c r="AD229" s="161">
        <f t="shared" si="5"/>
        <v>398.475</v>
      </c>
      <c r="AE229" s="161">
        <f t="shared" si="6"/>
        <v>398.475</v>
      </c>
      <c r="AF229" s="167">
        <f t="shared" si="7"/>
        <v>0</v>
      </c>
      <c r="AG229" s="167">
        <f t="shared" si="8"/>
        <v>796.95</v>
      </c>
      <c r="AH229" s="158">
        <f t="shared" si="9"/>
        <v>7</v>
      </c>
      <c r="AI229" s="158">
        <f t="shared" si="10"/>
        <v>2023</v>
      </c>
    </row>
    <row r="230" ht="12.75" customHeight="1">
      <c r="A230" s="48" t="s">
        <v>428</v>
      </c>
      <c r="B230" s="160" t="str">
        <f>iferror(VLOOKUP((LEFT(A230,6)),CUSTOMER_DETAILS,2,FALSE),"-")</f>
        <v>VIDARBHA SALES</v>
      </c>
      <c r="C230" s="161" t="s">
        <v>89</v>
      </c>
      <c r="D230" s="191">
        <v>45109.0</v>
      </c>
      <c r="E230" s="161" t="s">
        <v>89</v>
      </c>
      <c r="F230" s="30" t="s">
        <v>89</v>
      </c>
      <c r="G230" s="30" t="s">
        <v>89</v>
      </c>
      <c r="H230" s="30" t="s">
        <v>89</v>
      </c>
      <c r="I230" s="48" t="s">
        <v>108</v>
      </c>
      <c r="J230" s="188">
        <f t="shared" si="12"/>
        <v>45109</v>
      </c>
      <c r="K230" s="48">
        <v>246.0</v>
      </c>
      <c r="L230" s="48" t="s">
        <v>108</v>
      </c>
      <c r="M230" s="48" t="s">
        <v>245</v>
      </c>
      <c r="N230" s="48" t="s">
        <v>128</v>
      </c>
      <c r="O230" s="30" t="s">
        <v>89</v>
      </c>
      <c r="Q230" s="48" t="s">
        <v>151</v>
      </c>
      <c r="R230" s="161">
        <f>IFERROR(VLOOKUP(Q230,'PRODUCT TABLE'!$A$2:$B$26,2,FALSE),"-")</f>
        <v>23069026</v>
      </c>
      <c r="S230" s="48">
        <v>3050.0</v>
      </c>
      <c r="T230" s="48">
        <v>14.0</v>
      </c>
      <c r="U230" s="48" t="s">
        <v>95</v>
      </c>
      <c r="V230" s="161">
        <f t="shared" si="1"/>
        <v>42700</v>
      </c>
      <c r="W230" s="189">
        <v>0.025</v>
      </c>
      <c r="X230" s="189">
        <v>0.025</v>
      </c>
      <c r="Y230" s="30"/>
      <c r="Z230" s="169">
        <f t="shared" si="2"/>
        <v>44835</v>
      </c>
      <c r="AA230" s="167">
        <f t="shared" si="3"/>
        <v>0</v>
      </c>
      <c r="AB230" s="161"/>
      <c r="AC230" s="161">
        <f t="shared" si="4"/>
        <v>42700</v>
      </c>
      <c r="AD230" s="161">
        <f t="shared" si="5"/>
        <v>1067.5</v>
      </c>
      <c r="AE230" s="161">
        <f t="shared" si="6"/>
        <v>1067.5</v>
      </c>
      <c r="AF230" s="167">
        <f t="shared" si="7"/>
        <v>0</v>
      </c>
      <c r="AG230" s="167">
        <f t="shared" si="8"/>
        <v>2135</v>
      </c>
      <c r="AH230" s="158">
        <f t="shared" si="9"/>
        <v>7</v>
      </c>
      <c r="AI230" s="158">
        <f t="shared" si="10"/>
        <v>2023</v>
      </c>
    </row>
    <row r="231" ht="12.75" customHeight="1">
      <c r="A231" s="48" t="s">
        <v>429</v>
      </c>
      <c r="B231" s="160" t="str">
        <f>iferror(VLOOKUP((LEFT(A231,6)),CUSTOMER_DETAILS,2,FALSE),"-")</f>
        <v>AERO AGRO CHEMICAL INDUSTRIES</v>
      </c>
      <c r="C231" s="161" t="s">
        <v>89</v>
      </c>
      <c r="D231" s="191">
        <v>45111.0</v>
      </c>
      <c r="E231" s="161" t="s">
        <v>89</v>
      </c>
      <c r="F231" s="164" t="s">
        <v>374</v>
      </c>
      <c r="G231" s="30" t="s">
        <v>89</v>
      </c>
      <c r="H231" s="30" t="s">
        <v>89</v>
      </c>
      <c r="I231" s="48" t="s">
        <v>108</v>
      </c>
      <c r="J231" s="188">
        <f t="shared" si="12"/>
        <v>45111</v>
      </c>
      <c r="K231" s="48">
        <v>247.0</v>
      </c>
      <c r="L231" s="48" t="s">
        <v>108</v>
      </c>
      <c r="M231" s="48" t="s">
        <v>91</v>
      </c>
      <c r="N231" s="48" t="s">
        <v>403</v>
      </c>
      <c r="O231" s="30" t="s">
        <v>89</v>
      </c>
      <c r="P231" s="48" t="s">
        <v>430</v>
      </c>
      <c r="Q231" s="48" t="s">
        <v>117</v>
      </c>
      <c r="R231" s="161">
        <f>IFERROR(VLOOKUP(Q231,'PRODUCT TABLE'!$A$2:$B$26,2,FALSE),"-")</f>
        <v>44011090</v>
      </c>
      <c r="S231" s="48">
        <v>10150.0</v>
      </c>
      <c r="T231" s="48">
        <v>11.3</v>
      </c>
      <c r="U231" s="48" t="s">
        <v>95</v>
      </c>
      <c r="V231" s="161">
        <f t="shared" si="1"/>
        <v>114695</v>
      </c>
      <c r="Y231" s="186">
        <v>0.05</v>
      </c>
      <c r="Z231" s="169">
        <f t="shared" si="2"/>
        <v>136670</v>
      </c>
      <c r="AA231" s="167">
        <f t="shared" si="3"/>
        <v>0.25</v>
      </c>
      <c r="AB231" s="175">
        <v>16240.0</v>
      </c>
      <c r="AC231" s="161">
        <f t="shared" si="4"/>
        <v>114695</v>
      </c>
      <c r="AD231" s="161">
        <f t="shared" si="5"/>
        <v>0</v>
      </c>
      <c r="AE231" s="161">
        <f t="shared" si="6"/>
        <v>0</v>
      </c>
      <c r="AF231" s="167">
        <f t="shared" si="7"/>
        <v>5734.75</v>
      </c>
      <c r="AG231" s="167">
        <f t="shared" si="8"/>
        <v>5734.75</v>
      </c>
      <c r="AH231" s="158">
        <f t="shared" si="9"/>
        <v>7</v>
      </c>
      <c r="AI231" s="158">
        <f t="shared" si="10"/>
        <v>2023</v>
      </c>
    </row>
    <row r="232" ht="12.75" customHeight="1">
      <c r="A232" s="48" t="s">
        <v>431</v>
      </c>
      <c r="B232" s="160" t="str">
        <f>iferror(VLOOKUP((LEFT(A232,6)),CUSTOMER_DETAILS,2,FALSE),"-")</f>
        <v>HARIWANSH PACKAGING PVT LTD</v>
      </c>
      <c r="C232" s="161" t="s">
        <v>89</v>
      </c>
      <c r="D232" s="191">
        <v>45115.0</v>
      </c>
      <c r="E232" s="161" t="s">
        <v>89</v>
      </c>
      <c r="F232" s="164" t="s">
        <v>358</v>
      </c>
      <c r="G232" s="30" t="s">
        <v>89</v>
      </c>
      <c r="H232" s="30" t="s">
        <v>89</v>
      </c>
      <c r="I232" s="48">
        <v>325.0</v>
      </c>
      <c r="J232" s="188">
        <f t="shared" si="12"/>
        <v>45115</v>
      </c>
      <c r="K232" s="48">
        <v>248.0</v>
      </c>
      <c r="L232" s="48" t="s">
        <v>108</v>
      </c>
      <c r="M232" s="48" t="s">
        <v>91</v>
      </c>
      <c r="N232" s="48" t="s">
        <v>135</v>
      </c>
      <c r="O232" s="30" t="s">
        <v>89</v>
      </c>
      <c r="Q232" s="48" t="s">
        <v>94</v>
      </c>
      <c r="R232" s="161">
        <f>IFERROR(VLOOKUP(Q232,'PRODUCT TABLE'!$A$2:$B$26,2,FALSE),"-")</f>
        <v>44011090</v>
      </c>
      <c r="S232" s="48">
        <v>7620.0</v>
      </c>
      <c r="T232" s="48">
        <v>6.9</v>
      </c>
      <c r="U232" s="48" t="s">
        <v>95</v>
      </c>
      <c r="V232" s="161">
        <f t="shared" si="1"/>
        <v>52578</v>
      </c>
      <c r="W232" s="189">
        <v>0.025</v>
      </c>
      <c r="X232" s="189">
        <v>0.025</v>
      </c>
      <c r="Y232" s="30"/>
      <c r="Z232" s="169">
        <f t="shared" si="2"/>
        <v>55207</v>
      </c>
      <c r="AA232" s="167">
        <f t="shared" si="3"/>
        <v>0.1</v>
      </c>
      <c r="AB232" s="161"/>
      <c r="AC232" s="161">
        <f t="shared" si="4"/>
        <v>52578</v>
      </c>
      <c r="AD232" s="161">
        <f t="shared" si="5"/>
        <v>1314.45</v>
      </c>
      <c r="AE232" s="161">
        <f t="shared" si="6"/>
        <v>1314.45</v>
      </c>
      <c r="AF232" s="167">
        <f t="shared" si="7"/>
        <v>0</v>
      </c>
      <c r="AG232" s="167">
        <f t="shared" si="8"/>
        <v>2628.9</v>
      </c>
      <c r="AH232" s="158">
        <f t="shared" si="9"/>
        <v>7</v>
      </c>
      <c r="AI232" s="158">
        <f t="shared" si="10"/>
        <v>2023</v>
      </c>
    </row>
    <row r="233" ht="12.75" customHeight="1">
      <c r="A233" s="48" t="s">
        <v>432</v>
      </c>
      <c r="B233" s="160" t="str">
        <f>iferror(VLOOKUP((LEFT(A233,6)),CUSTOMER_DETAILS,2,FALSE),"-")</f>
        <v>SAI KALYANI AGENCY</v>
      </c>
      <c r="C233" s="161" t="s">
        <v>89</v>
      </c>
      <c r="D233" s="191">
        <v>45115.0</v>
      </c>
      <c r="E233" s="161" t="s">
        <v>89</v>
      </c>
      <c r="F233" s="164"/>
      <c r="G233" s="30" t="s">
        <v>89</v>
      </c>
      <c r="H233" s="30" t="s">
        <v>89</v>
      </c>
      <c r="I233" s="48" t="s">
        <v>108</v>
      </c>
      <c r="J233" s="188">
        <f t="shared" si="12"/>
        <v>45115</v>
      </c>
      <c r="K233" s="48">
        <v>249.0</v>
      </c>
      <c r="L233" s="48" t="s">
        <v>108</v>
      </c>
      <c r="M233" s="48" t="s">
        <v>91</v>
      </c>
      <c r="N233" s="48" t="s">
        <v>369</v>
      </c>
      <c r="O233" s="30" t="s">
        <v>89</v>
      </c>
      <c r="P233" s="48" t="s">
        <v>433</v>
      </c>
      <c r="Q233" s="48" t="s">
        <v>233</v>
      </c>
      <c r="R233" s="161">
        <f>IFERROR(VLOOKUP(Q233,'PRODUCT TABLE'!$A$2:$B$26,2,FALSE),"-")</f>
        <v>44011090</v>
      </c>
      <c r="S233" s="48">
        <v>23040.0</v>
      </c>
      <c r="T233" s="48">
        <v>11.0</v>
      </c>
      <c r="U233" s="48" t="s">
        <v>95</v>
      </c>
      <c r="V233" s="161">
        <f t="shared" si="1"/>
        <v>253440</v>
      </c>
      <c r="Y233" s="186">
        <v>0.05</v>
      </c>
      <c r="Z233" s="169">
        <f t="shared" si="2"/>
        <v>331112</v>
      </c>
      <c r="AA233" s="167">
        <f t="shared" si="3"/>
        <v>0</v>
      </c>
      <c r="AB233" s="175">
        <v>65000.0</v>
      </c>
      <c r="AC233" s="161">
        <f t="shared" si="4"/>
        <v>253440</v>
      </c>
      <c r="AD233" s="161">
        <f t="shared" si="5"/>
        <v>0</v>
      </c>
      <c r="AE233" s="161">
        <f t="shared" si="6"/>
        <v>0</v>
      </c>
      <c r="AF233" s="167">
        <f t="shared" si="7"/>
        <v>12672</v>
      </c>
      <c r="AG233" s="167">
        <f t="shared" si="8"/>
        <v>12672</v>
      </c>
      <c r="AH233" s="158">
        <f t="shared" si="9"/>
        <v>7</v>
      </c>
      <c r="AI233" s="158">
        <f t="shared" si="10"/>
        <v>2023</v>
      </c>
    </row>
    <row r="234" ht="12.75" customHeight="1">
      <c r="A234" s="48" t="s">
        <v>434</v>
      </c>
      <c r="B234" s="160" t="str">
        <f>iferror(VLOOKUP((LEFT(A234,6)),CUSTOMER_DETAILS,2,FALSE),"-")</f>
        <v>HARIWANSH PACKAGING PVT LTD</v>
      </c>
      <c r="C234" s="161" t="s">
        <v>89</v>
      </c>
      <c r="D234" s="191">
        <v>45116.0</v>
      </c>
      <c r="E234" s="161" t="s">
        <v>89</v>
      </c>
      <c r="F234" s="164" t="s">
        <v>358</v>
      </c>
      <c r="G234" s="30" t="s">
        <v>89</v>
      </c>
      <c r="H234" s="30" t="s">
        <v>89</v>
      </c>
      <c r="I234" s="48">
        <v>325.0</v>
      </c>
      <c r="J234" s="188">
        <f t="shared" si="12"/>
        <v>45116</v>
      </c>
      <c r="K234" s="48">
        <v>250.0</v>
      </c>
      <c r="L234" s="48" t="s">
        <v>108</v>
      </c>
      <c r="M234" s="48" t="s">
        <v>91</v>
      </c>
      <c r="N234" s="48" t="s">
        <v>135</v>
      </c>
      <c r="O234" s="30" t="s">
        <v>89</v>
      </c>
      <c r="Q234" s="48" t="s">
        <v>94</v>
      </c>
      <c r="R234" s="161">
        <f>IFERROR(VLOOKUP(Q234,'PRODUCT TABLE'!$A$2:$B$26,2,FALSE),"-")</f>
        <v>44011090</v>
      </c>
      <c r="S234" s="48">
        <v>10100.0</v>
      </c>
      <c r="T234" s="48">
        <v>6.9</v>
      </c>
      <c r="U234" s="48" t="s">
        <v>95</v>
      </c>
      <c r="V234" s="161">
        <f t="shared" si="1"/>
        <v>69690</v>
      </c>
      <c r="W234" s="189">
        <v>0.025</v>
      </c>
      <c r="X234" s="189">
        <v>0.025</v>
      </c>
      <c r="Y234" s="30"/>
      <c r="Z234" s="169">
        <f t="shared" si="2"/>
        <v>73174</v>
      </c>
      <c r="AA234" s="167">
        <f t="shared" si="3"/>
        <v>-0.5</v>
      </c>
      <c r="AB234" s="161"/>
      <c r="AC234" s="161">
        <f t="shared" si="4"/>
        <v>69690</v>
      </c>
      <c r="AD234" s="161">
        <f t="shared" si="5"/>
        <v>1742.25</v>
      </c>
      <c r="AE234" s="161">
        <f t="shared" si="6"/>
        <v>1742.25</v>
      </c>
      <c r="AF234" s="167">
        <f t="shared" si="7"/>
        <v>0</v>
      </c>
      <c r="AG234" s="167">
        <f t="shared" si="8"/>
        <v>3484.5</v>
      </c>
      <c r="AH234" s="158">
        <f t="shared" si="9"/>
        <v>7</v>
      </c>
      <c r="AI234" s="158">
        <f t="shared" si="10"/>
        <v>2023</v>
      </c>
    </row>
    <row r="235" ht="12.75" customHeight="1">
      <c r="A235" s="48" t="s">
        <v>435</v>
      </c>
      <c r="B235" s="160" t="str">
        <f>iferror(VLOOKUP((LEFT(A235,6)),CUSTOMER_DETAILS,2,FALSE),"-")</f>
        <v>RSG AGRO WASTE MANAGEMENT</v>
      </c>
      <c r="C235" s="161" t="s">
        <v>89</v>
      </c>
      <c r="D235" s="191">
        <v>45124.0</v>
      </c>
      <c r="E235" s="161" t="s">
        <v>89</v>
      </c>
      <c r="F235" s="30" t="s">
        <v>89</v>
      </c>
      <c r="G235" s="30" t="s">
        <v>89</v>
      </c>
      <c r="H235" s="30" t="s">
        <v>89</v>
      </c>
      <c r="I235" s="48" t="s">
        <v>108</v>
      </c>
      <c r="J235" s="188">
        <f t="shared" si="12"/>
        <v>45124</v>
      </c>
      <c r="K235" s="48">
        <v>251.0</v>
      </c>
      <c r="L235" s="48" t="s">
        <v>108</v>
      </c>
      <c r="M235" s="48" t="s">
        <v>245</v>
      </c>
      <c r="N235" s="48" t="s">
        <v>135</v>
      </c>
      <c r="O235" s="30" t="s">
        <v>89</v>
      </c>
      <c r="Q235" s="48" t="s">
        <v>151</v>
      </c>
      <c r="R235" s="161">
        <f>IFERROR(VLOOKUP(Q235,'PRODUCT TABLE'!$A$2:$B$26,2,FALSE),"-")</f>
        <v>23069026</v>
      </c>
      <c r="S235" s="48">
        <v>10090.0</v>
      </c>
      <c r="T235" s="48">
        <v>18.3</v>
      </c>
      <c r="U235" s="48" t="s">
        <v>95</v>
      </c>
      <c r="V235" s="161">
        <f t="shared" si="1"/>
        <v>184647</v>
      </c>
      <c r="W235" s="189">
        <v>0.025</v>
      </c>
      <c r="X235" s="189">
        <v>0.025</v>
      </c>
      <c r="Y235" s="30"/>
      <c r="Z235" s="169">
        <f t="shared" si="2"/>
        <v>193879</v>
      </c>
      <c r="AA235" s="167">
        <f t="shared" si="3"/>
        <v>-0.35</v>
      </c>
      <c r="AB235" s="161"/>
      <c r="AC235" s="161">
        <f t="shared" si="4"/>
        <v>184647</v>
      </c>
      <c r="AD235" s="161">
        <f t="shared" si="5"/>
        <v>4616.175</v>
      </c>
      <c r="AE235" s="161">
        <f t="shared" si="6"/>
        <v>4616.175</v>
      </c>
      <c r="AF235" s="167">
        <f t="shared" si="7"/>
        <v>0</v>
      </c>
      <c r="AG235" s="167">
        <f t="shared" si="8"/>
        <v>9232.35</v>
      </c>
      <c r="AH235" s="158">
        <f t="shared" si="9"/>
        <v>7</v>
      </c>
      <c r="AI235" s="158">
        <f t="shared" si="10"/>
        <v>2023</v>
      </c>
    </row>
    <row r="236" ht="12.75" customHeight="1">
      <c r="A236" s="48" t="s">
        <v>436</v>
      </c>
      <c r="B236" s="160" t="str">
        <f>iferror(VLOOKUP((LEFT(A236,6)),CUSTOMER_DETAILS,2,FALSE),"-")</f>
        <v>RSG AGRO WASTE MANAGEMENT</v>
      </c>
      <c r="C236" s="161" t="s">
        <v>89</v>
      </c>
      <c r="D236" s="191">
        <v>45126.0</v>
      </c>
      <c r="E236" s="161" t="s">
        <v>89</v>
      </c>
      <c r="F236" s="30" t="s">
        <v>89</v>
      </c>
      <c r="G236" s="30" t="s">
        <v>89</v>
      </c>
      <c r="H236" s="30" t="s">
        <v>89</v>
      </c>
      <c r="I236" s="48" t="s">
        <v>108</v>
      </c>
      <c r="J236" s="188">
        <f t="shared" si="12"/>
        <v>45126</v>
      </c>
      <c r="K236" s="48">
        <v>252.0</v>
      </c>
      <c r="L236" s="48" t="s">
        <v>108</v>
      </c>
      <c r="M236" s="48" t="s">
        <v>245</v>
      </c>
      <c r="N236" s="48" t="s">
        <v>135</v>
      </c>
      <c r="O236" s="30" t="s">
        <v>89</v>
      </c>
      <c r="Q236" s="48" t="s">
        <v>405</v>
      </c>
      <c r="R236" s="161">
        <f>IFERROR(VLOOKUP(Q236,'PRODUCT TABLE'!$A$2:$B$26,2,FALSE),"-")</f>
        <v>44011010</v>
      </c>
      <c r="S236" s="48">
        <v>30000.0</v>
      </c>
      <c r="T236" s="48">
        <v>22.0</v>
      </c>
      <c r="U236" s="48" t="s">
        <v>95</v>
      </c>
      <c r="V236" s="161">
        <f t="shared" si="1"/>
        <v>660000</v>
      </c>
      <c r="W236" s="189">
        <v>0.025</v>
      </c>
      <c r="X236" s="189">
        <v>0.025</v>
      </c>
      <c r="Y236" s="30"/>
      <c r="Z236" s="169">
        <f t="shared" si="2"/>
        <v>693000</v>
      </c>
      <c r="AA236" s="167">
        <f t="shared" si="3"/>
        <v>0</v>
      </c>
      <c r="AB236" s="161"/>
      <c r="AC236" s="161">
        <f t="shared" si="4"/>
        <v>660000</v>
      </c>
      <c r="AD236" s="161">
        <f t="shared" si="5"/>
        <v>16500</v>
      </c>
      <c r="AE236" s="161">
        <f t="shared" si="6"/>
        <v>16500</v>
      </c>
      <c r="AF236" s="167">
        <f t="shared" si="7"/>
        <v>0</v>
      </c>
      <c r="AG236" s="167">
        <f t="shared" si="8"/>
        <v>33000</v>
      </c>
      <c r="AH236" s="159" t="s">
        <v>437</v>
      </c>
      <c r="AI236" s="158">
        <f t="shared" si="10"/>
        <v>2023</v>
      </c>
    </row>
    <row r="237" ht="12.75" customHeight="1">
      <c r="A237" s="48" t="s">
        <v>438</v>
      </c>
      <c r="B237" s="160" t="str">
        <f>iferror(VLOOKUP((LEFT(A237,6)),CUSTOMER_DETAILS,2,FALSE),"-")</f>
        <v>AERO AGRO CHEMICAL INDUSTRIES</v>
      </c>
      <c r="C237" s="161" t="s">
        <v>89</v>
      </c>
      <c r="D237" s="191">
        <v>45130.0</v>
      </c>
      <c r="E237" s="161" t="s">
        <v>89</v>
      </c>
      <c r="F237" s="30" t="s">
        <v>89</v>
      </c>
      <c r="G237" s="30" t="s">
        <v>89</v>
      </c>
      <c r="H237" s="30" t="s">
        <v>89</v>
      </c>
      <c r="I237" s="48" t="s">
        <v>108</v>
      </c>
      <c r="J237" s="188">
        <f t="shared" si="12"/>
        <v>45130</v>
      </c>
      <c r="K237" s="48">
        <v>253.0</v>
      </c>
      <c r="L237" s="48" t="s">
        <v>108</v>
      </c>
      <c r="M237" s="48" t="s">
        <v>91</v>
      </c>
      <c r="N237" s="48" t="s">
        <v>403</v>
      </c>
      <c r="O237" s="30" t="s">
        <v>89</v>
      </c>
      <c r="P237" s="48" t="s">
        <v>439</v>
      </c>
      <c r="Q237" s="48" t="s">
        <v>117</v>
      </c>
      <c r="R237" s="161">
        <f>IFERROR(VLOOKUP(Q237,'PRODUCT TABLE'!$A$2:$B$26,2,FALSE),"-")</f>
        <v>44011090</v>
      </c>
      <c r="S237" s="48">
        <v>9910.0</v>
      </c>
      <c r="T237" s="48">
        <v>11.3</v>
      </c>
      <c r="U237" s="48" t="s">
        <v>95</v>
      </c>
      <c r="V237" s="161">
        <f t="shared" si="1"/>
        <v>111983</v>
      </c>
      <c r="Y237" s="186">
        <v>0.05</v>
      </c>
      <c r="Z237" s="169">
        <f t="shared" si="2"/>
        <v>133582</v>
      </c>
      <c r="AA237" s="167">
        <f t="shared" si="3"/>
        <v>-0.15</v>
      </c>
      <c r="AB237" s="175">
        <v>16000.0</v>
      </c>
      <c r="AC237" s="161">
        <f t="shared" si="4"/>
        <v>111983</v>
      </c>
      <c r="AD237" s="161">
        <f t="shared" si="5"/>
        <v>0</v>
      </c>
      <c r="AE237" s="161">
        <f t="shared" si="6"/>
        <v>0</v>
      </c>
      <c r="AF237" s="167">
        <f t="shared" si="7"/>
        <v>5599.15</v>
      </c>
      <c r="AG237" s="167">
        <f t="shared" si="8"/>
        <v>5599.15</v>
      </c>
      <c r="AH237" s="159" t="s">
        <v>437</v>
      </c>
      <c r="AI237" s="158">
        <f t="shared" si="10"/>
        <v>2023</v>
      </c>
    </row>
    <row r="238" ht="12.75" customHeight="1">
      <c r="A238" s="48" t="s">
        <v>440</v>
      </c>
      <c r="B238" s="160" t="str">
        <f>iferror(VLOOKUP((LEFT(A238,6)),CUSTOMER_DETAILS,2,FALSE),"-")</f>
        <v>SIDDHAYU AYURVEDIC RESEARCH FOUNDATION PVT LTD</v>
      </c>
      <c r="C238" s="161" t="s">
        <v>89</v>
      </c>
      <c r="D238" s="191">
        <v>45132.0</v>
      </c>
      <c r="E238" s="161" t="s">
        <v>89</v>
      </c>
      <c r="F238" s="30" t="s">
        <v>89</v>
      </c>
      <c r="G238" s="30" t="s">
        <v>89</v>
      </c>
      <c r="H238" s="30" t="s">
        <v>89</v>
      </c>
      <c r="I238" s="48" t="s">
        <v>424</v>
      </c>
      <c r="J238" s="188">
        <f t="shared" si="12"/>
        <v>45132</v>
      </c>
      <c r="K238" s="48">
        <v>254.0</v>
      </c>
      <c r="L238" s="48" t="s">
        <v>108</v>
      </c>
      <c r="M238" s="48" t="s">
        <v>91</v>
      </c>
      <c r="N238" s="48" t="s">
        <v>269</v>
      </c>
      <c r="O238" s="30" t="s">
        <v>89</v>
      </c>
      <c r="Q238" s="48" t="s">
        <v>94</v>
      </c>
      <c r="R238" s="161">
        <f>IFERROR(VLOOKUP(Q238,'PRODUCT TABLE'!$A$2:$B$26,2,FALSE),"-")</f>
        <v>44011090</v>
      </c>
      <c r="S238" s="48">
        <v>10545.0</v>
      </c>
      <c r="T238" s="48">
        <v>6.9</v>
      </c>
      <c r="U238" s="48" t="s">
        <v>95</v>
      </c>
      <c r="V238" s="161">
        <f t="shared" si="1"/>
        <v>72760.5</v>
      </c>
      <c r="W238" s="189">
        <v>0.025</v>
      </c>
      <c r="X238" s="189">
        <v>0.025</v>
      </c>
      <c r="Y238" s="30"/>
      <c r="Z238" s="169">
        <f t="shared" si="2"/>
        <v>76399</v>
      </c>
      <c r="AA238" s="167">
        <f t="shared" si="3"/>
        <v>0.475</v>
      </c>
      <c r="AB238" s="161"/>
      <c r="AC238" s="161">
        <f t="shared" si="4"/>
        <v>72760.5</v>
      </c>
      <c r="AD238" s="161">
        <f t="shared" si="5"/>
        <v>1819.0125</v>
      </c>
      <c r="AE238" s="161">
        <f t="shared" si="6"/>
        <v>1819.0125</v>
      </c>
      <c r="AF238" s="167">
        <f t="shared" si="7"/>
        <v>0</v>
      </c>
      <c r="AG238" s="167">
        <f t="shared" si="8"/>
        <v>3638.025</v>
      </c>
      <c r="AH238" s="159" t="s">
        <v>437</v>
      </c>
      <c r="AI238" s="158">
        <f t="shared" si="10"/>
        <v>2023</v>
      </c>
    </row>
    <row r="239" ht="12.75" customHeight="1">
      <c r="A239" s="48" t="s">
        <v>441</v>
      </c>
      <c r="B239" s="160" t="str">
        <f>iferror(VLOOKUP((LEFT(A239,6)),CUSTOMER_DETAILS,2,FALSE),"-")</f>
        <v>SAI KALYANI AGENCY</v>
      </c>
      <c r="C239" s="161" t="s">
        <v>89</v>
      </c>
      <c r="D239" s="191">
        <v>45139.0</v>
      </c>
      <c r="E239" s="161" t="s">
        <v>89</v>
      </c>
      <c r="F239" s="30" t="s">
        <v>89</v>
      </c>
      <c r="G239" s="30" t="s">
        <v>89</v>
      </c>
      <c r="H239" s="30" t="s">
        <v>89</v>
      </c>
      <c r="I239" s="48" t="s">
        <v>108</v>
      </c>
      <c r="J239" s="188">
        <f t="shared" si="12"/>
        <v>45139</v>
      </c>
      <c r="K239" s="48">
        <v>256.0</v>
      </c>
      <c r="L239" s="48" t="s">
        <v>108</v>
      </c>
      <c r="M239" s="48" t="s">
        <v>91</v>
      </c>
      <c r="N239" s="48" t="s">
        <v>369</v>
      </c>
      <c r="O239" s="30" t="s">
        <v>89</v>
      </c>
      <c r="P239" s="48" t="s">
        <v>442</v>
      </c>
      <c r="Q239" s="48" t="s">
        <v>233</v>
      </c>
      <c r="R239" s="161">
        <f>IFERROR(VLOOKUP(Q239,'PRODUCT TABLE'!$A$2:$B$26,2,FALSE),"-")</f>
        <v>44011090</v>
      </c>
      <c r="S239" s="48">
        <v>16000.0</v>
      </c>
      <c r="T239" s="48">
        <v>11.0</v>
      </c>
      <c r="U239" s="48" t="s">
        <v>95</v>
      </c>
      <c r="V239" s="161">
        <f t="shared" si="1"/>
        <v>176000</v>
      </c>
      <c r="Y239" s="186">
        <v>0.05</v>
      </c>
      <c r="Z239" s="169">
        <f t="shared" si="2"/>
        <v>184800</v>
      </c>
      <c r="AA239" s="167">
        <f t="shared" si="3"/>
        <v>0</v>
      </c>
      <c r="AB239" s="161"/>
      <c r="AC239" s="161">
        <f t="shared" si="4"/>
        <v>176000</v>
      </c>
      <c r="AD239" s="161">
        <f t="shared" si="5"/>
        <v>0</v>
      </c>
      <c r="AE239" s="161">
        <f t="shared" si="6"/>
        <v>0</v>
      </c>
      <c r="AF239" s="167">
        <f t="shared" si="7"/>
        <v>8800</v>
      </c>
      <c r="AG239" s="167">
        <f t="shared" si="8"/>
        <v>8800</v>
      </c>
      <c r="AH239" s="159" t="s">
        <v>443</v>
      </c>
      <c r="AI239" s="158">
        <f t="shared" si="10"/>
        <v>2023</v>
      </c>
    </row>
    <row r="240" ht="12.75" customHeight="1">
      <c r="A240" s="48" t="s">
        <v>444</v>
      </c>
      <c r="B240" s="160" t="str">
        <f>iferror(VLOOKUP((LEFT(A240,6)),CUSTOMER_DETAILS,2,FALSE),"-")</f>
        <v>SAI KALYANI AGENCY</v>
      </c>
      <c r="C240" s="161" t="s">
        <v>89</v>
      </c>
      <c r="D240" s="191">
        <v>45139.0</v>
      </c>
      <c r="E240" s="161" t="s">
        <v>89</v>
      </c>
      <c r="F240" s="30" t="s">
        <v>89</v>
      </c>
      <c r="G240" s="30" t="s">
        <v>89</v>
      </c>
      <c r="H240" s="30" t="s">
        <v>89</v>
      </c>
      <c r="I240" s="48" t="s">
        <v>108</v>
      </c>
      <c r="J240" s="188">
        <f t="shared" si="12"/>
        <v>45139</v>
      </c>
      <c r="K240" s="48">
        <v>257.0</v>
      </c>
      <c r="L240" s="48" t="s">
        <v>108</v>
      </c>
      <c r="M240" s="48" t="s">
        <v>91</v>
      </c>
      <c r="N240" s="48" t="s">
        <v>369</v>
      </c>
      <c r="O240" s="30" t="s">
        <v>89</v>
      </c>
      <c r="P240" s="48" t="s">
        <v>442</v>
      </c>
      <c r="Q240" s="48" t="s">
        <v>117</v>
      </c>
      <c r="R240" s="161">
        <f>IFERROR(VLOOKUP(Q240,'PRODUCT TABLE'!$A$2:$B$26,2,FALSE),"-")</f>
        <v>44011090</v>
      </c>
      <c r="S240" s="48">
        <v>7350.0</v>
      </c>
      <c r="T240" s="48">
        <v>11.5</v>
      </c>
      <c r="U240" s="48" t="s">
        <v>95</v>
      </c>
      <c r="V240" s="161">
        <f t="shared" si="1"/>
        <v>84525</v>
      </c>
      <c r="Y240" s="186">
        <v>0.05</v>
      </c>
      <c r="Z240" s="169">
        <f t="shared" si="2"/>
        <v>88751</v>
      </c>
      <c r="AA240" s="167">
        <f t="shared" si="3"/>
        <v>-0.25</v>
      </c>
      <c r="AB240" s="161"/>
      <c r="AC240" s="161">
        <f t="shared" si="4"/>
        <v>84525</v>
      </c>
      <c r="AD240" s="161">
        <f t="shared" si="5"/>
        <v>0</v>
      </c>
      <c r="AE240" s="161">
        <f t="shared" si="6"/>
        <v>0</v>
      </c>
      <c r="AF240" s="167">
        <f t="shared" si="7"/>
        <v>4226.25</v>
      </c>
      <c r="AG240" s="167">
        <f t="shared" si="8"/>
        <v>4226.25</v>
      </c>
      <c r="AH240" s="159" t="s">
        <v>443</v>
      </c>
      <c r="AI240" s="158">
        <f t="shared" si="10"/>
        <v>2023</v>
      </c>
    </row>
    <row r="241" ht="12.75" customHeight="1">
      <c r="A241" s="48" t="s">
        <v>445</v>
      </c>
      <c r="B241" s="160" t="str">
        <f>iferror(VLOOKUP((LEFT(A241,6)),CUSTOMER_DETAILS,2,FALSE),"-")</f>
        <v>CRYSTAL CROP PROTECTION LIMITED</v>
      </c>
      <c r="C241" s="161" t="s">
        <v>89</v>
      </c>
      <c r="D241" s="191">
        <v>45143.0</v>
      </c>
      <c r="E241" s="161" t="s">
        <v>89</v>
      </c>
      <c r="F241" s="30" t="s">
        <v>89</v>
      </c>
      <c r="G241" s="30" t="s">
        <v>89</v>
      </c>
      <c r="H241" s="30" t="s">
        <v>89</v>
      </c>
      <c r="I241" s="48" t="s">
        <v>108</v>
      </c>
      <c r="J241" s="188">
        <f t="shared" si="12"/>
        <v>45143</v>
      </c>
      <c r="K241" s="48">
        <v>258.0</v>
      </c>
      <c r="L241" s="48" t="s">
        <v>108</v>
      </c>
      <c r="M241" s="48" t="s">
        <v>91</v>
      </c>
      <c r="N241" s="48" t="s">
        <v>135</v>
      </c>
      <c r="O241" s="30" t="s">
        <v>89</v>
      </c>
      <c r="P241" s="48" t="s">
        <v>446</v>
      </c>
      <c r="Q241" s="48" t="s">
        <v>94</v>
      </c>
      <c r="R241" s="161">
        <f>IFERROR(VLOOKUP(Q241,'PRODUCT TABLE'!$A$2:$B$26,2,FALSE),"-")</f>
        <v>44011090</v>
      </c>
      <c r="S241" s="48">
        <v>9840.0</v>
      </c>
      <c r="T241" s="48">
        <v>6.7</v>
      </c>
      <c r="U241" s="48" t="s">
        <v>95</v>
      </c>
      <c r="V241" s="161">
        <f t="shared" si="1"/>
        <v>65928</v>
      </c>
      <c r="W241" s="189">
        <v>0.025</v>
      </c>
      <c r="X241" s="189">
        <v>0.025</v>
      </c>
      <c r="Y241" s="30"/>
      <c r="Z241" s="169">
        <f t="shared" si="2"/>
        <v>69224</v>
      </c>
      <c r="AA241" s="167">
        <f t="shared" si="3"/>
        <v>-0.4</v>
      </c>
      <c r="AB241" s="161"/>
      <c r="AC241" s="161">
        <f t="shared" si="4"/>
        <v>65928</v>
      </c>
      <c r="AD241" s="161">
        <f t="shared" si="5"/>
        <v>1648.2</v>
      </c>
      <c r="AE241" s="161">
        <f t="shared" si="6"/>
        <v>1648.2</v>
      </c>
      <c r="AF241" s="167">
        <f t="shared" si="7"/>
        <v>0</v>
      </c>
      <c r="AG241" s="167">
        <f t="shared" si="8"/>
        <v>3296.4</v>
      </c>
      <c r="AH241" s="159" t="s">
        <v>443</v>
      </c>
      <c r="AI241" s="158">
        <f t="shared" si="10"/>
        <v>2023</v>
      </c>
    </row>
    <row r="242" ht="12.75" customHeight="1">
      <c r="A242" s="48" t="s">
        <v>447</v>
      </c>
      <c r="B242" s="160" t="str">
        <f>iferror(VLOOKUP((LEFT(A242,6)),CUSTOMER_DETAILS,2,FALSE),"-")</f>
        <v>AERO AGRO CHEMICAL INDUSTRIES</v>
      </c>
      <c r="C242" s="161" t="s">
        <v>89</v>
      </c>
      <c r="D242" s="191">
        <v>45146.0</v>
      </c>
      <c r="E242" s="161" t="s">
        <v>89</v>
      </c>
      <c r="F242" s="30" t="s">
        <v>89</v>
      </c>
      <c r="G242" s="30" t="s">
        <v>89</v>
      </c>
      <c r="H242" s="30" t="s">
        <v>89</v>
      </c>
      <c r="I242" s="48" t="s">
        <v>108</v>
      </c>
      <c r="J242" s="188">
        <f t="shared" si="12"/>
        <v>45146</v>
      </c>
      <c r="K242" s="48">
        <v>259.0</v>
      </c>
      <c r="L242" s="48" t="s">
        <v>108</v>
      </c>
      <c r="M242" s="48" t="s">
        <v>91</v>
      </c>
      <c r="N242" s="48" t="s">
        <v>403</v>
      </c>
      <c r="O242" s="30" t="s">
        <v>89</v>
      </c>
      <c r="P242" s="48" t="s">
        <v>448</v>
      </c>
      <c r="Q242" s="48" t="s">
        <v>117</v>
      </c>
      <c r="R242" s="161">
        <f>IFERROR(VLOOKUP(Q242,'PRODUCT TABLE'!$A$2:$B$26,2,FALSE),"-")</f>
        <v>44011090</v>
      </c>
      <c r="S242" s="48">
        <v>10220.0</v>
      </c>
      <c r="T242" s="48">
        <v>11.3</v>
      </c>
      <c r="U242" s="48" t="s">
        <v>95</v>
      </c>
      <c r="V242" s="161">
        <f t="shared" si="1"/>
        <v>115486</v>
      </c>
      <c r="Y242" s="186">
        <v>0.05</v>
      </c>
      <c r="Z242" s="169">
        <f t="shared" si="2"/>
        <v>137260</v>
      </c>
      <c r="AA242" s="167">
        <f t="shared" si="3"/>
        <v>-0.3</v>
      </c>
      <c r="AB242" s="175">
        <v>16000.0</v>
      </c>
      <c r="AC242" s="161">
        <f t="shared" si="4"/>
        <v>115486</v>
      </c>
      <c r="AD242" s="161">
        <f t="shared" si="5"/>
        <v>0</v>
      </c>
      <c r="AE242" s="161">
        <f t="shared" si="6"/>
        <v>0</v>
      </c>
      <c r="AF242" s="167">
        <f t="shared" si="7"/>
        <v>5774.3</v>
      </c>
      <c r="AG242" s="167">
        <f t="shared" si="8"/>
        <v>5774.3</v>
      </c>
      <c r="AH242" s="159" t="s">
        <v>443</v>
      </c>
      <c r="AI242" s="158">
        <f t="shared" si="10"/>
        <v>2023</v>
      </c>
    </row>
    <row r="243" ht="12.75" customHeight="1">
      <c r="A243" s="48" t="s">
        <v>449</v>
      </c>
      <c r="B243" s="160" t="str">
        <f>iferror(VLOOKUP((LEFT(A243,6)),CUSTOMER_DETAILS,2,FALSE),"-")</f>
        <v>SAI KALYANI AGENCY</v>
      </c>
      <c r="C243" s="161" t="s">
        <v>89</v>
      </c>
      <c r="D243" s="191">
        <v>45149.0</v>
      </c>
      <c r="E243" s="161" t="s">
        <v>89</v>
      </c>
      <c r="F243" s="30" t="s">
        <v>89</v>
      </c>
      <c r="G243" s="30" t="s">
        <v>89</v>
      </c>
      <c r="H243" s="30" t="s">
        <v>89</v>
      </c>
      <c r="I243" s="48" t="s">
        <v>108</v>
      </c>
      <c r="J243" s="188">
        <f t="shared" si="12"/>
        <v>45149</v>
      </c>
      <c r="K243" s="48">
        <v>260.0</v>
      </c>
      <c r="L243" s="48" t="s">
        <v>108</v>
      </c>
      <c r="M243" s="48" t="s">
        <v>91</v>
      </c>
      <c r="N243" s="48" t="s">
        <v>369</v>
      </c>
      <c r="O243" s="30" t="s">
        <v>89</v>
      </c>
      <c r="P243" s="48" t="s">
        <v>450</v>
      </c>
      <c r="Q243" s="48" t="s">
        <v>117</v>
      </c>
      <c r="R243" s="161">
        <f>IFERROR(VLOOKUP(Q243,'PRODUCT TABLE'!$A$2:$B$26,2,FALSE),"-")</f>
        <v>44011090</v>
      </c>
      <c r="S243" s="48">
        <v>24640.0</v>
      </c>
      <c r="T243" s="48">
        <v>14.1</v>
      </c>
      <c r="U243" s="48" t="s">
        <v>95</v>
      </c>
      <c r="V243" s="161">
        <f t="shared" si="1"/>
        <v>347424</v>
      </c>
      <c r="Y243" s="186">
        <v>0.05</v>
      </c>
      <c r="Z243" s="169">
        <f t="shared" si="2"/>
        <v>364795</v>
      </c>
      <c r="AA243" s="167">
        <f t="shared" si="3"/>
        <v>-0.2</v>
      </c>
      <c r="AB243" s="175"/>
      <c r="AC243" s="161">
        <f t="shared" si="4"/>
        <v>347424</v>
      </c>
      <c r="AD243" s="161">
        <f t="shared" si="5"/>
        <v>0</v>
      </c>
      <c r="AE243" s="161">
        <f t="shared" si="6"/>
        <v>0</v>
      </c>
      <c r="AF243" s="167">
        <f t="shared" si="7"/>
        <v>17371.2</v>
      </c>
      <c r="AG243" s="167">
        <f t="shared" si="8"/>
        <v>17371.2</v>
      </c>
      <c r="AH243" s="159" t="s">
        <v>443</v>
      </c>
      <c r="AI243" s="158">
        <f t="shared" si="10"/>
        <v>2023</v>
      </c>
    </row>
    <row r="244" ht="12.75" customHeight="1">
      <c r="A244" s="48" t="s">
        <v>451</v>
      </c>
      <c r="B244" s="160" t="str">
        <f>iferror(VLOOKUP((LEFT(A244,6)),CUSTOMER_DETAILS,2,FALSE),"-")</f>
        <v>KRISHNA ENTERPRISES</v>
      </c>
      <c r="C244" s="161" t="s">
        <v>89</v>
      </c>
      <c r="D244" s="191">
        <v>45149.0</v>
      </c>
      <c r="E244" s="161" t="s">
        <v>89</v>
      </c>
      <c r="F244" s="30" t="s">
        <v>89</v>
      </c>
      <c r="G244" s="30" t="s">
        <v>89</v>
      </c>
      <c r="H244" s="30" t="s">
        <v>89</v>
      </c>
      <c r="I244" s="48" t="s">
        <v>108</v>
      </c>
      <c r="J244" s="188">
        <f t="shared" si="12"/>
        <v>45149</v>
      </c>
      <c r="K244" s="48">
        <v>261.0</v>
      </c>
      <c r="L244" s="48" t="s">
        <v>108</v>
      </c>
      <c r="M244" s="48" t="s">
        <v>91</v>
      </c>
      <c r="N244" s="48" t="s">
        <v>125</v>
      </c>
      <c r="O244" s="30" t="s">
        <v>89</v>
      </c>
      <c r="Q244" s="48" t="s">
        <v>117</v>
      </c>
      <c r="R244" s="161">
        <f>IFERROR(VLOOKUP(Q244,'PRODUCT TABLE'!$A$2:$B$26,2,FALSE),"-")</f>
        <v>44011090</v>
      </c>
      <c r="S244" s="48">
        <v>11700.0</v>
      </c>
      <c r="T244" s="48">
        <v>11.0</v>
      </c>
      <c r="U244" s="48" t="s">
        <v>95</v>
      </c>
      <c r="V244" s="161">
        <f t="shared" si="1"/>
        <v>128700</v>
      </c>
      <c r="W244" s="189">
        <v>0.025</v>
      </c>
      <c r="X244" s="189">
        <v>0.025</v>
      </c>
      <c r="Y244" s="30"/>
      <c r="Z244" s="169">
        <f t="shared" si="2"/>
        <v>142135</v>
      </c>
      <c r="AA244" s="167">
        <f t="shared" si="3"/>
        <v>0</v>
      </c>
      <c r="AB244" s="175">
        <v>7000.0</v>
      </c>
      <c r="AC244" s="161">
        <f t="shared" si="4"/>
        <v>128700</v>
      </c>
      <c r="AD244" s="161">
        <f t="shared" si="5"/>
        <v>3217.5</v>
      </c>
      <c r="AE244" s="161">
        <f t="shared" si="6"/>
        <v>3217.5</v>
      </c>
      <c r="AF244" s="167">
        <f t="shared" si="7"/>
        <v>0</v>
      </c>
      <c r="AG244" s="167">
        <f t="shared" si="8"/>
        <v>6435</v>
      </c>
      <c r="AH244" s="159" t="s">
        <v>443</v>
      </c>
      <c r="AI244" s="158">
        <f t="shared" si="10"/>
        <v>2023</v>
      </c>
    </row>
    <row r="245" ht="12.75" customHeight="1">
      <c r="A245" s="48" t="s">
        <v>452</v>
      </c>
      <c r="B245" s="160" t="str">
        <f>iferror(VLOOKUP((LEFT(A245,6)),CUSTOMER_DETAILS,2,FALSE),"-")</f>
        <v>SHREE GAYATRI PACKAGING</v>
      </c>
      <c r="C245" s="161" t="s">
        <v>89</v>
      </c>
      <c r="D245" s="191">
        <v>45163.0</v>
      </c>
      <c r="E245" s="161" t="s">
        <v>89</v>
      </c>
      <c r="F245" s="30" t="s">
        <v>89</v>
      </c>
      <c r="G245" s="30" t="s">
        <v>89</v>
      </c>
      <c r="H245" s="30" t="s">
        <v>89</v>
      </c>
      <c r="I245" s="48" t="s">
        <v>108</v>
      </c>
      <c r="J245" s="188">
        <f t="shared" si="12"/>
        <v>45163</v>
      </c>
      <c r="K245" s="48">
        <v>262.0</v>
      </c>
      <c r="L245" s="48" t="s">
        <v>108</v>
      </c>
      <c r="M245" s="48" t="s">
        <v>245</v>
      </c>
      <c r="N245" s="48" t="s">
        <v>122</v>
      </c>
      <c r="O245" s="30" t="s">
        <v>89</v>
      </c>
      <c r="P245" s="48" t="s">
        <v>245</v>
      </c>
      <c r="Q245" s="48" t="s">
        <v>233</v>
      </c>
      <c r="R245" s="161">
        <f>IFERROR(VLOOKUP(Q245,'PRODUCT TABLE'!$A$2:$B$26,2,FALSE),"-")</f>
        <v>44011090</v>
      </c>
      <c r="S245" s="48">
        <v>1020.0</v>
      </c>
      <c r="T245" s="48">
        <v>11.5</v>
      </c>
      <c r="U245" s="48" t="s">
        <v>95</v>
      </c>
      <c r="V245" s="161">
        <f t="shared" si="1"/>
        <v>11730</v>
      </c>
      <c r="W245" s="189">
        <v>0.025</v>
      </c>
      <c r="X245" s="189">
        <v>0.025</v>
      </c>
      <c r="Y245" s="30"/>
      <c r="Z245" s="169">
        <f t="shared" si="2"/>
        <v>12316</v>
      </c>
      <c r="AA245" s="167">
        <f t="shared" si="3"/>
        <v>-0.5</v>
      </c>
      <c r="AB245" s="161"/>
      <c r="AC245" s="161">
        <f t="shared" si="4"/>
        <v>11730</v>
      </c>
      <c r="AD245" s="161">
        <f t="shared" si="5"/>
        <v>293.25</v>
      </c>
      <c r="AE245" s="161">
        <f t="shared" si="6"/>
        <v>293.25</v>
      </c>
      <c r="AF245" s="167">
        <f t="shared" si="7"/>
        <v>0</v>
      </c>
      <c r="AG245" s="167">
        <f t="shared" si="8"/>
        <v>586.5</v>
      </c>
      <c r="AH245" s="159" t="s">
        <v>443</v>
      </c>
      <c r="AI245" s="158">
        <f t="shared" si="10"/>
        <v>2023</v>
      </c>
    </row>
    <row r="246" ht="12.75" customHeight="1">
      <c r="A246" s="48" t="s">
        <v>453</v>
      </c>
      <c r="B246" s="160" t="str">
        <f>iferror(VLOOKUP((LEFT(A246,6)),CUSTOMER_DETAILS,2,FALSE),"-")</f>
        <v>SIDDHAYU AYURVEDIC RESEARCH FOUNDATION PVT LTD</v>
      </c>
      <c r="C246" s="161" t="s">
        <v>89</v>
      </c>
      <c r="D246" s="191">
        <v>45162.0</v>
      </c>
      <c r="E246" s="161" t="s">
        <v>89</v>
      </c>
      <c r="F246" s="30" t="s">
        <v>89</v>
      </c>
      <c r="G246" s="30" t="s">
        <v>89</v>
      </c>
      <c r="H246" s="30" t="s">
        <v>89</v>
      </c>
      <c r="I246" s="48" t="s">
        <v>108</v>
      </c>
      <c r="J246" s="188">
        <f t="shared" si="12"/>
        <v>45162</v>
      </c>
      <c r="K246" s="48">
        <v>263.0</v>
      </c>
      <c r="L246" s="48" t="s">
        <v>108</v>
      </c>
      <c r="M246" s="48" t="s">
        <v>91</v>
      </c>
      <c r="N246" s="48" t="s">
        <v>269</v>
      </c>
      <c r="O246" s="30" t="s">
        <v>89</v>
      </c>
      <c r="P246" s="48" t="s">
        <v>454</v>
      </c>
      <c r="Q246" s="48" t="s">
        <v>94</v>
      </c>
      <c r="R246" s="161">
        <f>IFERROR(VLOOKUP(Q246,'PRODUCT TABLE'!$A$2:$B$26,2,FALSE),"-")</f>
        <v>44011090</v>
      </c>
      <c r="S246" s="48">
        <v>10255.0</v>
      </c>
      <c r="T246" s="48">
        <v>6.9</v>
      </c>
      <c r="U246" s="48" t="s">
        <v>95</v>
      </c>
      <c r="V246" s="161">
        <f t="shared" si="1"/>
        <v>70759.5</v>
      </c>
      <c r="W246" s="189">
        <v>0.025</v>
      </c>
      <c r="X246" s="189">
        <v>0.025</v>
      </c>
      <c r="Y246" s="30"/>
      <c r="Z246" s="169">
        <f t="shared" si="2"/>
        <v>74297</v>
      </c>
      <c r="AA246" s="167">
        <f t="shared" si="3"/>
        <v>-0.475</v>
      </c>
      <c r="AB246" s="161"/>
      <c r="AC246" s="161">
        <f t="shared" si="4"/>
        <v>70759.5</v>
      </c>
      <c r="AD246" s="161">
        <f t="shared" si="5"/>
        <v>1768.9875</v>
      </c>
      <c r="AE246" s="161">
        <f t="shared" si="6"/>
        <v>1768.9875</v>
      </c>
      <c r="AF246" s="167">
        <f t="shared" si="7"/>
        <v>0</v>
      </c>
      <c r="AG246" s="167">
        <f t="shared" si="8"/>
        <v>3537.975</v>
      </c>
      <c r="AH246" s="159" t="s">
        <v>443</v>
      </c>
      <c r="AI246" s="158">
        <f t="shared" si="10"/>
        <v>2023</v>
      </c>
    </row>
    <row r="247" ht="12.75" customHeight="1">
      <c r="A247" s="48" t="s">
        <v>455</v>
      </c>
      <c r="B247" s="160" t="str">
        <f>iferror(VLOOKUP((LEFT(A247,6)),CUSTOMER_DETAILS,2,FALSE),"-")</f>
        <v>SAI KALYANI AGENCY</v>
      </c>
      <c r="C247" s="161" t="s">
        <v>89</v>
      </c>
      <c r="D247" s="191">
        <v>45166.0</v>
      </c>
      <c r="E247" s="161" t="s">
        <v>89</v>
      </c>
      <c r="F247" s="30" t="s">
        <v>89</v>
      </c>
      <c r="G247" s="30" t="s">
        <v>89</v>
      </c>
      <c r="H247" s="30" t="s">
        <v>89</v>
      </c>
      <c r="I247" s="48" t="s">
        <v>108</v>
      </c>
      <c r="J247" s="188">
        <f t="shared" si="12"/>
        <v>45166</v>
      </c>
      <c r="K247" s="48">
        <v>264.0</v>
      </c>
      <c r="L247" s="48" t="s">
        <v>108</v>
      </c>
      <c r="M247" s="48" t="s">
        <v>91</v>
      </c>
      <c r="N247" s="48" t="s">
        <v>369</v>
      </c>
      <c r="O247" s="30" t="s">
        <v>89</v>
      </c>
      <c r="P247" s="48" t="s">
        <v>456</v>
      </c>
      <c r="Q247" s="48" t="s">
        <v>233</v>
      </c>
      <c r="R247" s="161">
        <f>IFERROR(VLOOKUP(Q247,'PRODUCT TABLE'!$A$2:$B$26,2,FALSE),"-")</f>
        <v>44011090</v>
      </c>
      <c r="S247" s="48">
        <v>22480.0</v>
      </c>
      <c r="T247" s="48">
        <v>13.85</v>
      </c>
      <c r="U247" s="48" t="s">
        <v>95</v>
      </c>
      <c r="V247" s="161">
        <f t="shared" si="1"/>
        <v>311348</v>
      </c>
      <c r="Y247" s="186">
        <v>0.05</v>
      </c>
      <c r="Z247" s="169">
        <f t="shared" si="2"/>
        <v>326915</v>
      </c>
      <c r="AA247" s="167">
        <f t="shared" si="3"/>
        <v>-0.4</v>
      </c>
      <c r="AB247" s="175"/>
      <c r="AC247" s="161">
        <f t="shared" si="4"/>
        <v>311348</v>
      </c>
      <c r="AD247" s="161">
        <f t="shared" si="5"/>
        <v>0</v>
      </c>
      <c r="AE247" s="161">
        <f t="shared" si="6"/>
        <v>0</v>
      </c>
      <c r="AF247" s="167">
        <f t="shared" si="7"/>
        <v>15567.4</v>
      </c>
      <c r="AG247" s="167">
        <f t="shared" si="8"/>
        <v>15567.4</v>
      </c>
      <c r="AH247" s="159" t="s">
        <v>443</v>
      </c>
      <c r="AI247" s="158">
        <f t="shared" si="10"/>
        <v>2023</v>
      </c>
    </row>
    <row r="248" ht="12.75" customHeight="1">
      <c r="A248" s="48" t="s">
        <v>457</v>
      </c>
      <c r="B248" s="160" t="str">
        <f>iferror(VLOOKUP((LEFT(A248,6)),CUSTOMER_DETAILS,2,FALSE),"-")</f>
        <v>SRJ ENERGY</v>
      </c>
      <c r="C248" s="161" t="s">
        <v>89</v>
      </c>
      <c r="D248" s="191">
        <v>45156.0</v>
      </c>
      <c r="E248" s="161" t="s">
        <v>89</v>
      </c>
      <c r="F248" s="30" t="s">
        <v>89</v>
      </c>
      <c r="G248" s="30" t="s">
        <v>89</v>
      </c>
      <c r="H248" s="30" t="s">
        <v>89</v>
      </c>
      <c r="I248" s="48" t="s">
        <v>108</v>
      </c>
      <c r="J248" s="188">
        <f t="shared" si="12"/>
        <v>45156</v>
      </c>
      <c r="K248" s="48">
        <v>265.0</v>
      </c>
      <c r="L248" s="48" t="s">
        <v>108</v>
      </c>
      <c r="M248" s="48" t="s">
        <v>245</v>
      </c>
      <c r="N248" s="48" t="s">
        <v>125</v>
      </c>
      <c r="O248" s="30" t="s">
        <v>89</v>
      </c>
      <c r="Q248" s="48" t="s">
        <v>117</v>
      </c>
      <c r="R248" s="161">
        <f>IFERROR(VLOOKUP(Q248,'PRODUCT TABLE'!$A$2:$B$26,2,FALSE),"-")</f>
        <v>44011090</v>
      </c>
      <c r="S248" s="48">
        <v>8000.0</v>
      </c>
      <c r="T248" s="48">
        <v>11.0</v>
      </c>
      <c r="U248" s="48" t="s">
        <v>95</v>
      </c>
      <c r="V248" s="161">
        <f t="shared" si="1"/>
        <v>88000</v>
      </c>
      <c r="W248" s="189">
        <v>0.025</v>
      </c>
      <c r="X248" s="189">
        <v>0.025</v>
      </c>
      <c r="Y248" s="30"/>
      <c r="Z248" s="169">
        <f t="shared" si="2"/>
        <v>92400</v>
      </c>
      <c r="AA248" s="167">
        <f t="shared" si="3"/>
        <v>0</v>
      </c>
      <c r="AB248" s="161"/>
      <c r="AC248" s="161">
        <f t="shared" si="4"/>
        <v>88000</v>
      </c>
      <c r="AD248" s="161">
        <f t="shared" si="5"/>
        <v>2200</v>
      </c>
      <c r="AE248" s="161">
        <f t="shared" si="6"/>
        <v>2200</v>
      </c>
      <c r="AF248" s="167">
        <f t="shared" si="7"/>
        <v>0</v>
      </c>
      <c r="AG248" s="167">
        <f t="shared" si="8"/>
        <v>4400</v>
      </c>
      <c r="AH248" s="159" t="s">
        <v>443</v>
      </c>
      <c r="AI248" s="158">
        <f t="shared" si="10"/>
        <v>2023</v>
      </c>
    </row>
    <row r="249" ht="12.75" customHeight="1">
      <c r="A249" s="48" t="s">
        <v>458</v>
      </c>
      <c r="B249" s="160" t="str">
        <f>iferror(VLOOKUP((LEFT(A249,6)),CUSTOMER_DETAILS,2,FALSE),"-")</f>
        <v>SRJ ENERGY</v>
      </c>
      <c r="C249" s="161" t="s">
        <v>89</v>
      </c>
      <c r="D249" s="191">
        <v>45157.0</v>
      </c>
      <c r="E249" s="161" t="s">
        <v>89</v>
      </c>
      <c r="F249" s="30" t="s">
        <v>89</v>
      </c>
      <c r="G249" s="30" t="s">
        <v>89</v>
      </c>
      <c r="H249" s="30" t="s">
        <v>89</v>
      </c>
      <c r="I249" s="48" t="s">
        <v>108</v>
      </c>
      <c r="J249" s="188">
        <f t="shared" si="12"/>
        <v>45157</v>
      </c>
      <c r="K249" s="48">
        <v>266.0</v>
      </c>
      <c r="L249" s="48" t="s">
        <v>108</v>
      </c>
      <c r="M249" s="48" t="s">
        <v>245</v>
      </c>
      <c r="N249" s="48" t="s">
        <v>125</v>
      </c>
      <c r="O249" s="30" t="s">
        <v>89</v>
      </c>
      <c r="Q249" s="48" t="s">
        <v>117</v>
      </c>
      <c r="R249" s="161">
        <f>IFERROR(VLOOKUP(Q249,'PRODUCT TABLE'!$A$2:$B$26,2,FALSE),"-")</f>
        <v>44011090</v>
      </c>
      <c r="S249" s="48">
        <v>8000.0</v>
      </c>
      <c r="T249" s="48">
        <v>11.0</v>
      </c>
      <c r="U249" s="48" t="s">
        <v>95</v>
      </c>
      <c r="V249" s="161">
        <f t="shared" si="1"/>
        <v>88000</v>
      </c>
      <c r="W249" s="189">
        <v>0.025</v>
      </c>
      <c r="X249" s="189">
        <v>0.025</v>
      </c>
      <c r="Y249" s="30"/>
      <c r="Z249" s="169">
        <f t="shared" si="2"/>
        <v>92400</v>
      </c>
      <c r="AA249" s="167">
        <f t="shared" si="3"/>
        <v>0</v>
      </c>
      <c r="AB249" s="161"/>
      <c r="AC249" s="161">
        <f t="shared" si="4"/>
        <v>88000</v>
      </c>
      <c r="AD249" s="161">
        <f t="shared" si="5"/>
        <v>2200</v>
      </c>
      <c r="AE249" s="161">
        <f t="shared" si="6"/>
        <v>2200</v>
      </c>
      <c r="AF249" s="167">
        <f t="shared" si="7"/>
        <v>0</v>
      </c>
      <c r="AG249" s="167">
        <f t="shared" si="8"/>
        <v>4400</v>
      </c>
      <c r="AH249" s="159" t="s">
        <v>443</v>
      </c>
      <c r="AI249" s="158">
        <f t="shared" si="10"/>
        <v>2023</v>
      </c>
    </row>
    <row r="250" ht="12.75" customHeight="1">
      <c r="A250" s="48" t="s">
        <v>459</v>
      </c>
      <c r="B250" s="160" t="str">
        <f>iferror(VLOOKUP((LEFT(A250,6)),CUSTOMER_DETAILS,2,FALSE),"-")</f>
        <v>SRJ ENERGY</v>
      </c>
      <c r="C250" s="161" t="s">
        <v>89</v>
      </c>
      <c r="D250" s="191">
        <v>45158.0</v>
      </c>
      <c r="E250" s="161" t="s">
        <v>89</v>
      </c>
      <c r="F250" s="30" t="s">
        <v>89</v>
      </c>
      <c r="G250" s="30" t="s">
        <v>89</v>
      </c>
      <c r="H250" s="30" t="s">
        <v>89</v>
      </c>
      <c r="I250" s="48" t="s">
        <v>108</v>
      </c>
      <c r="J250" s="188">
        <f t="shared" si="12"/>
        <v>45158</v>
      </c>
      <c r="K250" s="48">
        <v>267.0</v>
      </c>
      <c r="L250" s="48" t="s">
        <v>108</v>
      </c>
      <c r="M250" s="48" t="s">
        <v>245</v>
      </c>
      <c r="N250" s="48" t="s">
        <v>125</v>
      </c>
      <c r="O250" s="30" t="s">
        <v>89</v>
      </c>
      <c r="Q250" s="48" t="s">
        <v>117</v>
      </c>
      <c r="R250" s="161">
        <f>IFERROR(VLOOKUP(Q250,'PRODUCT TABLE'!$A$2:$B$26,2,FALSE),"-")</f>
        <v>44011090</v>
      </c>
      <c r="S250" s="48">
        <v>8500.0</v>
      </c>
      <c r="T250" s="48">
        <v>11.0</v>
      </c>
      <c r="U250" s="48" t="s">
        <v>95</v>
      </c>
      <c r="V250" s="161">
        <f t="shared" si="1"/>
        <v>93500</v>
      </c>
      <c r="W250" s="189">
        <v>0.025</v>
      </c>
      <c r="X250" s="189">
        <v>0.025</v>
      </c>
      <c r="Y250" s="30"/>
      <c r="Z250" s="169">
        <f t="shared" si="2"/>
        <v>98175</v>
      </c>
      <c r="AA250" s="167">
        <f t="shared" si="3"/>
        <v>0</v>
      </c>
      <c r="AB250" s="161"/>
      <c r="AC250" s="161">
        <f t="shared" si="4"/>
        <v>93500</v>
      </c>
      <c r="AD250" s="161">
        <f t="shared" si="5"/>
        <v>2337.5</v>
      </c>
      <c r="AE250" s="161">
        <f t="shared" si="6"/>
        <v>2337.5</v>
      </c>
      <c r="AF250" s="167">
        <f t="shared" si="7"/>
        <v>0</v>
      </c>
      <c r="AG250" s="167">
        <f t="shared" si="8"/>
        <v>4675</v>
      </c>
      <c r="AH250" s="159" t="s">
        <v>443</v>
      </c>
      <c r="AI250" s="158">
        <f t="shared" si="10"/>
        <v>2023</v>
      </c>
    </row>
    <row r="251" ht="12.75" customHeight="1">
      <c r="A251" s="48" t="s">
        <v>460</v>
      </c>
      <c r="B251" s="160" t="str">
        <f>iferror(VLOOKUP((LEFT(A251,6)),CUSTOMER_DETAILS,2,FALSE),"-")</f>
        <v>SRJ ENERGY</v>
      </c>
      <c r="C251" s="161" t="s">
        <v>89</v>
      </c>
      <c r="D251" s="191">
        <v>45159.0</v>
      </c>
      <c r="E251" s="161" t="s">
        <v>89</v>
      </c>
      <c r="F251" s="30" t="s">
        <v>89</v>
      </c>
      <c r="G251" s="30" t="s">
        <v>89</v>
      </c>
      <c r="H251" s="30" t="s">
        <v>89</v>
      </c>
      <c r="I251" s="48" t="s">
        <v>108</v>
      </c>
      <c r="J251" s="188">
        <f t="shared" si="12"/>
        <v>45159</v>
      </c>
      <c r="K251" s="48">
        <v>268.0</v>
      </c>
      <c r="L251" s="48" t="s">
        <v>108</v>
      </c>
      <c r="M251" s="48" t="s">
        <v>245</v>
      </c>
      <c r="N251" s="48" t="s">
        <v>125</v>
      </c>
      <c r="O251" s="30" t="s">
        <v>89</v>
      </c>
      <c r="Q251" s="48" t="s">
        <v>117</v>
      </c>
      <c r="R251" s="161">
        <f>IFERROR(VLOOKUP(Q251,'PRODUCT TABLE'!$A$2:$B$26,2,FALSE),"-")</f>
        <v>44011090</v>
      </c>
      <c r="S251" s="48">
        <v>8500.0</v>
      </c>
      <c r="T251" s="48">
        <v>11.0</v>
      </c>
      <c r="U251" s="48" t="s">
        <v>95</v>
      </c>
      <c r="V251" s="161">
        <f t="shared" si="1"/>
        <v>93500</v>
      </c>
      <c r="W251" s="189">
        <v>0.025</v>
      </c>
      <c r="X251" s="189">
        <v>0.025</v>
      </c>
      <c r="Y251" s="30"/>
      <c r="Z251" s="169">
        <f t="shared" si="2"/>
        <v>98175</v>
      </c>
      <c r="AA251" s="167">
        <f t="shared" si="3"/>
        <v>0</v>
      </c>
      <c r="AB251" s="161"/>
      <c r="AC251" s="161">
        <f t="shared" si="4"/>
        <v>93500</v>
      </c>
      <c r="AD251" s="161">
        <f t="shared" si="5"/>
        <v>2337.5</v>
      </c>
      <c r="AE251" s="161">
        <f t="shared" si="6"/>
        <v>2337.5</v>
      </c>
      <c r="AF251" s="167">
        <f t="shared" si="7"/>
        <v>0</v>
      </c>
      <c r="AG251" s="167">
        <f t="shared" si="8"/>
        <v>4675</v>
      </c>
      <c r="AH251" s="159" t="s">
        <v>443</v>
      </c>
      <c r="AI251" s="158">
        <f t="shared" si="10"/>
        <v>2023</v>
      </c>
    </row>
    <row r="252" ht="12.75" customHeight="1">
      <c r="A252" s="48" t="s">
        <v>461</v>
      </c>
      <c r="B252" s="160" t="str">
        <f>iferror(VLOOKUP((LEFT(A252,6)),CUSTOMER_DETAILS,2,FALSE),"-")</f>
        <v>SHREE GAYATRI PACKAGING</v>
      </c>
      <c r="C252" s="161" t="s">
        <v>89</v>
      </c>
      <c r="D252" s="164" t="s">
        <v>462</v>
      </c>
      <c r="E252" s="161" t="s">
        <v>89</v>
      </c>
      <c r="F252" s="30" t="s">
        <v>89</v>
      </c>
      <c r="G252" s="30" t="s">
        <v>89</v>
      </c>
      <c r="H252" s="30" t="s">
        <v>89</v>
      </c>
      <c r="I252" s="48" t="s">
        <v>108</v>
      </c>
      <c r="J252" s="192" t="str">
        <f t="shared" si="12"/>
        <v>4-SEPT-2023</v>
      </c>
      <c r="K252" s="48">
        <v>269.0</v>
      </c>
      <c r="L252" s="48" t="s">
        <v>108</v>
      </c>
      <c r="M252" s="48" t="s">
        <v>245</v>
      </c>
      <c r="N252" s="48" t="s">
        <v>125</v>
      </c>
      <c r="O252" s="30" t="s">
        <v>89</v>
      </c>
      <c r="Q252" s="48" t="s">
        <v>233</v>
      </c>
      <c r="R252" s="161">
        <f>IFERROR(VLOOKUP(Q252,'PRODUCT TABLE'!$A$2:$B$26,2,FALSE),"-")</f>
        <v>44011090</v>
      </c>
      <c r="S252" s="48">
        <v>1020.0</v>
      </c>
      <c r="T252" s="48">
        <v>11.5</v>
      </c>
      <c r="U252" s="48" t="s">
        <v>95</v>
      </c>
      <c r="V252" s="161">
        <f t="shared" si="1"/>
        <v>11730</v>
      </c>
      <c r="W252" s="189">
        <v>0.025</v>
      </c>
      <c r="X252" s="189">
        <v>0.025</v>
      </c>
      <c r="Y252" s="30"/>
      <c r="Z252" s="169">
        <f t="shared" si="2"/>
        <v>12316</v>
      </c>
      <c r="AA252" s="167">
        <f t="shared" si="3"/>
        <v>-0.5</v>
      </c>
      <c r="AB252" s="161"/>
      <c r="AC252" s="161">
        <f t="shared" si="4"/>
        <v>11730</v>
      </c>
      <c r="AD252" s="161">
        <f t="shared" si="5"/>
        <v>293.25</v>
      </c>
      <c r="AE252" s="161">
        <f t="shared" si="6"/>
        <v>293.25</v>
      </c>
      <c r="AF252" s="167">
        <f t="shared" si="7"/>
        <v>0</v>
      </c>
      <c r="AG252" s="167">
        <f t="shared" si="8"/>
        <v>586.5</v>
      </c>
      <c r="AH252" s="159" t="s">
        <v>463</v>
      </c>
      <c r="AI252" s="158" t="str">
        <f t="shared" si="10"/>
        <v>#VALUE!</v>
      </c>
    </row>
    <row r="253" ht="12.75" customHeight="1">
      <c r="A253" s="48" t="s">
        <v>464</v>
      </c>
      <c r="B253" s="160" t="str">
        <f>iferror(VLOOKUP((LEFT(A253,6)),CUSTOMER_DETAILS,2,FALSE),"-")</f>
        <v>MITTAL COAL COMPANY</v>
      </c>
      <c r="C253" s="161" t="s">
        <v>89</v>
      </c>
      <c r="D253" s="164" t="s">
        <v>465</v>
      </c>
      <c r="E253" s="161" t="s">
        <v>89</v>
      </c>
      <c r="F253" s="30" t="s">
        <v>89</v>
      </c>
      <c r="G253" s="30" t="s">
        <v>89</v>
      </c>
      <c r="H253" s="30" t="s">
        <v>89</v>
      </c>
      <c r="I253" s="48" t="s">
        <v>108</v>
      </c>
      <c r="J253" s="192" t="str">
        <f t="shared" si="12"/>
        <v>8-SEPT-2023</v>
      </c>
      <c r="K253" s="48">
        <v>270.0</v>
      </c>
      <c r="L253" s="48" t="s">
        <v>108</v>
      </c>
      <c r="M253" s="48" t="s">
        <v>91</v>
      </c>
      <c r="N253" s="48" t="s">
        <v>400</v>
      </c>
      <c r="O253" s="30" t="s">
        <v>89</v>
      </c>
      <c r="P253" s="48" t="s">
        <v>466</v>
      </c>
      <c r="Q253" s="48" t="s">
        <v>233</v>
      </c>
      <c r="R253" s="161">
        <f>IFERROR(VLOOKUP(Q253,'PRODUCT TABLE'!$A$2:$B$26,2,FALSE),"-")</f>
        <v>44011090</v>
      </c>
      <c r="S253" s="48">
        <v>29700.0</v>
      </c>
      <c r="T253" s="48">
        <v>10.5</v>
      </c>
      <c r="U253" s="48" t="s">
        <v>95</v>
      </c>
      <c r="V253" s="161">
        <f t="shared" si="1"/>
        <v>311850</v>
      </c>
      <c r="Y253" s="186">
        <v>0.05</v>
      </c>
      <c r="Z253" s="169">
        <f t="shared" si="2"/>
        <v>417442</v>
      </c>
      <c r="AA253" s="167">
        <f t="shared" si="3"/>
        <v>-0.5</v>
      </c>
      <c r="AB253" s="175">
        <v>90000.0</v>
      </c>
      <c r="AC253" s="161">
        <f t="shared" si="4"/>
        <v>311850</v>
      </c>
      <c r="AD253" s="161">
        <f t="shared" si="5"/>
        <v>0</v>
      </c>
      <c r="AE253" s="161">
        <f t="shared" si="6"/>
        <v>0</v>
      </c>
      <c r="AF253" s="167">
        <f t="shared" si="7"/>
        <v>15592.5</v>
      </c>
      <c r="AG253" s="167">
        <f t="shared" si="8"/>
        <v>15592.5</v>
      </c>
      <c r="AH253" s="159" t="s">
        <v>463</v>
      </c>
      <c r="AI253" s="158" t="str">
        <f t="shared" si="10"/>
        <v>#VALUE!</v>
      </c>
    </row>
    <row r="254" ht="12.75" customHeight="1">
      <c r="A254" s="48" t="s">
        <v>467</v>
      </c>
      <c r="B254" s="160" t="str">
        <f>iferror(VLOOKUP((LEFT(A254,6)),CUSTOMER_DETAILS,2,FALSE),"-")</f>
        <v>AERO AGRO CHEMICAL INDUSTRIES</v>
      </c>
      <c r="C254" s="161" t="s">
        <v>89</v>
      </c>
      <c r="D254" s="164" t="s">
        <v>465</v>
      </c>
      <c r="E254" s="161" t="s">
        <v>89</v>
      </c>
      <c r="F254" s="30" t="s">
        <v>89</v>
      </c>
      <c r="G254" s="30" t="s">
        <v>89</v>
      </c>
      <c r="H254" s="30" t="s">
        <v>89</v>
      </c>
      <c r="I254" s="48" t="s">
        <v>108</v>
      </c>
      <c r="J254" s="192" t="str">
        <f t="shared" si="12"/>
        <v>8-SEPT-2023</v>
      </c>
      <c r="K254" s="48">
        <v>271.0</v>
      </c>
      <c r="L254" s="48" t="s">
        <v>108</v>
      </c>
      <c r="M254" s="48" t="s">
        <v>91</v>
      </c>
      <c r="N254" s="48" t="s">
        <v>403</v>
      </c>
      <c r="O254" s="30" t="s">
        <v>89</v>
      </c>
      <c r="P254" s="48" t="s">
        <v>468</v>
      </c>
      <c r="Q254" s="48" t="s">
        <v>117</v>
      </c>
      <c r="R254" s="161">
        <f>IFERROR(VLOOKUP(Q254,'PRODUCT TABLE'!$A$2:$B$26,2,FALSE),"-")</f>
        <v>44011090</v>
      </c>
      <c r="S254" s="48">
        <v>10100.0</v>
      </c>
      <c r="T254" s="48">
        <v>11.3</v>
      </c>
      <c r="U254" s="48" t="s">
        <v>95</v>
      </c>
      <c r="V254" s="161">
        <f t="shared" si="1"/>
        <v>114130</v>
      </c>
      <c r="Y254" s="186">
        <v>0.05</v>
      </c>
      <c r="Z254" s="169">
        <f t="shared" si="2"/>
        <v>135836</v>
      </c>
      <c r="AA254" s="167">
        <f t="shared" si="3"/>
        <v>-0.5</v>
      </c>
      <c r="AB254" s="175">
        <v>16000.0</v>
      </c>
      <c r="AC254" s="161">
        <f t="shared" si="4"/>
        <v>114130</v>
      </c>
      <c r="AD254" s="161">
        <f t="shared" si="5"/>
        <v>0</v>
      </c>
      <c r="AE254" s="161">
        <f t="shared" si="6"/>
        <v>0</v>
      </c>
      <c r="AF254" s="167">
        <f t="shared" si="7"/>
        <v>5706.5</v>
      </c>
      <c r="AG254" s="167">
        <f t="shared" si="8"/>
        <v>5706.5</v>
      </c>
      <c r="AH254" s="159" t="s">
        <v>463</v>
      </c>
      <c r="AI254" s="158" t="str">
        <f t="shared" si="10"/>
        <v>#VALUE!</v>
      </c>
    </row>
    <row r="255" ht="12.75" customHeight="1">
      <c r="A255" s="48" t="s">
        <v>469</v>
      </c>
      <c r="B255" s="160" t="str">
        <f>iferror(VLOOKUP((LEFT(A255,6)),CUSTOMER_DETAILS,2,FALSE),"-")</f>
        <v>SAI KALYANI AGENCY</v>
      </c>
      <c r="C255" s="161" t="s">
        <v>89</v>
      </c>
      <c r="D255" s="164" t="s">
        <v>470</v>
      </c>
      <c r="E255" s="161" t="s">
        <v>89</v>
      </c>
      <c r="F255" s="30" t="s">
        <v>89</v>
      </c>
      <c r="G255" s="30" t="s">
        <v>89</v>
      </c>
      <c r="H255" s="30" t="s">
        <v>89</v>
      </c>
      <c r="I255" s="48" t="s">
        <v>108</v>
      </c>
      <c r="J255" s="192" t="str">
        <f t="shared" si="12"/>
        <v>20-SEPT-2023</v>
      </c>
      <c r="K255" s="48">
        <v>272.0</v>
      </c>
      <c r="L255" s="48" t="s">
        <v>108</v>
      </c>
      <c r="M255" s="48" t="s">
        <v>91</v>
      </c>
      <c r="N255" s="48" t="s">
        <v>369</v>
      </c>
      <c r="O255" s="30" t="s">
        <v>89</v>
      </c>
      <c r="P255" s="48" t="s">
        <v>322</v>
      </c>
      <c r="Q255" s="48" t="s">
        <v>233</v>
      </c>
      <c r="R255" s="161">
        <f>IFERROR(VLOOKUP(Q255,'PRODUCT TABLE'!$A$2:$B$26,2,FALSE),"-")</f>
        <v>44011090</v>
      </c>
      <c r="S255" s="48">
        <v>23360.0</v>
      </c>
      <c r="T255" s="48">
        <v>13.8</v>
      </c>
      <c r="U255" s="48" t="s">
        <v>95</v>
      </c>
      <c r="V255" s="161">
        <f t="shared" si="1"/>
        <v>322368</v>
      </c>
      <c r="Y255" s="186">
        <v>0.05</v>
      </c>
      <c r="Z255" s="169">
        <f t="shared" si="2"/>
        <v>338486</v>
      </c>
      <c r="AA255" s="167">
        <f t="shared" si="3"/>
        <v>-0.4</v>
      </c>
      <c r="AB255" s="161"/>
      <c r="AC255" s="161">
        <f t="shared" si="4"/>
        <v>322368</v>
      </c>
      <c r="AD255" s="161">
        <f t="shared" si="5"/>
        <v>0</v>
      </c>
      <c r="AE255" s="161">
        <f t="shared" si="6"/>
        <v>0</v>
      </c>
      <c r="AF255" s="167">
        <f t="shared" si="7"/>
        <v>16118.4</v>
      </c>
      <c r="AG255" s="167">
        <f t="shared" si="8"/>
        <v>16118.4</v>
      </c>
      <c r="AH255" s="159" t="s">
        <v>463</v>
      </c>
      <c r="AI255" s="158" t="str">
        <f t="shared" si="10"/>
        <v>#VALUE!</v>
      </c>
    </row>
    <row r="256" ht="12.75" customHeight="1">
      <c r="A256" s="48" t="s">
        <v>471</v>
      </c>
      <c r="B256" s="160" t="str">
        <f>iferror(VLOOKUP((LEFT(A256,6)),CUSTOMER_DETAILS,2,FALSE),"-")</f>
        <v>SIDDHAYU AYURVEDIC RESEARCH FOUNDATION PVT LTD</v>
      </c>
      <c r="C256" s="161" t="s">
        <v>89</v>
      </c>
      <c r="D256" s="164" t="s">
        <v>472</v>
      </c>
      <c r="E256" s="161" t="s">
        <v>89</v>
      </c>
      <c r="F256" s="30" t="s">
        <v>89</v>
      </c>
      <c r="G256" s="30" t="s">
        <v>89</v>
      </c>
      <c r="H256" s="30" t="s">
        <v>89</v>
      </c>
      <c r="I256" s="48" t="s">
        <v>108</v>
      </c>
      <c r="J256" s="192" t="str">
        <f t="shared" si="12"/>
        <v>21-SEPT-2023</v>
      </c>
      <c r="K256" s="48">
        <v>273.0</v>
      </c>
      <c r="L256" s="48" t="s">
        <v>108</v>
      </c>
      <c r="M256" s="48" t="s">
        <v>91</v>
      </c>
      <c r="N256" s="48" t="s">
        <v>269</v>
      </c>
      <c r="O256" s="30" t="s">
        <v>89</v>
      </c>
      <c r="P256" s="48" t="s">
        <v>473</v>
      </c>
      <c r="Q256" s="48" t="s">
        <v>94</v>
      </c>
      <c r="R256" s="161">
        <f>IFERROR(VLOOKUP(Q256,'PRODUCT TABLE'!$A$2:$B$26,2,FALSE),"-")</f>
        <v>44011090</v>
      </c>
      <c r="S256" s="48">
        <v>11505.0</v>
      </c>
      <c r="T256" s="48">
        <v>6.9</v>
      </c>
      <c r="U256" s="48" t="s">
        <v>95</v>
      </c>
      <c r="V256" s="161">
        <f t="shared" si="1"/>
        <v>79384.5</v>
      </c>
      <c r="W256" s="189">
        <v>0.025</v>
      </c>
      <c r="X256" s="189">
        <v>0.025</v>
      </c>
      <c r="Y256" s="30"/>
      <c r="Z256" s="169">
        <f t="shared" si="2"/>
        <v>83354</v>
      </c>
      <c r="AA256" s="167">
        <f t="shared" si="3"/>
        <v>0.275</v>
      </c>
      <c r="AB256" s="161"/>
      <c r="AC256" s="161">
        <f t="shared" si="4"/>
        <v>79384.5</v>
      </c>
      <c r="AD256" s="161">
        <f t="shared" si="5"/>
        <v>1984.6125</v>
      </c>
      <c r="AE256" s="161">
        <f t="shared" si="6"/>
        <v>1984.6125</v>
      </c>
      <c r="AF256" s="167">
        <f t="shared" si="7"/>
        <v>0</v>
      </c>
      <c r="AG256" s="167">
        <f t="shared" si="8"/>
        <v>3969.225</v>
      </c>
      <c r="AH256" s="159" t="s">
        <v>463</v>
      </c>
      <c r="AI256" s="158" t="str">
        <f t="shared" si="10"/>
        <v>#VALUE!</v>
      </c>
    </row>
    <row r="257" ht="12.75" customHeight="1">
      <c r="A257" s="48" t="s">
        <v>474</v>
      </c>
      <c r="B257" s="160" t="str">
        <f>iferror(VLOOKUP((LEFT(A257,6)),CUSTOMER_DETAILS,2,FALSE),"-")</f>
        <v>NJ RENEWABLE ENERGY PVT LIMITED </v>
      </c>
      <c r="C257" s="161" t="s">
        <v>89</v>
      </c>
      <c r="D257" s="164" t="s">
        <v>475</v>
      </c>
      <c r="E257" s="161" t="s">
        <v>89</v>
      </c>
      <c r="F257" s="30" t="s">
        <v>89</v>
      </c>
      <c r="G257" s="30" t="s">
        <v>89</v>
      </c>
      <c r="H257" s="30" t="s">
        <v>89</v>
      </c>
      <c r="I257" s="48" t="s">
        <v>108</v>
      </c>
      <c r="J257" s="192" t="str">
        <f t="shared" si="12"/>
        <v>29-SEPT-2023</v>
      </c>
      <c r="K257" s="48">
        <v>274.0</v>
      </c>
      <c r="L257" s="48" t="s">
        <v>108</v>
      </c>
      <c r="M257" s="48" t="s">
        <v>91</v>
      </c>
      <c r="N257" s="48" t="s">
        <v>135</v>
      </c>
      <c r="O257" s="30" t="s">
        <v>89</v>
      </c>
      <c r="P257" s="48" t="s">
        <v>476</v>
      </c>
      <c r="Q257" s="48" t="s">
        <v>405</v>
      </c>
      <c r="R257" s="161">
        <f>IFERROR(VLOOKUP(Q257,'PRODUCT TABLE'!$A$2:$B$26,2,FALSE),"-")</f>
        <v>44011010</v>
      </c>
      <c r="S257" s="48">
        <v>13370.0</v>
      </c>
      <c r="T257" s="48">
        <v>9.0</v>
      </c>
      <c r="U257" s="48" t="s">
        <v>95</v>
      </c>
      <c r="V257" s="161">
        <f t="shared" si="1"/>
        <v>120330</v>
      </c>
      <c r="W257" s="189">
        <v>0.025</v>
      </c>
      <c r="X257" s="189">
        <v>0.025</v>
      </c>
      <c r="Y257" s="30"/>
      <c r="Z257" s="169">
        <f t="shared" si="2"/>
        <v>126346</v>
      </c>
      <c r="AA257" s="167">
        <f t="shared" si="3"/>
        <v>-0.5</v>
      </c>
      <c r="AB257" s="161"/>
      <c r="AC257" s="161">
        <f t="shared" si="4"/>
        <v>120330</v>
      </c>
      <c r="AD257" s="161">
        <f t="shared" si="5"/>
        <v>3008.25</v>
      </c>
      <c r="AE257" s="161">
        <f t="shared" si="6"/>
        <v>3008.25</v>
      </c>
      <c r="AF257" s="167">
        <f t="shared" si="7"/>
        <v>0</v>
      </c>
      <c r="AG257" s="167">
        <f t="shared" si="8"/>
        <v>6016.5</v>
      </c>
      <c r="AH257" s="159" t="s">
        <v>463</v>
      </c>
      <c r="AI257" s="158" t="str">
        <f t="shared" si="10"/>
        <v>#VALUE!</v>
      </c>
    </row>
    <row r="258" ht="12.75" customHeight="1">
      <c r="A258" s="48" t="s">
        <v>477</v>
      </c>
      <c r="B258" s="160" t="str">
        <f>iferror(VLOOKUP((LEFT(A258,6)),CUSTOMER_DETAILS,2,FALSE),"-")</f>
        <v>AERO AGRO CHEMICAL INDUSTRIES</v>
      </c>
      <c r="C258" s="161" t="s">
        <v>89</v>
      </c>
      <c r="D258" s="193">
        <v>45202.0</v>
      </c>
      <c r="E258" s="161" t="s">
        <v>89</v>
      </c>
      <c r="F258" s="30" t="s">
        <v>89</v>
      </c>
      <c r="G258" s="30" t="s">
        <v>89</v>
      </c>
      <c r="H258" s="30" t="s">
        <v>89</v>
      </c>
      <c r="I258" s="48" t="s">
        <v>108</v>
      </c>
      <c r="J258" s="194">
        <f t="shared" si="12"/>
        <v>45202</v>
      </c>
      <c r="K258" s="48">
        <v>275.0</v>
      </c>
      <c r="L258" s="48" t="s">
        <v>108</v>
      </c>
      <c r="M258" s="48" t="s">
        <v>91</v>
      </c>
      <c r="N258" s="48" t="s">
        <v>478</v>
      </c>
      <c r="O258" s="30" t="s">
        <v>89</v>
      </c>
      <c r="P258" s="48" t="s">
        <v>479</v>
      </c>
      <c r="Q258" s="48" t="s">
        <v>117</v>
      </c>
      <c r="R258" s="161">
        <f>IFERROR(VLOOKUP(Q258,'PRODUCT TABLE'!$A$2:$B$26,2,FALSE),"-")</f>
        <v>44011090</v>
      </c>
      <c r="S258" s="48">
        <v>10260.0</v>
      </c>
      <c r="T258" s="48">
        <v>11.2</v>
      </c>
      <c r="U258" s="48" t="s">
        <v>95</v>
      </c>
      <c r="V258" s="161">
        <f t="shared" si="1"/>
        <v>114912</v>
      </c>
      <c r="Y258" s="186">
        <v>0.05</v>
      </c>
      <c r="Z258" s="169">
        <f t="shared" si="2"/>
        <v>136658</v>
      </c>
      <c r="AA258" s="167">
        <f t="shared" si="3"/>
        <v>0.4</v>
      </c>
      <c r="AB258" s="195">
        <v>16000.0</v>
      </c>
      <c r="AC258" s="161">
        <f t="shared" si="4"/>
        <v>114912</v>
      </c>
      <c r="AD258" s="161">
        <f t="shared" si="5"/>
        <v>0</v>
      </c>
      <c r="AE258" s="161">
        <f t="shared" si="6"/>
        <v>0</v>
      </c>
      <c r="AF258" s="167">
        <f t="shared" si="7"/>
        <v>5745.6</v>
      </c>
      <c r="AG258" s="167">
        <f t="shared" si="8"/>
        <v>5745.6</v>
      </c>
      <c r="AH258" s="159" t="s">
        <v>480</v>
      </c>
      <c r="AI258" s="158">
        <f t="shared" si="10"/>
        <v>2023</v>
      </c>
    </row>
    <row r="259" ht="12.75" customHeight="1">
      <c r="A259" s="48" t="s">
        <v>481</v>
      </c>
      <c r="B259" s="160" t="str">
        <f>iferror(VLOOKUP((LEFT(A259,6)),CUSTOMER_DETAILS,2,FALSE),"-")</f>
        <v>NJ RENEWABLE ENERGY PVT LIMITED </v>
      </c>
      <c r="C259" s="161" t="s">
        <v>89</v>
      </c>
      <c r="D259" s="193">
        <v>45205.0</v>
      </c>
      <c r="E259" s="161" t="s">
        <v>89</v>
      </c>
      <c r="F259" s="30" t="s">
        <v>89</v>
      </c>
      <c r="G259" s="30" t="s">
        <v>89</v>
      </c>
      <c r="H259" s="30" t="s">
        <v>89</v>
      </c>
      <c r="I259" s="48" t="s">
        <v>108</v>
      </c>
      <c r="J259" s="194">
        <f t="shared" si="12"/>
        <v>45205</v>
      </c>
      <c r="K259" s="48">
        <v>276.0</v>
      </c>
      <c r="L259" s="48" t="s">
        <v>108</v>
      </c>
      <c r="M259" s="48" t="s">
        <v>91</v>
      </c>
      <c r="N259" s="48" t="s">
        <v>135</v>
      </c>
      <c r="O259" s="30" t="s">
        <v>89</v>
      </c>
      <c r="P259" s="48" t="s">
        <v>476</v>
      </c>
      <c r="Q259" s="48" t="s">
        <v>405</v>
      </c>
      <c r="R259" s="161">
        <f>IFERROR(VLOOKUP(Q259,'PRODUCT TABLE'!$A$2:$B$26,2,FALSE),"-")</f>
        <v>44011010</v>
      </c>
      <c r="S259" s="48">
        <v>12325.0</v>
      </c>
      <c r="T259" s="48">
        <v>9.0</v>
      </c>
      <c r="U259" s="48" t="s">
        <v>95</v>
      </c>
      <c r="V259" s="161">
        <f t="shared" si="1"/>
        <v>110925</v>
      </c>
      <c r="W259" s="189">
        <v>0.025</v>
      </c>
      <c r="X259" s="189">
        <v>0.025</v>
      </c>
      <c r="Y259" s="30"/>
      <c r="Z259" s="169">
        <f t="shared" si="2"/>
        <v>116471</v>
      </c>
      <c r="AA259" s="167">
        <f t="shared" si="3"/>
        <v>-0.25</v>
      </c>
      <c r="AB259" s="161"/>
      <c r="AC259" s="161">
        <f t="shared" si="4"/>
        <v>110925</v>
      </c>
      <c r="AD259" s="161">
        <f t="shared" si="5"/>
        <v>2773.125</v>
      </c>
      <c r="AE259" s="161">
        <f t="shared" si="6"/>
        <v>2773.125</v>
      </c>
      <c r="AF259" s="167">
        <f t="shared" si="7"/>
        <v>0</v>
      </c>
      <c r="AG259" s="167">
        <f t="shared" si="8"/>
        <v>5546.25</v>
      </c>
      <c r="AH259" s="159" t="s">
        <v>480</v>
      </c>
      <c r="AI259" s="158">
        <f t="shared" si="10"/>
        <v>2023</v>
      </c>
    </row>
    <row r="260" ht="12.75" customHeight="1">
      <c r="A260" s="48" t="s">
        <v>482</v>
      </c>
      <c r="B260" s="160" t="str">
        <f>iferror(VLOOKUP((LEFT(A260,6)),CUSTOMER_DETAILS,2,FALSE),"-")</f>
        <v>SHREE GAYATRI PACKAGING</v>
      </c>
      <c r="C260" s="161" t="s">
        <v>89</v>
      </c>
      <c r="D260" s="193">
        <v>45205.0</v>
      </c>
      <c r="E260" s="161" t="s">
        <v>89</v>
      </c>
      <c r="F260" s="30" t="s">
        <v>89</v>
      </c>
      <c r="G260" s="30" t="s">
        <v>89</v>
      </c>
      <c r="H260" s="30" t="s">
        <v>89</v>
      </c>
      <c r="I260" s="48" t="s">
        <v>108</v>
      </c>
      <c r="J260" s="194">
        <f t="shared" si="12"/>
        <v>45205</v>
      </c>
      <c r="K260" s="48">
        <v>277.0</v>
      </c>
      <c r="L260" s="48" t="s">
        <v>108</v>
      </c>
      <c r="M260" s="48" t="s">
        <v>245</v>
      </c>
      <c r="N260" s="48" t="s">
        <v>483</v>
      </c>
      <c r="O260" s="30" t="s">
        <v>89</v>
      </c>
      <c r="Q260" s="48" t="s">
        <v>117</v>
      </c>
      <c r="R260" s="161">
        <f>IFERROR(VLOOKUP(Q260,'PRODUCT TABLE'!$A$2:$B$26,2,FALSE),"-")</f>
        <v>44011090</v>
      </c>
      <c r="S260" s="48">
        <v>480.0</v>
      </c>
      <c r="T260" s="48">
        <v>12.0</v>
      </c>
      <c r="U260" s="48" t="s">
        <v>95</v>
      </c>
      <c r="V260" s="161">
        <f t="shared" si="1"/>
        <v>5760</v>
      </c>
      <c r="W260" s="189">
        <v>0.025</v>
      </c>
      <c r="X260" s="189">
        <v>0.025</v>
      </c>
      <c r="Y260" s="30"/>
      <c r="Z260" s="169">
        <f t="shared" si="2"/>
        <v>6048</v>
      </c>
      <c r="AA260" s="167">
        <f t="shared" si="3"/>
        <v>0</v>
      </c>
      <c r="AB260" s="161"/>
      <c r="AC260" s="161">
        <f t="shared" si="4"/>
        <v>5760</v>
      </c>
      <c r="AD260" s="161">
        <f t="shared" si="5"/>
        <v>144</v>
      </c>
      <c r="AE260" s="161">
        <f t="shared" si="6"/>
        <v>144</v>
      </c>
      <c r="AF260" s="167">
        <f t="shared" si="7"/>
        <v>0</v>
      </c>
      <c r="AG260" s="167">
        <f t="shared" si="8"/>
        <v>288</v>
      </c>
      <c r="AH260" s="159" t="s">
        <v>480</v>
      </c>
      <c r="AI260" s="158">
        <f t="shared" si="10"/>
        <v>2023</v>
      </c>
    </row>
    <row r="261" ht="12.75" customHeight="1">
      <c r="A261" s="48" t="s">
        <v>484</v>
      </c>
      <c r="B261" s="160" t="str">
        <f>iferror(VLOOKUP((LEFT(A261,6)),CUSTOMER_DETAILS,2,FALSE),"-")</f>
        <v>SIDDHAYU AYURVEDIC RESEARCH FOUNDATION PVT LTD</v>
      </c>
      <c r="C261" s="161" t="s">
        <v>89</v>
      </c>
      <c r="D261" s="191">
        <v>45206.0</v>
      </c>
      <c r="E261" s="161" t="s">
        <v>89</v>
      </c>
      <c r="F261" s="30" t="s">
        <v>89</v>
      </c>
      <c r="G261" s="30" t="s">
        <v>89</v>
      </c>
      <c r="H261" s="30" t="s">
        <v>89</v>
      </c>
      <c r="I261" s="48" t="s">
        <v>108</v>
      </c>
      <c r="J261" s="188">
        <f t="shared" si="12"/>
        <v>45206</v>
      </c>
      <c r="K261" s="48">
        <v>278.0</v>
      </c>
      <c r="L261" s="48" t="s">
        <v>108</v>
      </c>
      <c r="M261" s="48" t="s">
        <v>91</v>
      </c>
      <c r="N261" s="48" t="s">
        <v>485</v>
      </c>
      <c r="O261" s="30" t="s">
        <v>89</v>
      </c>
      <c r="P261" s="48" t="s">
        <v>486</v>
      </c>
      <c r="Q261" s="48" t="s">
        <v>94</v>
      </c>
      <c r="R261" s="161">
        <f>IFERROR(VLOOKUP(Q261,'PRODUCT TABLE'!$A$2:$B$26,2,FALSE),"-")</f>
        <v>44011090</v>
      </c>
      <c r="S261" s="164">
        <v>10095.0</v>
      </c>
      <c r="T261" s="48">
        <v>6.9</v>
      </c>
      <c r="U261" s="48" t="s">
        <v>95</v>
      </c>
      <c r="V261" s="161">
        <f t="shared" si="1"/>
        <v>69655.5</v>
      </c>
      <c r="W261" s="189">
        <v>0.025</v>
      </c>
      <c r="X261" s="189">
        <v>0.025</v>
      </c>
      <c r="Y261" s="30"/>
      <c r="Z261" s="169">
        <f t="shared" si="2"/>
        <v>73138</v>
      </c>
      <c r="AA261" s="167">
        <f t="shared" si="3"/>
        <v>-0.275</v>
      </c>
      <c r="AB261" s="161"/>
      <c r="AC261" s="161">
        <f t="shared" si="4"/>
        <v>69655.5</v>
      </c>
      <c r="AD261" s="161">
        <f t="shared" si="5"/>
        <v>1741.3875</v>
      </c>
      <c r="AE261" s="161">
        <f t="shared" si="6"/>
        <v>1741.3875</v>
      </c>
      <c r="AF261" s="167">
        <f t="shared" si="7"/>
        <v>0</v>
      </c>
      <c r="AG261" s="167">
        <f t="shared" si="8"/>
        <v>3482.775</v>
      </c>
      <c r="AH261" s="159" t="s">
        <v>480</v>
      </c>
      <c r="AI261" s="158">
        <f t="shared" si="10"/>
        <v>2023</v>
      </c>
    </row>
    <row r="262" ht="12.75" customHeight="1">
      <c r="A262" s="48" t="s">
        <v>487</v>
      </c>
      <c r="B262" s="160" t="str">
        <f>iferror(VLOOKUP((LEFT(A262,6)),CUSTOMER_DETAILS,2,FALSE),"-")</f>
        <v>SHREE GAYATRI PACKAGING</v>
      </c>
      <c r="C262" s="161" t="s">
        <v>89</v>
      </c>
      <c r="D262" s="191">
        <v>45207.0</v>
      </c>
      <c r="E262" s="161" t="s">
        <v>89</v>
      </c>
      <c r="F262" s="30" t="s">
        <v>89</v>
      </c>
      <c r="G262" s="30" t="s">
        <v>89</v>
      </c>
      <c r="H262" s="30" t="s">
        <v>89</v>
      </c>
      <c r="I262" s="48" t="s">
        <v>108</v>
      </c>
      <c r="J262" s="188">
        <f t="shared" si="12"/>
        <v>45207</v>
      </c>
      <c r="K262" s="48">
        <v>279.0</v>
      </c>
      <c r="L262" s="48" t="s">
        <v>108</v>
      </c>
      <c r="M262" s="48" t="s">
        <v>91</v>
      </c>
      <c r="N262" s="48" t="s">
        <v>483</v>
      </c>
      <c r="O262" s="30" t="s">
        <v>89</v>
      </c>
      <c r="Q262" s="48" t="s">
        <v>233</v>
      </c>
      <c r="R262" s="161">
        <f>IFERROR(VLOOKUP(Q262,'PRODUCT TABLE'!$A$2:$B$26,2,FALSE),"-")</f>
        <v>44011090</v>
      </c>
      <c r="S262" s="48">
        <v>510.0</v>
      </c>
      <c r="T262" s="48">
        <v>11.0</v>
      </c>
      <c r="U262" s="48" t="s">
        <v>95</v>
      </c>
      <c r="V262" s="161">
        <f t="shared" si="1"/>
        <v>5610</v>
      </c>
      <c r="W262" s="189">
        <v>0.025</v>
      </c>
      <c r="X262" s="189">
        <v>0.025</v>
      </c>
      <c r="Y262" s="30"/>
      <c r="Z262" s="169">
        <f t="shared" si="2"/>
        <v>5890</v>
      </c>
      <c r="AA262" s="167">
        <f t="shared" si="3"/>
        <v>-0.5</v>
      </c>
      <c r="AB262" s="161"/>
      <c r="AC262" s="161">
        <f t="shared" si="4"/>
        <v>5610</v>
      </c>
      <c r="AD262" s="161">
        <f t="shared" si="5"/>
        <v>140.25</v>
      </c>
      <c r="AE262" s="161">
        <f t="shared" si="6"/>
        <v>140.25</v>
      </c>
      <c r="AF262" s="167">
        <f t="shared" si="7"/>
        <v>0</v>
      </c>
      <c r="AG262" s="167">
        <f t="shared" si="8"/>
        <v>280.5</v>
      </c>
      <c r="AH262" s="159" t="s">
        <v>480</v>
      </c>
      <c r="AI262" s="158">
        <f t="shared" si="10"/>
        <v>2023</v>
      </c>
    </row>
    <row r="263" ht="12.75" customHeight="1">
      <c r="A263" s="48" t="s">
        <v>488</v>
      </c>
      <c r="B263" s="160" t="str">
        <f>iferror(VLOOKUP((LEFT(A263,6)),CUSTOMER_DETAILS,2,FALSE),"-")</f>
        <v>SAI KALYANI AGENCY</v>
      </c>
      <c r="C263" s="161" t="s">
        <v>89</v>
      </c>
      <c r="D263" s="191">
        <v>45212.0</v>
      </c>
      <c r="E263" s="161" t="s">
        <v>89</v>
      </c>
      <c r="F263" s="30" t="s">
        <v>89</v>
      </c>
      <c r="G263" s="30" t="s">
        <v>89</v>
      </c>
      <c r="H263" s="30" t="s">
        <v>89</v>
      </c>
      <c r="I263" s="48" t="s">
        <v>108</v>
      </c>
      <c r="J263" s="188">
        <f t="shared" si="12"/>
        <v>45212</v>
      </c>
      <c r="K263" s="48">
        <v>280.0</v>
      </c>
      <c r="L263" s="48" t="s">
        <v>108</v>
      </c>
      <c r="M263" s="48" t="s">
        <v>91</v>
      </c>
      <c r="N263" s="48" t="s">
        <v>369</v>
      </c>
      <c r="O263" s="30" t="s">
        <v>89</v>
      </c>
      <c r="P263" s="48" t="s">
        <v>489</v>
      </c>
      <c r="Q263" s="48" t="s">
        <v>233</v>
      </c>
      <c r="R263" s="161">
        <f>IFERROR(VLOOKUP(Q263,'PRODUCT TABLE'!$A$2:$B$26,2,FALSE),"-")</f>
        <v>44011090</v>
      </c>
      <c r="S263" s="48">
        <v>27240.0</v>
      </c>
      <c r="T263" s="48">
        <v>13.92</v>
      </c>
      <c r="U263" s="48" t="s">
        <v>95</v>
      </c>
      <c r="V263" s="161">
        <f t="shared" si="1"/>
        <v>379180.8</v>
      </c>
      <c r="Y263" s="186">
        <v>0.05</v>
      </c>
      <c r="Z263" s="169">
        <f t="shared" si="2"/>
        <v>398140</v>
      </c>
      <c r="AA263" s="167">
        <f t="shared" si="3"/>
        <v>0.16</v>
      </c>
      <c r="AB263" s="161"/>
      <c r="AC263" s="161">
        <f t="shared" si="4"/>
        <v>379180.8</v>
      </c>
      <c r="AD263" s="161">
        <f t="shared" si="5"/>
        <v>0</v>
      </c>
      <c r="AE263" s="161">
        <f t="shared" si="6"/>
        <v>0</v>
      </c>
      <c r="AF263" s="167">
        <f t="shared" si="7"/>
        <v>18959.04</v>
      </c>
      <c r="AG263" s="167">
        <f t="shared" si="8"/>
        <v>18959.04</v>
      </c>
      <c r="AH263" s="159" t="s">
        <v>480</v>
      </c>
      <c r="AI263" s="158">
        <f t="shared" si="10"/>
        <v>2023</v>
      </c>
    </row>
    <row r="264" ht="12.75" customHeight="1">
      <c r="A264" s="48" t="s">
        <v>490</v>
      </c>
      <c r="B264" s="160" t="str">
        <f>iferror(VLOOKUP((LEFT(A264,6)),CUSTOMER_DETAILS,2,FALSE),"-")</f>
        <v>AERO AGRO CHEMICAL INDUSTRIES</v>
      </c>
      <c r="C264" s="161" t="s">
        <v>89</v>
      </c>
      <c r="D264" s="191">
        <v>45214.0</v>
      </c>
      <c r="E264" s="161" t="s">
        <v>89</v>
      </c>
      <c r="F264" s="30" t="s">
        <v>89</v>
      </c>
      <c r="G264" s="30" t="s">
        <v>89</v>
      </c>
      <c r="H264" s="30" t="s">
        <v>89</v>
      </c>
      <c r="I264" s="48" t="s">
        <v>108</v>
      </c>
      <c r="J264" s="188">
        <f t="shared" si="12"/>
        <v>45214</v>
      </c>
      <c r="K264" s="48">
        <v>281.0</v>
      </c>
      <c r="L264" s="48" t="s">
        <v>108</v>
      </c>
      <c r="M264" s="48" t="s">
        <v>91</v>
      </c>
      <c r="N264" s="48" t="s">
        <v>478</v>
      </c>
      <c r="O264" s="30" t="s">
        <v>89</v>
      </c>
      <c r="P264" s="48" t="s">
        <v>491</v>
      </c>
      <c r="Q264" s="48" t="s">
        <v>117</v>
      </c>
      <c r="R264" s="161">
        <f>IFERROR(VLOOKUP(Q264,'PRODUCT TABLE'!$A$2:$B$26,2,FALSE),"-")</f>
        <v>44011090</v>
      </c>
      <c r="S264" s="48">
        <v>10250.0</v>
      </c>
      <c r="T264" s="48">
        <v>11.0</v>
      </c>
      <c r="U264" s="48" t="s">
        <v>95</v>
      </c>
      <c r="V264" s="161">
        <f t="shared" si="1"/>
        <v>112750</v>
      </c>
      <c r="Y264" s="186">
        <v>0.05</v>
      </c>
      <c r="Z264" s="169">
        <f t="shared" si="2"/>
        <v>134387</v>
      </c>
      <c r="AA264" s="167">
        <f t="shared" si="3"/>
        <v>-0.5</v>
      </c>
      <c r="AB264" s="175">
        <v>16000.0</v>
      </c>
      <c r="AC264" s="161">
        <f t="shared" si="4"/>
        <v>112750</v>
      </c>
      <c r="AD264" s="161">
        <f t="shared" si="5"/>
        <v>0</v>
      </c>
      <c r="AE264" s="161">
        <f t="shared" si="6"/>
        <v>0</v>
      </c>
      <c r="AF264" s="167">
        <f t="shared" si="7"/>
        <v>5637.5</v>
      </c>
      <c r="AG264" s="167">
        <f t="shared" si="8"/>
        <v>5637.5</v>
      </c>
      <c r="AH264" s="159" t="s">
        <v>480</v>
      </c>
      <c r="AI264" s="158">
        <f t="shared" si="10"/>
        <v>2023</v>
      </c>
    </row>
    <row r="265" ht="12.75" customHeight="1">
      <c r="A265" s="48" t="s">
        <v>492</v>
      </c>
      <c r="B265" s="160" t="str">
        <f>iferror(VLOOKUP((LEFT(A265,6)),CUSTOMER_DETAILS,2,FALSE),"-")</f>
        <v>BAIDYANATH BIOFUELS PVT LIMITED</v>
      </c>
      <c r="C265" s="161" t="s">
        <v>89</v>
      </c>
      <c r="D265" s="191">
        <v>45213.0</v>
      </c>
      <c r="E265" s="161" t="s">
        <v>89</v>
      </c>
      <c r="F265" s="164" t="s">
        <v>493</v>
      </c>
      <c r="G265" s="30" t="s">
        <v>89</v>
      </c>
      <c r="H265" s="30" t="s">
        <v>89</v>
      </c>
      <c r="I265" s="48" t="s">
        <v>494</v>
      </c>
      <c r="J265" s="188">
        <f t="shared" si="12"/>
        <v>45213</v>
      </c>
      <c r="K265" s="48">
        <v>282.0</v>
      </c>
      <c r="L265" s="48" t="s">
        <v>108</v>
      </c>
      <c r="M265" s="48" t="s">
        <v>91</v>
      </c>
      <c r="N265" s="48" t="s">
        <v>135</v>
      </c>
      <c r="O265" s="30" t="s">
        <v>89</v>
      </c>
      <c r="P265" s="48" t="s">
        <v>495</v>
      </c>
      <c r="Q265" s="48" t="s">
        <v>496</v>
      </c>
      <c r="R265" s="161">
        <f>IFERROR(VLOOKUP(Q265,'PRODUCT TABLE'!$A$2:$B$26,2,FALSE),"-")</f>
        <v>4402</v>
      </c>
      <c r="S265" s="48">
        <v>9380.0</v>
      </c>
      <c r="T265" s="48">
        <v>30.0</v>
      </c>
      <c r="U265" s="48" t="s">
        <v>95</v>
      </c>
      <c r="V265" s="161">
        <f t="shared" si="1"/>
        <v>281400</v>
      </c>
      <c r="Y265" s="30"/>
      <c r="Z265" s="169">
        <f t="shared" si="2"/>
        <v>281400</v>
      </c>
      <c r="AA265" s="167">
        <f t="shared" si="3"/>
        <v>0</v>
      </c>
      <c r="AB265" s="161"/>
      <c r="AC265" s="161">
        <f t="shared" si="4"/>
        <v>281400</v>
      </c>
      <c r="AD265" s="161">
        <f t="shared" si="5"/>
        <v>0</v>
      </c>
      <c r="AE265" s="161">
        <f t="shared" si="6"/>
        <v>0</v>
      </c>
      <c r="AF265" s="167">
        <f t="shared" si="7"/>
        <v>0</v>
      </c>
      <c r="AG265" s="167">
        <f t="shared" si="8"/>
        <v>0</v>
      </c>
      <c r="AH265" s="159" t="s">
        <v>480</v>
      </c>
      <c r="AI265" s="158">
        <f t="shared" si="10"/>
        <v>2023</v>
      </c>
    </row>
    <row r="266" ht="12.75" customHeight="1">
      <c r="A266" s="48" t="s">
        <v>497</v>
      </c>
      <c r="B266" s="160" t="str">
        <f>iferror(VLOOKUP((LEFT(A266,6)),CUSTOMER_DETAILS,2,FALSE),"-")</f>
        <v>BAIDYANATH BIOFUELS PVT LIMITED</v>
      </c>
      <c r="C266" s="161" t="s">
        <v>89</v>
      </c>
      <c r="D266" s="191">
        <v>45214.0</v>
      </c>
      <c r="E266" s="161" t="s">
        <v>89</v>
      </c>
      <c r="F266" s="164" t="s">
        <v>493</v>
      </c>
      <c r="G266" s="30" t="s">
        <v>89</v>
      </c>
      <c r="H266" s="30" t="s">
        <v>89</v>
      </c>
      <c r="I266" s="48" t="s">
        <v>494</v>
      </c>
      <c r="J266" s="188">
        <f t="shared" si="12"/>
        <v>45214</v>
      </c>
      <c r="K266" s="48">
        <v>283.0</v>
      </c>
      <c r="L266" s="48" t="s">
        <v>108</v>
      </c>
      <c r="M266" s="48" t="s">
        <v>91</v>
      </c>
      <c r="N266" s="48" t="s">
        <v>135</v>
      </c>
      <c r="O266" s="30" t="s">
        <v>89</v>
      </c>
      <c r="P266" s="48" t="s">
        <v>498</v>
      </c>
      <c r="Q266" s="48" t="s">
        <v>496</v>
      </c>
      <c r="R266" s="161">
        <f>IFERROR(VLOOKUP(Q266,'PRODUCT TABLE'!$A$2:$B$26,2,FALSE),"-")</f>
        <v>4402</v>
      </c>
      <c r="S266" s="48">
        <v>5870.0</v>
      </c>
      <c r="T266" s="48">
        <v>30.0</v>
      </c>
      <c r="U266" s="48" t="s">
        <v>95</v>
      </c>
      <c r="V266" s="161">
        <f t="shared" si="1"/>
        <v>176100</v>
      </c>
      <c r="Y266" s="30"/>
      <c r="Z266" s="169">
        <f t="shared" si="2"/>
        <v>176100</v>
      </c>
      <c r="AA266" s="167">
        <f t="shared" si="3"/>
        <v>0</v>
      </c>
      <c r="AB266" s="161"/>
      <c r="AC266" s="161">
        <f t="shared" si="4"/>
        <v>176100</v>
      </c>
      <c r="AD266" s="161">
        <f t="shared" si="5"/>
        <v>0</v>
      </c>
      <c r="AE266" s="161">
        <f t="shared" si="6"/>
        <v>0</v>
      </c>
      <c r="AF266" s="167">
        <f t="shared" si="7"/>
        <v>0</v>
      </c>
      <c r="AG266" s="167">
        <f t="shared" si="8"/>
        <v>0</v>
      </c>
      <c r="AH266" s="159" t="s">
        <v>480</v>
      </c>
      <c r="AI266" s="158">
        <f t="shared" si="10"/>
        <v>2023</v>
      </c>
    </row>
    <row r="267" ht="12.75" customHeight="1">
      <c r="A267" s="48" t="s">
        <v>499</v>
      </c>
      <c r="B267" s="160" t="str">
        <f>iferror(VLOOKUP((LEFT(A267,6)),CUSTOMER_DETAILS,2,FALSE),"-")</f>
        <v>BAIDYANATH BIOFUELS PVT LIMITED</v>
      </c>
      <c r="C267" s="161" t="s">
        <v>89</v>
      </c>
      <c r="D267" s="191">
        <v>45215.0</v>
      </c>
      <c r="E267" s="175" t="s">
        <v>89</v>
      </c>
      <c r="F267" s="164" t="s">
        <v>493</v>
      </c>
      <c r="G267" s="30" t="s">
        <v>89</v>
      </c>
      <c r="H267" s="30" t="s">
        <v>89</v>
      </c>
      <c r="I267" s="48" t="s">
        <v>500</v>
      </c>
      <c r="J267" s="188">
        <f t="shared" si="12"/>
        <v>45215</v>
      </c>
      <c r="K267" s="48">
        <v>284.0</v>
      </c>
      <c r="L267" s="48" t="s">
        <v>108</v>
      </c>
      <c r="M267" s="48" t="s">
        <v>91</v>
      </c>
      <c r="N267" s="48" t="s">
        <v>135</v>
      </c>
      <c r="O267" s="30" t="s">
        <v>89</v>
      </c>
      <c r="P267" s="48" t="s">
        <v>501</v>
      </c>
      <c r="Q267" s="48" t="s">
        <v>502</v>
      </c>
      <c r="R267" s="161">
        <f>IFERROR(VLOOKUP(Q267,'PRODUCT TABLE'!$A$2:$B$26,2,FALSE),"-")</f>
        <v>1213</v>
      </c>
      <c r="S267" s="48">
        <v>19330.0</v>
      </c>
      <c r="T267" s="48">
        <v>5.0</v>
      </c>
      <c r="U267" s="48" t="s">
        <v>95</v>
      </c>
      <c r="V267" s="161">
        <f t="shared" si="1"/>
        <v>96650</v>
      </c>
      <c r="Y267" s="30"/>
      <c r="Z267" s="169">
        <f t="shared" si="2"/>
        <v>96650</v>
      </c>
      <c r="AA267" s="167">
        <f t="shared" si="3"/>
        <v>0</v>
      </c>
      <c r="AB267" s="161"/>
      <c r="AC267" s="161">
        <f t="shared" si="4"/>
        <v>96650</v>
      </c>
      <c r="AD267" s="161">
        <f t="shared" si="5"/>
        <v>0</v>
      </c>
      <c r="AE267" s="161">
        <f t="shared" si="6"/>
        <v>0</v>
      </c>
      <c r="AF267" s="167">
        <f t="shared" si="7"/>
        <v>0</v>
      </c>
      <c r="AG267" s="167">
        <f t="shared" si="8"/>
        <v>0</v>
      </c>
      <c r="AH267" s="159" t="s">
        <v>480</v>
      </c>
      <c r="AI267" s="158">
        <f t="shared" si="10"/>
        <v>2023</v>
      </c>
    </row>
    <row r="268" ht="12.75" customHeight="1">
      <c r="A268" s="48" t="s">
        <v>503</v>
      </c>
      <c r="B268" s="160" t="str">
        <f>iferror(VLOOKUP((LEFT(A268,6)),CUSTOMER_DETAILS,2,FALSE),"-")</f>
        <v>BAIDYANATH BIOFUELS PVT LIMITED</v>
      </c>
      <c r="C268" s="161" t="s">
        <v>89</v>
      </c>
      <c r="D268" s="191">
        <v>45215.0</v>
      </c>
      <c r="E268" s="161" t="s">
        <v>89</v>
      </c>
      <c r="F268" s="164" t="s">
        <v>493</v>
      </c>
      <c r="G268" s="30" t="s">
        <v>89</v>
      </c>
      <c r="H268" s="30" t="s">
        <v>89</v>
      </c>
      <c r="I268" s="48" t="s">
        <v>500</v>
      </c>
      <c r="J268" s="188">
        <f t="shared" si="12"/>
        <v>45215</v>
      </c>
      <c r="K268" s="48">
        <v>285.0</v>
      </c>
      <c r="L268" s="48" t="s">
        <v>108</v>
      </c>
      <c r="M268" s="48" t="s">
        <v>91</v>
      </c>
      <c r="N268" s="48" t="s">
        <v>135</v>
      </c>
      <c r="O268" s="30" t="s">
        <v>89</v>
      </c>
      <c r="P268" s="48" t="s">
        <v>504</v>
      </c>
      <c r="Q268" s="48" t="s">
        <v>502</v>
      </c>
      <c r="R268" s="161">
        <f>IFERROR(VLOOKUP(Q268,'PRODUCT TABLE'!$A$2:$B$26,2,FALSE),"-")</f>
        <v>1213</v>
      </c>
      <c r="S268" s="48">
        <v>8780.0</v>
      </c>
      <c r="T268" s="48">
        <v>5.0</v>
      </c>
      <c r="U268" s="48" t="s">
        <v>95</v>
      </c>
      <c r="V268" s="161">
        <f t="shared" si="1"/>
        <v>43900</v>
      </c>
      <c r="Y268" s="30"/>
      <c r="Z268" s="169">
        <f t="shared" si="2"/>
        <v>43900</v>
      </c>
      <c r="AA268" s="167">
        <f t="shared" si="3"/>
        <v>0</v>
      </c>
      <c r="AB268" s="161"/>
      <c r="AC268" s="161">
        <f t="shared" si="4"/>
        <v>43900</v>
      </c>
      <c r="AD268" s="161">
        <f t="shared" si="5"/>
        <v>0</v>
      </c>
      <c r="AE268" s="161">
        <f t="shared" si="6"/>
        <v>0</v>
      </c>
      <c r="AF268" s="167">
        <f t="shared" si="7"/>
        <v>0</v>
      </c>
      <c r="AG268" s="167">
        <f t="shared" si="8"/>
        <v>0</v>
      </c>
      <c r="AH268" s="159" t="s">
        <v>480</v>
      </c>
      <c r="AI268" s="158">
        <f t="shared" si="10"/>
        <v>2023</v>
      </c>
    </row>
    <row r="269" ht="12.75" customHeight="1">
      <c r="A269" s="48" t="s">
        <v>505</v>
      </c>
      <c r="B269" s="160" t="str">
        <f>iferror(VLOOKUP((LEFT(A269,6)),CUSTOMER_DETAILS,2,FALSE),"-")</f>
        <v>BAIDYANATH BIOFUELS PVT LIMITED</v>
      </c>
      <c r="C269" s="161" t="s">
        <v>89</v>
      </c>
      <c r="D269" s="191">
        <v>45216.0</v>
      </c>
      <c r="E269" s="161" t="s">
        <v>89</v>
      </c>
      <c r="F269" s="164" t="s">
        <v>493</v>
      </c>
      <c r="G269" s="30" t="s">
        <v>89</v>
      </c>
      <c r="H269" s="30" t="s">
        <v>89</v>
      </c>
      <c r="I269" s="48" t="s">
        <v>500</v>
      </c>
      <c r="J269" s="188">
        <f t="shared" si="12"/>
        <v>45216</v>
      </c>
      <c r="K269" s="48">
        <v>286.0</v>
      </c>
      <c r="L269" s="48" t="s">
        <v>108</v>
      </c>
      <c r="M269" s="48" t="s">
        <v>91</v>
      </c>
      <c r="N269" s="48" t="s">
        <v>135</v>
      </c>
      <c r="O269" s="30" t="s">
        <v>89</v>
      </c>
      <c r="P269" s="48" t="s">
        <v>506</v>
      </c>
      <c r="Q269" s="48" t="s">
        <v>502</v>
      </c>
      <c r="R269" s="161">
        <f>IFERROR(VLOOKUP(Q269,'PRODUCT TABLE'!$A$2:$B$26,2,FALSE),"-")</f>
        <v>1213</v>
      </c>
      <c r="S269" s="48">
        <v>27260.0</v>
      </c>
      <c r="T269" s="48">
        <v>5.0</v>
      </c>
      <c r="U269" s="48" t="s">
        <v>95</v>
      </c>
      <c r="V269" s="161">
        <f t="shared" si="1"/>
        <v>136300</v>
      </c>
      <c r="Y269" s="30"/>
      <c r="Z269" s="169">
        <f t="shared" si="2"/>
        <v>136300</v>
      </c>
      <c r="AA269" s="167">
        <f t="shared" si="3"/>
        <v>0</v>
      </c>
      <c r="AB269" s="161"/>
      <c r="AC269" s="161">
        <f t="shared" si="4"/>
        <v>136300</v>
      </c>
      <c r="AD269" s="161">
        <f t="shared" si="5"/>
        <v>0</v>
      </c>
      <c r="AE269" s="161">
        <f t="shared" si="6"/>
        <v>0</v>
      </c>
      <c r="AF269" s="167">
        <f t="shared" si="7"/>
        <v>0</v>
      </c>
      <c r="AG269" s="167">
        <f t="shared" si="8"/>
        <v>0</v>
      </c>
      <c r="AH269" s="159" t="s">
        <v>480</v>
      </c>
      <c r="AI269" s="158">
        <f t="shared" si="10"/>
        <v>2023</v>
      </c>
    </row>
    <row r="270" ht="12.75" customHeight="1">
      <c r="A270" s="48" t="s">
        <v>507</v>
      </c>
      <c r="B270" s="160" t="str">
        <f>iferror(VLOOKUP((LEFT(A270,6)),CUSTOMER_DETAILS,2,FALSE),"-")</f>
        <v>BAIDYANATH BIOFUELS PVT LIMITED</v>
      </c>
      <c r="C270" s="161" t="s">
        <v>89</v>
      </c>
      <c r="D270" s="191">
        <v>45217.0</v>
      </c>
      <c r="E270" s="161" t="s">
        <v>89</v>
      </c>
      <c r="F270" s="164" t="s">
        <v>493</v>
      </c>
      <c r="G270" s="30" t="s">
        <v>89</v>
      </c>
      <c r="H270" s="30" t="s">
        <v>89</v>
      </c>
      <c r="I270" s="48" t="s">
        <v>500</v>
      </c>
      <c r="J270" s="188">
        <f t="shared" si="12"/>
        <v>45217</v>
      </c>
      <c r="K270" s="48">
        <v>287.0</v>
      </c>
      <c r="L270" s="48" t="s">
        <v>108</v>
      </c>
      <c r="M270" s="48" t="s">
        <v>91</v>
      </c>
      <c r="N270" s="48" t="s">
        <v>135</v>
      </c>
      <c r="O270" s="30" t="s">
        <v>89</v>
      </c>
      <c r="P270" s="48" t="s">
        <v>508</v>
      </c>
      <c r="Q270" s="48" t="s">
        <v>502</v>
      </c>
      <c r="R270" s="161">
        <f>IFERROR(VLOOKUP(Q270,'PRODUCT TABLE'!$A$2:$B$26,2,FALSE),"-")</f>
        <v>1213</v>
      </c>
      <c r="S270" s="48">
        <v>29390.0</v>
      </c>
      <c r="T270" s="48">
        <v>5.0</v>
      </c>
      <c r="U270" s="48" t="s">
        <v>95</v>
      </c>
      <c r="V270" s="161">
        <f t="shared" si="1"/>
        <v>146950</v>
      </c>
      <c r="Y270" s="30"/>
      <c r="Z270" s="169">
        <f t="shared" si="2"/>
        <v>146950</v>
      </c>
      <c r="AA270" s="167">
        <f t="shared" si="3"/>
        <v>0</v>
      </c>
      <c r="AB270" s="161"/>
      <c r="AC270" s="161">
        <f t="shared" si="4"/>
        <v>146950</v>
      </c>
      <c r="AD270" s="161">
        <f t="shared" si="5"/>
        <v>0</v>
      </c>
      <c r="AE270" s="161">
        <f t="shared" si="6"/>
        <v>0</v>
      </c>
      <c r="AF270" s="167">
        <f t="shared" si="7"/>
        <v>0</v>
      </c>
      <c r="AG270" s="167">
        <f t="shared" si="8"/>
        <v>0</v>
      </c>
      <c r="AH270" s="159" t="s">
        <v>480</v>
      </c>
      <c r="AI270" s="158">
        <f t="shared" si="10"/>
        <v>2023</v>
      </c>
    </row>
    <row r="271" ht="12.75" customHeight="1">
      <c r="A271" s="48" t="s">
        <v>509</v>
      </c>
      <c r="B271" s="160" t="str">
        <f>iferror(VLOOKUP((LEFT(A271,6)),CUSTOMER_DETAILS,2,FALSE),"-")</f>
        <v>BAIDYANATH BIOFUELS PVT LIMITED</v>
      </c>
      <c r="C271" s="161" t="s">
        <v>89</v>
      </c>
      <c r="D271" s="191">
        <v>45218.0</v>
      </c>
      <c r="E271" s="161" t="s">
        <v>89</v>
      </c>
      <c r="F271" s="164" t="s">
        <v>493</v>
      </c>
      <c r="G271" s="30" t="s">
        <v>89</v>
      </c>
      <c r="H271" s="30" t="s">
        <v>89</v>
      </c>
      <c r="I271" s="48" t="s">
        <v>500</v>
      </c>
      <c r="J271" s="188">
        <f t="shared" si="12"/>
        <v>45218</v>
      </c>
      <c r="K271" s="48">
        <v>288.0</v>
      </c>
      <c r="L271" s="48" t="s">
        <v>108</v>
      </c>
      <c r="M271" s="48" t="s">
        <v>91</v>
      </c>
      <c r="N271" s="48" t="s">
        <v>135</v>
      </c>
      <c r="O271" s="30" t="s">
        <v>89</v>
      </c>
      <c r="P271" s="48" t="s">
        <v>510</v>
      </c>
      <c r="Q271" s="48" t="s">
        <v>502</v>
      </c>
      <c r="R271" s="161">
        <f>IFERROR(VLOOKUP(Q271,'PRODUCT TABLE'!$A$2:$B$26,2,FALSE),"-")</f>
        <v>1213</v>
      </c>
      <c r="S271" s="48">
        <v>8870.0</v>
      </c>
      <c r="T271" s="48">
        <v>5.0</v>
      </c>
      <c r="U271" s="48" t="s">
        <v>95</v>
      </c>
      <c r="V271" s="161">
        <f t="shared" si="1"/>
        <v>44350</v>
      </c>
      <c r="Y271" s="30"/>
      <c r="Z271" s="169">
        <f t="shared" si="2"/>
        <v>44350</v>
      </c>
      <c r="AA271" s="167">
        <f t="shared" si="3"/>
        <v>0</v>
      </c>
      <c r="AB271" s="161"/>
      <c r="AC271" s="161">
        <f t="shared" si="4"/>
        <v>44350</v>
      </c>
      <c r="AD271" s="161">
        <f t="shared" si="5"/>
        <v>0</v>
      </c>
      <c r="AE271" s="161">
        <f t="shared" si="6"/>
        <v>0</v>
      </c>
      <c r="AF271" s="167">
        <f t="shared" si="7"/>
        <v>0</v>
      </c>
      <c r="AG271" s="167">
        <f t="shared" si="8"/>
        <v>0</v>
      </c>
      <c r="AH271" s="159" t="s">
        <v>480</v>
      </c>
      <c r="AI271" s="158">
        <f t="shared" si="10"/>
        <v>2023</v>
      </c>
    </row>
    <row r="272" ht="12.75" customHeight="1">
      <c r="A272" s="48" t="s">
        <v>511</v>
      </c>
      <c r="B272" s="160" t="str">
        <f>iferror(VLOOKUP((LEFT(A272,6)),CUSTOMER_DETAILS,2,FALSE),"-")</f>
        <v>BAIDYANATH BIOFUELS PVT LIMITED</v>
      </c>
      <c r="C272" s="161" t="s">
        <v>89</v>
      </c>
      <c r="D272" s="191">
        <v>45219.0</v>
      </c>
      <c r="E272" s="161" t="s">
        <v>89</v>
      </c>
      <c r="F272" s="164" t="s">
        <v>512</v>
      </c>
      <c r="G272" s="30" t="s">
        <v>89</v>
      </c>
      <c r="H272" s="30" t="s">
        <v>89</v>
      </c>
      <c r="I272" s="48" t="s">
        <v>500</v>
      </c>
      <c r="J272" s="188">
        <f t="shared" si="12"/>
        <v>45219</v>
      </c>
      <c r="K272" s="48">
        <v>289.0</v>
      </c>
      <c r="L272" s="48" t="s">
        <v>108</v>
      </c>
      <c r="M272" s="48" t="s">
        <v>91</v>
      </c>
      <c r="N272" s="48" t="s">
        <v>135</v>
      </c>
      <c r="O272" s="30" t="s">
        <v>89</v>
      </c>
      <c r="P272" s="48" t="s">
        <v>510</v>
      </c>
      <c r="Q272" s="48" t="s">
        <v>502</v>
      </c>
      <c r="R272" s="161">
        <f>IFERROR(VLOOKUP(Q272,'PRODUCT TABLE'!$A$2:$B$26,2,FALSE),"-")</f>
        <v>1213</v>
      </c>
      <c r="S272" s="48">
        <v>9140.0</v>
      </c>
      <c r="T272" s="48">
        <v>5.0</v>
      </c>
      <c r="U272" s="48" t="s">
        <v>95</v>
      </c>
      <c r="V272" s="161">
        <f t="shared" si="1"/>
        <v>45700</v>
      </c>
      <c r="Y272" s="30"/>
      <c r="Z272" s="169">
        <f t="shared" si="2"/>
        <v>45700</v>
      </c>
      <c r="AA272" s="167">
        <f t="shared" si="3"/>
        <v>0</v>
      </c>
      <c r="AB272" s="161"/>
      <c r="AC272" s="161">
        <f t="shared" si="4"/>
        <v>45700</v>
      </c>
      <c r="AD272" s="161">
        <f t="shared" si="5"/>
        <v>0</v>
      </c>
      <c r="AE272" s="161">
        <f t="shared" si="6"/>
        <v>0</v>
      </c>
      <c r="AF272" s="167">
        <f t="shared" si="7"/>
        <v>0</v>
      </c>
      <c r="AG272" s="167">
        <f t="shared" si="8"/>
        <v>0</v>
      </c>
      <c r="AH272" s="159" t="s">
        <v>480</v>
      </c>
      <c r="AI272" s="158">
        <f t="shared" si="10"/>
        <v>2023</v>
      </c>
    </row>
    <row r="273" ht="12.75" customHeight="1">
      <c r="A273" s="48" t="s">
        <v>513</v>
      </c>
      <c r="B273" s="160" t="str">
        <f>iferror(VLOOKUP((LEFT(A273,6)),CUSTOMER_DETAILS,2,FALSE),"-")</f>
        <v>BAIDYANATH BIOFUELS PVT LIMITED</v>
      </c>
      <c r="C273" s="161" t="s">
        <v>89</v>
      </c>
      <c r="D273" s="191">
        <v>45220.0</v>
      </c>
      <c r="E273" s="161" t="s">
        <v>89</v>
      </c>
      <c r="F273" s="164" t="s">
        <v>512</v>
      </c>
      <c r="G273" s="30" t="s">
        <v>89</v>
      </c>
      <c r="H273" s="30" t="s">
        <v>89</v>
      </c>
      <c r="I273" s="48" t="s">
        <v>500</v>
      </c>
      <c r="J273" s="188">
        <f t="shared" si="12"/>
        <v>45220</v>
      </c>
      <c r="K273" s="48">
        <v>290.0</v>
      </c>
      <c r="L273" s="48" t="s">
        <v>108</v>
      </c>
      <c r="M273" s="48" t="s">
        <v>91</v>
      </c>
      <c r="N273" s="48" t="s">
        <v>135</v>
      </c>
      <c r="O273" s="30" t="s">
        <v>89</v>
      </c>
      <c r="P273" s="48" t="s">
        <v>514</v>
      </c>
      <c r="Q273" s="48" t="s">
        <v>502</v>
      </c>
      <c r="R273" s="161">
        <f>IFERROR(VLOOKUP(Q273,'PRODUCT TABLE'!$A$2:$B$26,2,FALSE),"-")</f>
        <v>1213</v>
      </c>
      <c r="S273" s="48">
        <v>8320.0</v>
      </c>
      <c r="T273" s="48">
        <v>5.0</v>
      </c>
      <c r="U273" s="48" t="s">
        <v>95</v>
      </c>
      <c r="V273" s="161">
        <f t="shared" si="1"/>
        <v>41600</v>
      </c>
      <c r="Y273" s="30"/>
      <c r="Z273" s="169">
        <f t="shared" si="2"/>
        <v>41600</v>
      </c>
      <c r="AA273" s="167">
        <f t="shared" si="3"/>
        <v>0</v>
      </c>
      <c r="AB273" s="161"/>
      <c r="AC273" s="161">
        <f t="shared" si="4"/>
        <v>41600</v>
      </c>
      <c r="AD273" s="161">
        <f t="shared" si="5"/>
        <v>0</v>
      </c>
      <c r="AE273" s="161">
        <f t="shared" si="6"/>
        <v>0</v>
      </c>
      <c r="AF273" s="167">
        <f t="shared" si="7"/>
        <v>0</v>
      </c>
      <c r="AG273" s="167">
        <f t="shared" si="8"/>
        <v>0</v>
      </c>
      <c r="AH273" s="159" t="s">
        <v>480</v>
      </c>
      <c r="AI273" s="158">
        <f t="shared" si="10"/>
        <v>2023</v>
      </c>
    </row>
    <row r="274" ht="12.75" customHeight="1">
      <c r="A274" s="48" t="s">
        <v>515</v>
      </c>
      <c r="B274" s="160" t="str">
        <f>iferror(VLOOKUP((LEFT(A274,6)),CUSTOMER_DETAILS,2,FALSE),"-")</f>
        <v>BAIDYANATH BIOFUELS PVT LIMITED</v>
      </c>
      <c r="C274" s="161" t="s">
        <v>89</v>
      </c>
      <c r="D274" s="191">
        <v>45220.0</v>
      </c>
      <c r="E274" s="161" t="s">
        <v>89</v>
      </c>
      <c r="F274" s="164" t="s">
        <v>512</v>
      </c>
      <c r="G274" s="30" t="s">
        <v>89</v>
      </c>
      <c r="H274" s="30" t="s">
        <v>89</v>
      </c>
      <c r="I274" s="48" t="s">
        <v>500</v>
      </c>
      <c r="J274" s="188">
        <f t="shared" si="12"/>
        <v>45220</v>
      </c>
      <c r="K274" s="48">
        <v>291.0</v>
      </c>
      <c r="L274" s="48" t="s">
        <v>108</v>
      </c>
      <c r="M274" s="48" t="s">
        <v>91</v>
      </c>
      <c r="N274" s="48" t="s">
        <v>135</v>
      </c>
      <c r="O274" s="30" t="s">
        <v>89</v>
      </c>
      <c r="P274" s="48" t="s">
        <v>510</v>
      </c>
      <c r="Q274" s="48" t="s">
        <v>502</v>
      </c>
      <c r="R274" s="161">
        <f>IFERROR(VLOOKUP(Q274,'PRODUCT TABLE'!$A$2:$B$26,2,FALSE),"-")</f>
        <v>1213</v>
      </c>
      <c r="S274" s="48">
        <v>7570.0</v>
      </c>
      <c r="T274" s="48">
        <v>5.0</v>
      </c>
      <c r="U274" s="48" t="s">
        <v>95</v>
      </c>
      <c r="V274" s="161">
        <f t="shared" si="1"/>
        <v>37850</v>
      </c>
      <c r="Y274" s="30"/>
      <c r="Z274" s="169">
        <f t="shared" si="2"/>
        <v>37850</v>
      </c>
      <c r="AA274" s="167">
        <f t="shared" si="3"/>
        <v>0</v>
      </c>
      <c r="AB274" s="161"/>
      <c r="AC274" s="161">
        <f t="shared" si="4"/>
        <v>37850</v>
      </c>
      <c r="AD274" s="161">
        <f t="shared" si="5"/>
        <v>0</v>
      </c>
      <c r="AE274" s="161">
        <f t="shared" si="6"/>
        <v>0</v>
      </c>
      <c r="AF274" s="167">
        <f t="shared" si="7"/>
        <v>0</v>
      </c>
      <c r="AG274" s="167">
        <f t="shared" si="8"/>
        <v>0</v>
      </c>
      <c r="AH274" s="159" t="s">
        <v>480</v>
      </c>
      <c r="AI274" s="158">
        <f t="shared" si="10"/>
        <v>2023</v>
      </c>
    </row>
    <row r="275" ht="12.75" customHeight="1">
      <c r="A275" s="48" t="s">
        <v>516</v>
      </c>
      <c r="B275" s="160" t="str">
        <f>iferror(VLOOKUP((LEFT(A275,6)),CUSTOMER_DETAILS,2,FALSE),"-")</f>
        <v>BAIDYANATH BIOFUELS PVT LIMITED</v>
      </c>
      <c r="C275" s="161" t="s">
        <v>89</v>
      </c>
      <c r="D275" s="191">
        <v>45220.0</v>
      </c>
      <c r="E275" s="161" t="s">
        <v>89</v>
      </c>
      <c r="F275" s="164" t="s">
        <v>512</v>
      </c>
      <c r="G275" s="30" t="s">
        <v>89</v>
      </c>
      <c r="H275" s="30" t="s">
        <v>89</v>
      </c>
      <c r="I275" s="48" t="s">
        <v>500</v>
      </c>
      <c r="J275" s="188">
        <f t="shared" si="12"/>
        <v>45220</v>
      </c>
      <c r="K275" s="48">
        <v>292.0</v>
      </c>
      <c r="L275" s="48" t="s">
        <v>108</v>
      </c>
      <c r="M275" s="48" t="s">
        <v>91</v>
      </c>
      <c r="N275" s="48" t="s">
        <v>135</v>
      </c>
      <c r="O275" s="30" t="s">
        <v>89</v>
      </c>
      <c r="P275" s="48" t="s">
        <v>517</v>
      </c>
      <c r="Q275" s="48" t="s">
        <v>502</v>
      </c>
      <c r="R275" s="161">
        <f>IFERROR(VLOOKUP(Q275,'PRODUCT TABLE'!$A$2:$B$26,2,FALSE),"-")</f>
        <v>1213</v>
      </c>
      <c r="S275" s="48">
        <v>7960.0</v>
      </c>
      <c r="T275" s="48">
        <v>5.0</v>
      </c>
      <c r="U275" s="48" t="s">
        <v>95</v>
      </c>
      <c r="V275" s="161">
        <f t="shared" si="1"/>
        <v>39800</v>
      </c>
      <c r="Y275" s="30"/>
      <c r="Z275" s="169">
        <f t="shared" si="2"/>
        <v>39800</v>
      </c>
      <c r="AA275" s="167">
        <f t="shared" si="3"/>
        <v>0</v>
      </c>
      <c r="AB275" s="161"/>
      <c r="AC275" s="161">
        <f t="shared" si="4"/>
        <v>39800</v>
      </c>
      <c r="AD275" s="161">
        <f t="shared" si="5"/>
        <v>0</v>
      </c>
      <c r="AE275" s="161">
        <f t="shared" si="6"/>
        <v>0</v>
      </c>
      <c r="AF275" s="167">
        <f t="shared" si="7"/>
        <v>0</v>
      </c>
      <c r="AG275" s="167">
        <f t="shared" si="8"/>
        <v>0</v>
      </c>
      <c r="AH275" s="159" t="s">
        <v>480</v>
      </c>
      <c r="AI275" s="158">
        <f t="shared" si="10"/>
        <v>2023</v>
      </c>
    </row>
    <row r="276" ht="12.75" customHeight="1">
      <c r="A276" s="48" t="s">
        <v>518</v>
      </c>
      <c r="B276" s="160" t="str">
        <f>iferror(VLOOKUP((LEFT(A276,6)),CUSTOMER_DETAILS,2,FALSE),"-")</f>
        <v>BAIDYANATH BIOFUELS PVT LIMITED</v>
      </c>
      <c r="C276" s="161" t="s">
        <v>89</v>
      </c>
      <c r="D276" s="191">
        <v>45221.0</v>
      </c>
      <c r="E276" s="161" t="s">
        <v>89</v>
      </c>
      <c r="F276" s="164" t="s">
        <v>512</v>
      </c>
      <c r="G276" s="30" t="s">
        <v>89</v>
      </c>
      <c r="H276" s="30" t="s">
        <v>89</v>
      </c>
      <c r="I276" s="48" t="s">
        <v>500</v>
      </c>
      <c r="J276" s="188">
        <f t="shared" si="12"/>
        <v>45221</v>
      </c>
      <c r="K276" s="48">
        <v>293.0</v>
      </c>
      <c r="L276" s="48" t="s">
        <v>108</v>
      </c>
      <c r="M276" s="48" t="s">
        <v>91</v>
      </c>
      <c r="N276" s="48" t="s">
        <v>135</v>
      </c>
      <c r="O276" s="30" t="s">
        <v>89</v>
      </c>
      <c r="P276" s="48" t="s">
        <v>519</v>
      </c>
      <c r="Q276" s="48" t="s">
        <v>502</v>
      </c>
      <c r="R276" s="161">
        <f>IFERROR(VLOOKUP(Q276,'PRODUCT TABLE'!$A$2:$B$26,2,FALSE),"-")</f>
        <v>1213</v>
      </c>
      <c r="S276" s="48">
        <v>13250.0</v>
      </c>
      <c r="T276" s="48">
        <v>5.0</v>
      </c>
      <c r="U276" s="48" t="s">
        <v>95</v>
      </c>
      <c r="V276" s="161">
        <f t="shared" si="1"/>
        <v>66250</v>
      </c>
      <c r="Y276" s="30"/>
      <c r="Z276" s="169">
        <f t="shared" si="2"/>
        <v>66250</v>
      </c>
      <c r="AA276" s="167">
        <f t="shared" si="3"/>
        <v>0</v>
      </c>
      <c r="AB276" s="161"/>
      <c r="AC276" s="161">
        <f t="shared" si="4"/>
        <v>66250</v>
      </c>
      <c r="AD276" s="161">
        <f t="shared" si="5"/>
        <v>0</v>
      </c>
      <c r="AE276" s="161">
        <f t="shared" si="6"/>
        <v>0</v>
      </c>
      <c r="AF276" s="167">
        <f t="shared" si="7"/>
        <v>0</v>
      </c>
      <c r="AG276" s="167">
        <f t="shared" si="8"/>
        <v>0</v>
      </c>
      <c r="AH276" s="159" t="s">
        <v>480</v>
      </c>
      <c r="AI276" s="158">
        <f t="shared" si="10"/>
        <v>2023</v>
      </c>
    </row>
    <row r="277" ht="12.75" customHeight="1">
      <c r="A277" s="48" t="s">
        <v>520</v>
      </c>
      <c r="B277" s="160" t="str">
        <f>iferror(VLOOKUP((LEFT(A277,6)),CUSTOMER_DETAILS,2,FALSE),"-")</f>
        <v>BAIDYANATH BIOFUELS PVT LIMITED</v>
      </c>
      <c r="C277" s="161" t="s">
        <v>89</v>
      </c>
      <c r="D277" s="191">
        <v>45222.0</v>
      </c>
      <c r="E277" s="161" t="s">
        <v>89</v>
      </c>
      <c r="F277" s="164" t="s">
        <v>512</v>
      </c>
      <c r="G277" s="30" t="s">
        <v>89</v>
      </c>
      <c r="H277" s="30" t="s">
        <v>89</v>
      </c>
      <c r="I277" s="48" t="s">
        <v>500</v>
      </c>
      <c r="J277" s="188">
        <f t="shared" si="12"/>
        <v>45222</v>
      </c>
      <c r="K277" s="48">
        <v>294.0</v>
      </c>
      <c r="L277" s="48" t="s">
        <v>108</v>
      </c>
      <c r="M277" s="48" t="s">
        <v>91</v>
      </c>
      <c r="N277" s="48" t="s">
        <v>135</v>
      </c>
      <c r="O277" s="30" t="s">
        <v>89</v>
      </c>
      <c r="P277" s="48" t="s">
        <v>521</v>
      </c>
      <c r="Q277" s="48" t="s">
        <v>502</v>
      </c>
      <c r="R277" s="161">
        <f>IFERROR(VLOOKUP(Q277,'PRODUCT TABLE'!$A$2:$B$26,2,FALSE),"-")</f>
        <v>1213</v>
      </c>
      <c r="S277" s="48">
        <v>8060.0</v>
      </c>
      <c r="T277" s="48">
        <v>5.0</v>
      </c>
      <c r="U277" s="48" t="s">
        <v>95</v>
      </c>
      <c r="V277" s="161">
        <f t="shared" si="1"/>
        <v>40300</v>
      </c>
      <c r="Y277" s="30"/>
      <c r="Z277" s="169">
        <f t="shared" si="2"/>
        <v>40300</v>
      </c>
      <c r="AA277" s="167">
        <f t="shared" si="3"/>
        <v>0</v>
      </c>
      <c r="AB277" s="161"/>
      <c r="AC277" s="161">
        <f t="shared" si="4"/>
        <v>40300</v>
      </c>
      <c r="AD277" s="161">
        <f t="shared" si="5"/>
        <v>0</v>
      </c>
      <c r="AE277" s="161">
        <f t="shared" si="6"/>
        <v>0</v>
      </c>
      <c r="AF277" s="167">
        <f t="shared" si="7"/>
        <v>0</v>
      </c>
      <c r="AG277" s="167">
        <f t="shared" si="8"/>
        <v>0</v>
      </c>
      <c r="AH277" s="159" t="s">
        <v>480</v>
      </c>
      <c r="AI277" s="158">
        <f t="shared" si="10"/>
        <v>2023</v>
      </c>
    </row>
    <row r="278" ht="12.75" customHeight="1">
      <c r="A278" s="48" t="s">
        <v>522</v>
      </c>
      <c r="B278" s="160" t="str">
        <f>iferror(VLOOKUP((LEFT(A278,6)),CUSTOMER_DETAILS,2,FALSE),"-")</f>
        <v>BAIDYANATH BIOFUELS PVT LIMITED</v>
      </c>
      <c r="C278" s="161" t="s">
        <v>89</v>
      </c>
      <c r="D278" s="191">
        <v>45222.0</v>
      </c>
      <c r="E278" s="161" t="s">
        <v>89</v>
      </c>
      <c r="F278" s="164" t="s">
        <v>512</v>
      </c>
      <c r="G278" s="30" t="s">
        <v>89</v>
      </c>
      <c r="H278" s="30" t="s">
        <v>89</v>
      </c>
      <c r="I278" s="48" t="s">
        <v>500</v>
      </c>
      <c r="J278" s="188">
        <f t="shared" si="12"/>
        <v>45222</v>
      </c>
      <c r="K278" s="48">
        <v>295.0</v>
      </c>
      <c r="L278" s="48" t="s">
        <v>108</v>
      </c>
      <c r="M278" s="48" t="s">
        <v>91</v>
      </c>
      <c r="N278" s="48" t="s">
        <v>135</v>
      </c>
      <c r="O278" s="30" t="s">
        <v>89</v>
      </c>
      <c r="P278" s="48" t="s">
        <v>517</v>
      </c>
      <c r="Q278" s="48" t="s">
        <v>502</v>
      </c>
      <c r="R278" s="161">
        <f>IFERROR(VLOOKUP(Q278,'PRODUCT TABLE'!$A$2:$B$26,2,FALSE),"-")</f>
        <v>1213</v>
      </c>
      <c r="S278" s="48">
        <v>10670.0</v>
      </c>
      <c r="T278" s="48">
        <v>5.0</v>
      </c>
      <c r="U278" s="48" t="s">
        <v>95</v>
      </c>
      <c r="V278" s="161">
        <f t="shared" si="1"/>
        <v>53350</v>
      </c>
      <c r="Y278" s="30"/>
      <c r="Z278" s="169">
        <f t="shared" si="2"/>
        <v>53350</v>
      </c>
      <c r="AA278" s="167">
        <f t="shared" si="3"/>
        <v>0</v>
      </c>
      <c r="AB278" s="161"/>
      <c r="AC278" s="161">
        <f t="shared" si="4"/>
        <v>53350</v>
      </c>
      <c r="AD278" s="161">
        <f t="shared" si="5"/>
        <v>0</v>
      </c>
      <c r="AE278" s="161">
        <f t="shared" si="6"/>
        <v>0</v>
      </c>
      <c r="AF278" s="167">
        <f t="shared" si="7"/>
        <v>0</v>
      </c>
      <c r="AG278" s="167">
        <f t="shared" si="8"/>
        <v>0</v>
      </c>
      <c r="AH278" s="159" t="s">
        <v>480</v>
      </c>
      <c r="AI278" s="158">
        <f t="shared" si="10"/>
        <v>2023</v>
      </c>
    </row>
    <row r="279" ht="12.75" customHeight="1">
      <c r="A279" s="48" t="s">
        <v>523</v>
      </c>
      <c r="B279" s="160" t="str">
        <f>iferror(VLOOKUP((LEFT(A279,6)),CUSTOMER_DETAILS,2,FALSE),"-")</f>
        <v>BAIDYANATH BIOFUELS PVT LIMITED</v>
      </c>
      <c r="C279" s="161" t="s">
        <v>89</v>
      </c>
      <c r="D279" s="191">
        <v>45224.0</v>
      </c>
      <c r="E279" s="161" t="s">
        <v>89</v>
      </c>
      <c r="F279" s="164" t="s">
        <v>512</v>
      </c>
      <c r="G279" s="30" t="s">
        <v>89</v>
      </c>
      <c r="H279" s="30" t="s">
        <v>89</v>
      </c>
      <c r="I279" s="48" t="s">
        <v>500</v>
      </c>
      <c r="J279" s="188">
        <f t="shared" si="12"/>
        <v>45224</v>
      </c>
      <c r="K279" s="48">
        <v>296.0</v>
      </c>
      <c r="L279" s="48" t="s">
        <v>108</v>
      </c>
      <c r="M279" s="48" t="s">
        <v>91</v>
      </c>
      <c r="N279" s="48" t="s">
        <v>135</v>
      </c>
      <c r="O279" s="30" t="s">
        <v>89</v>
      </c>
      <c r="P279" s="48" t="s">
        <v>524</v>
      </c>
      <c r="Q279" s="48" t="s">
        <v>502</v>
      </c>
      <c r="R279" s="161">
        <f>IFERROR(VLOOKUP(Q279,'PRODUCT TABLE'!$A$2:$B$26,2,FALSE),"-")</f>
        <v>1213</v>
      </c>
      <c r="S279" s="48">
        <v>16520.0</v>
      </c>
      <c r="T279" s="48">
        <v>5.0</v>
      </c>
      <c r="U279" s="48" t="s">
        <v>95</v>
      </c>
      <c r="V279" s="161">
        <f t="shared" si="1"/>
        <v>82600</v>
      </c>
      <c r="Y279" s="30"/>
      <c r="Z279" s="169">
        <f t="shared" si="2"/>
        <v>82600</v>
      </c>
      <c r="AA279" s="167">
        <f t="shared" si="3"/>
        <v>0</v>
      </c>
      <c r="AB279" s="161"/>
      <c r="AC279" s="161">
        <f t="shared" si="4"/>
        <v>82600</v>
      </c>
      <c r="AD279" s="161">
        <f t="shared" si="5"/>
        <v>0</v>
      </c>
      <c r="AE279" s="161">
        <f t="shared" si="6"/>
        <v>0</v>
      </c>
      <c r="AF279" s="167">
        <f t="shared" si="7"/>
        <v>0</v>
      </c>
      <c r="AG279" s="167">
        <f t="shared" si="8"/>
        <v>0</v>
      </c>
      <c r="AH279" s="159" t="s">
        <v>480</v>
      </c>
      <c r="AI279" s="158">
        <f t="shared" si="10"/>
        <v>2023</v>
      </c>
    </row>
    <row r="280" ht="12.75" customHeight="1">
      <c r="A280" s="48" t="s">
        <v>525</v>
      </c>
      <c r="B280" s="160" t="str">
        <f>iferror(VLOOKUP((LEFT(A280,6)),CUSTOMER_DETAILS,2,FALSE),"-")</f>
        <v>BAIDYANATH BIOFUELS PVT LIMITED</v>
      </c>
      <c r="C280" s="161" t="s">
        <v>89</v>
      </c>
      <c r="D280" s="196">
        <v>45224.0</v>
      </c>
      <c r="E280" s="161" t="s">
        <v>89</v>
      </c>
      <c r="F280" s="164" t="s">
        <v>512</v>
      </c>
      <c r="G280" s="30" t="s">
        <v>89</v>
      </c>
      <c r="H280" s="30" t="s">
        <v>89</v>
      </c>
      <c r="I280" s="48" t="s">
        <v>500</v>
      </c>
      <c r="J280" s="188">
        <f t="shared" si="12"/>
        <v>45224</v>
      </c>
      <c r="K280" s="48">
        <v>297.0</v>
      </c>
      <c r="L280" s="48" t="s">
        <v>108</v>
      </c>
      <c r="M280" s="48" t="s">
        <v>91</v>
      </c>
      <c r="N280" s="48" t="s">
        <v>135</v>
      </c>
      <c r="O280" s="30" t="s">
        <v>89</v>
      </c>
      <c r="P280" s="48" t="s">
        <v>521</v>
      </c>
      <c r="Q280" s="48" t="s">
        <v>502</v>
      </c>
      <c r="R280" s="161">
        <f>IFERROR(VLOOKUP(Q280,'PRODUCT TABLE'!$A$2:$B$26,2,FALSE),"-")</f>
        <v>1213</v>
      </c>
      <c r="S280" s="48">
        <v>8330.0</v>
      </c>
      <c r="T280" s="48">
        <v>5.0</v>
      </c>
      <c r="U280" s="48" t="s">
        <v>95</v>
      </c>
      <c r="V280" s="161">
        <f t="shared" si="1"/>
        <v>41650</v>
      </c>
      <c r="Y280" s="30"/>
      <c r="Z280" s="169">
        <f t="shared" si="2"/>
        <v>41650</v>
      </c>
      <c r="AA280" s="167">
        <f t="shared" si="3"/>
        <v>0</v>
      </c>
      <c r="AB280" s="161"/>
      <c r="AC280" s="161">
        <f t="shared" si="4"/>
        <v>41650</v>
      </c>
      <c r="AD280" s="161">
        <f t="shared" si="5"/>
        <v>0</v>
      </c>
      <c r="AE280" s="161">
        <f t="shared" si="6"/>
        <v>0</v>
      </c>
      <c r="AF280" s="167">
        <f t="shared" si="7"/>
        <v>0</v>
      </c>
      <c r="AG280" s="167">
        <f t="shared" si="8"/>
        <v>0</v>
      </c>
      <c r="AH280" s="159" t="s">
        <v>480</v>
      </c>
      <c r="AI280" s="158">
        <f t="shared" si="10"/>
        <v>2023</v>
      </c>
    </row>
    <row r="281" ht="12.75" customHeight="1">
      <c r="A281" s="48" t="s">
        <v>526</v>
      </c>
      <c r="B281" s="160" t="str">
        <f>iferror(VLOOKUP((LEFT(A281,6)),CUSTOMER_DETAILS,2,FALSE),"-")</f>
        <v>BAIDYANATH BIOFUELS PVT LIMITED</v>
      </c>
      <c r="C281" s="161" t="s">
        <v>89</v>
      </c>
      <c r="D281" s="196">
        <v>45224.0</v>
      </c>
      <c r="E281" s="161" t="s">
        <v>89</v>
      </c>
      <c r="F281" s="164" t="s">
        <v>512</v>
      </c>
      <c r="G281" s="30" t="s">
        <v>89</v>
      </c>
      <c r="H281" s="30" t="s">
        <v>89</v>
      </c>
      <c r="I281" s="48" t="s">
        <v>500</v>
      </c>
      <c r="J281" s="188">
        <f t="shared" si="12"/>
        <v>45224</v>
      </c>
      <c r="K281" s="48">
        <v>298.0</v>
      </c>
      <c r="L281" s="48" t="s">
        <v>108</v>
      </c>
      <c r="M281" s="48" t="s">
        <v>91</v>
      </c>
      <c r="N281" s="48" t="s">
        <v>135</v>
      </c>
      <c r="O281" s="30" t="s">
        <v>89</v>
      </c>
      <c r="P281" s="48" t="s">
        <v>504</v>
      </c>
      <c r="Q281" s="48" t="s">
        <v>502</v>
      </c>
      <c r="R281" s="161">
        <f>IFERROR(VLOOKUP(Q281,'PRODUCT TABLE'!$A$2:$B$26,2,FALSE),"-")</f>
        <v>1213</v>
      </c>
      <c r="S281" s="48">
        <v>9620.0</v>
      </c>
      <c r="T281" s="48">
        <v>5.0</v>
      </c>
      <c r="U281" s="48" t="s">
        <v>95</v>
      </c>
      <c r="V281" s="161">
        <f t="shared" si="1"/>
        <v>48100</v>
      </c>
      <c r="Y281" s="30"/>
      <c r="Z281" s="169">
        <f t="shared" si="2"/>
        <v>48100</v>
      </c>
      <c r="AA281" s="167">
        <f t="shared" si="3"/>
        <v>0</v>
      </c>
      <c r="AB281" s="161"/>
      <c r="AC281" s="161">
        <f t="shared" si="4"/>
        <v>48100</v>
      </c>
      <c r="AD281" s="161">
        <f t="shared" si="5"/>
        <v>0</v>
      </c>
      <c r="AE281" s="161">
        <f t="shared" si="6"/>
        <v>0</v>
      </c>
      <c r="AF281" s="167">
        <f t="shared" si="7"/>
        <v>0</v>
      </c>
      <c r="AG281" s="167">
        <f t="shared" si="8"/>
        <v>0</v>
      </c>
      <c r="AH281" s="159" t="s">
        <v>480</v>
      </c>
      <c r="AI281" s="158">
        <f t="shared" si="10"/>
        <v>2023</v>
      </c>
    </row>
    <row r="282" ht="12.75" customHeight="1">
      <c r="A282" s="48" t="s">
        <v>527</v>
      </c>
      <c r="B282" s="160" t="str">
        <f>iferror(VLOOKUP((LEFT(A282,6)),CUSTOMER_DETAILS,2,FALSE),"-")</f>
        <v>BAIDYANATH BIOFUELS PVT LIMITED</v>
      </c>
      <c r="C282" s="161" t="s">
        <v>89</v>
      </c>
      <c r="D282" s="196">
        <v>45224.0</v>
      </c>
      <c r="E282" s="161"/>
      <c r="F282" s="164" t="s">
        <v>512</v>
      </c>
      <c r="G282" s="30" t="s">
        <v>89</v>
      </c>
      <c r="H282" s="30" t="s">
        <v>89</v>
      </c>
      <c r="I282" s="48" t="s">
        <v>500</v>
      </c>
      <c r="J282" s="197">
        <v>45224.0</v>
      </c>
      <c r="K282" s="48">
        <v>299.0</v>
      </c>
      <c r="L282" s="48" t="s">
        <v>108</v>
      </c>
      <c r="M282" s="48" t="s">
        <v>91</v>
      </c>
      <c r="N282" s="48" t="s">
        <v>135</v>
      </c>
      <c r="O282" s="30" t="s">
        <v>89</v>
      </c>
      <c r="P282" s="48" t="s">
        <v>514</v>
      </c>
      <c r="Q282" s="48" t="s">
        <v>502</v>
      </c>
      <c r="R282" s="161">
        <f>IFERROR(VLOOKUP(Q282,'PRODUCT TABLE'!$A$2:$B$26,2,FALSE),"-")</f>
        <v>1213</v>
      </c>
      <c r="S282" s="48">
        <v>8150.0</v>
      </c>
      <c r="T282" s="48">
        <v>5.0</v>
      </c>
      <c r="U282" s="48" t="s">
        <v>95</v>
      </c>
      <c r="V282" s="161">
        <f t="shared" si="1"/>
        <v>40750</v>
      </c>
      <c r="Y282" s="30"/>
      <c r="Z282" s="169">
        <f t="shared" si="2"/>
        <v>40750</v>
      </c>
      <c r="AA282" s="167">
        <f t="shared" si="3"/>
        <v>0</v>
      </c>
      <c r="AB282" s="161"/>
      <c r="AC282" s="161">
        <f t="shared" si="4"/>
        <v>40750</v>
      </c>
      <c r="AD282" s="161">
        <f t="shared" si="5"/>
        <v>0</v>
      </c>
      <c r="AE282" s="161">
        <f t="shared" si="6"/>
        <v>0</v>
      </c>
      <c r="AF282" s="167">
        <f t="shared" si="7"/>
        <v>0</v>
      </c>
      <c r="AG282" s="167">
        <f t="shared" si="8"/>
        <v>0</v>
      </c>
      <c r="AH282" s="159" t="s">
        <v>480</v>
      </c>
      <c r="AI282" s="158">
        <f t="shared" si="10"/>
        <v>2023</v>
      </c>
    </row>
    <row r="283" ht="12.75" customHeight="1">
      <c r="A283" s="48" t="s">
        <v>528</v>
      </c>
      <c r="B283" s="160" t="str">
        <f>iferror(VLOOKUP((LEFT(A283,6)),CUSTOMER_DETAILS,2,FALSE),"-")</f>
        <v>NJ RENEWABLE ENERGY PVT LIMITED </v>
      </c>
      <c r="C283" s="161" t="s">
        <v>89</v>
      </c>
      <c r="D283" s="191">
        <v>45232.0</v>
      </c>
      <c r="E283" s="161" t="s">
        <v>89</v>
      </c>
      <c r="F283" s="30" t="s">
        <v>89</v>
      </c>
      <c r="G283" s="30" t="s">
        <v>89</v>
      </c>
      <c r="H283" s="30" t="s">
        <v>89</v>
      </c>
      <c r="I283" s="48" t="s">
        <v>108</v>
      </c>
      <c r="J283" s="188">
        <f t="shared" ref="J283:J348" si="13">D283</f>
        <v>45232</v>
      </c>
      <c r="K283" s="48">
        <v>300.0</v>
      </c>
      <c r="L283" s="48" t="s">
        <v>108</v>
      </c>
      <c r="M283" s="48" t="s">
        <v>91</v>
      </c>
      <c r="N283" s="48" t="s">
        <v>135</v>
      </c>
      <c r="O283" s="30" t="s">
        <v>89</v>
      </c>
      <c r="P283" s="48" t="s">
        <v>529</v>
      </c>
      <c r="Q283" s="48" t="s">
        <v>405</v>
      </c>
      <c r="R283" s="161">
        <f>IFERROR(VLOOKUP(Q283,'PRODUCT TABLE'!$A$2:$B$26,2,FALSE),"-")</f>
        <v>44011010</v>
      </c>
      <c r="S283" s="48">
        <v>15245.0</v>
      </c>
      <c r="T283" s="48">
        <v>9.0</v>
      </c>
      <c r="U283" s="48" t="s">
        <v>95</v>
      </c>
      <c r="V283" s="161">
        <f t="shared" si="1"/>
        <v>137205</v>
      </c>
      <c r="W283" s="189">
        <v>0.025</v>
      </c>
      <c r="X283" s="189">
        <v>0.025</v>
      </c>
      <c r="Y283" s="30"/>
      <c r="Z283" s="169">
        <f t="shared" si="2"/>
        <v>144065</v>
      </c>
      <c r="AA283" s="167">
        <f t="shared" si="3"/>
        <v>-0.25</v>
      </c>
      <c r="AB283" s="161"/>
      <c r="AC283" s="161">
        <f t="shared" si="4"/>
        <v>137205</v>
      </c>
      <c r="AD283" s="161">
        <f t="shared" si="5"/>
        <v>3430.125</v>
      </c>
      <c r="AE283" s="161">
        <f t="shared" si="6"/>
        <v>3430.125</v>
      </c>
      <c r="AF283" s="167">
        <f t="shared" si="7"/>
        <v>0</v>
      </c>
      <c r="AG283" s="167">
        <f t="shared" si="8"/>
        <v>6860.25</v>
      </c>
      <c r="AH283" s="159" t="s">
        <v>530</v>
      </c>
      <c r="AI283" s="158">
        <f t="shared" si="10"/>
        <v>2023</v>
      </c>
    </row>
    <row r="284" ht="12.75" customHeight="1">
      <c r="A284" s="48" t="s">
        <v>531</v>
      </c>
      <c r="B284" s="160" t="str">
        <f>iferror(VLOOKUP((LEFT(A284,6)),CUSTOMER_DETAILS,2,FALSE),"-")</f>
        <v>AERO AGRO CHEMICAL INDUSTRIES</v>
      </c>
      <c r="C284" s="161" t="s">
        <v>89</v>
      </c>
      <c r="D284" s="191">
        <v>45235.0</v>
      </c>
      <c r="E284" s="161" t="s">
        <v>89</v>
      </c>
      <c r="F284" s="30" t="s">
        <v>89</v>
      </c>
      <c r="G284" s="30" t="s">
        <v>89</v>
      </c>
      <c r="H284" s="30" t="s">
        <v>89</v>
      </c>
      <c r="I284" s="48" t="s">
        <v>108</v>
      </c>
      <c r="J284" s="188">
        <f t="shared" si="13"/>
        <v>45235</v>
      </c>
      <c r="K284" s="48">
        <v>301.0</v>
      </c>
      <c r="L284" s="48" t="s">
        <v>108</v>
      </c>
      <c r="M284" s="48" t="s">
        <v>532</v>
      </c>
      <c r="N284" s="48" t="s">
        <v>478</v>
      </c>
      <c r="O284" s="30" t="s">
        <v>89</v>
      </c>
      <c r="P284" s="48" t="s">
        <v>533</v>
      </c>
      <c r="Q284" s="48" t="s">
        <v>117</v>
      </c>
      <c r="R284" s="161">
        <f>IFERROR(VLOOKUP(Q284,'PRODUCT TABLE'!$A$2:$B$26,2,FALSE),"-")</f>
        <v>44011090</v>
      </c>
      <c r="S284" s="48">
        <v>10950.0</v>
      </c>
      <c r="T284" s="48">
        <v>11.05</v>
      </c>
      <c r="U284" s="48" t="s">
        <v>95</v>
      </c>
      <c r="V284" s="161">
        <f t="shared" si="1"/>
        <v>120997.5</v>
      </c>
      <c r="Y284" s="186">
        <v>0.05</v>
      </c>
      <c r="Z284" s="169">
        <f t="shared" si="2"/>
        <v>143047</v>
      </c>
      <c r="AA284" s="167">
        <f t="shared" si="3"/>
        <v>-0.375</v>
      </c>
      <c r="AB284" s="195">
        <v>16000.0</v>
      </c>
      <c r="AC284" s="161">
        <f t="shared" si="4"/>
        <v>120997.5</v>
      </c>
      <c r="AD284" s="161">
        <f t="shared" si="5"/>
        <v>0</v>
      </c>
      <c r="AE284" s="161">
        <f t="shared" si="6"/>
        <v>0</v>
      </c>
      <c r="AF284" s="167">
        <f t="shared" si="7"/>
        <v>6049.875</v>
      </c>
      <c r="AG284" s="167">
        <f t="shared" si="8"/>
        <v>6049.875</v>
      </c>
      <c r="AH284" s="159" t="s">
        <v>530</v>
      </c>
      <c r="AI284" s="158">
        <f t="shared" si="10"/>
        <v>2023</v>
      </c>
    </row>
    <row r="285" ht="12.75" customHeight="1">
      <c r="A285" s="48" t="s">
        <v>534</v>
      </c>
      <c r="B285" s="160" t="str">
        <f>iferror(VLOOKUP((LEFT(A285,6)),CUSTOMER_DETAILS,2,FALSE),"-")</f>
        <v>NJ RENEWABLE ENERGY PVT LIMITED </v>
      </c>
      <c r="C285" s="161" t="s">
        <v>89</v>
      </c>
      <c r="D285" s="191">
        <v>45237.0</v>
      </c>
      <c r="E285" s="161" t="s">
        <v>89</v>
      </c>
      <c r="F285" s="30" t="s">
        <v>89</v>
      </c>
      <c r="G285" s="30" t="s">
        <v>89</v>
      </c>
      <c r="H285" s="30" t="s">
        <v>89</v>
      </c>
      <c r="I285" s="48" t="s">
        <v>108</v>
      </c>
      <c r="J285" s="188">
        <f t="shared" si="13"/>
        <v>45237</v>
      </c>
      <c r="K285" s="48">
        <v>302.0</v>
      </c>
      <c r="L285" s="48" t="s">
        <v>108</v>
      </c>
      <c r="M285" s="48" t="s">
        <v>91</v>
      </c>
      <c r="N285" s="48" t="s">
        <v>135</v>
      </c>
      <c r="O285" s="30" t="s">
        <v>89</v>
      </c>
      <c r="P285" s="48" t="s">
        <v>535</v>
      </c>
      <c r="Q285" s="48" t="s">
        <v>405</v>
      </c>
      <c r="R285" s="161">
        <f>IFERROR(VLOOKUP(Q285,'PRODUCT TABLE'!$A$2:$B$26,2,FALSE),"-")</f>
        <v>44011010</v>
      </c>
      <c r="S285" s="48">
        <v>23175.0</v>
      </c>
      <c r="T285" s="48">
        <v>9.0</v>
      </c>
      <c r="U285" s="48" t="s">
        <v>95</v>
      </c>
      <c r="V285" s="161">
        <f t="shared" si="1"/>
        <v>208575</v>
      </c>
      <c r="W285" s="189">
        <v>0.025</v>
      </c>
      <c r="X285" s="189">
        <v>0.025</v>
      </c>
      <c r="Y285" s="30"/>
      <c r="Z285" s="169">
        <f t="shared" si="2"/>
        <v>219004</v>
      </c>
      <c r="AA285" s="167">
        <f t="shared" si="3"/>
        <v>0.25</v>
      </c>
      <c r="AB285" s="161"/>
      <c r="AC285" s="161">
        <f t="shared" si="4"/>
        <v>208575</v>
      </c>
      <c r="AD285" s="161">
        <f t="shared" si="5"/>
        <v>5214.375</v>
      </c>
      <c r="AE285" s="161">
        <f t="shared" si="6"/>
        <v>5214.375</v>
      </c>
      <c r="AF285" s="167">
        <f t="shared" si="7"/>
        <v>0</v>
      </c>
      <c r="AG285" s="167">
        <f t="shared" si="8"/>
        <v>10428.75</v>
      </c>
      <c r="AH285" s="159" t="s">
        <v>530</v>
      </c>
      <c r="AI285" s="158">
        <f t="shared" si="10"/>
        <v>2023</v>
      </c>
    </row>
    <row r="286" ht="12.75" customHeight="1">
      <c r="A286" s="48" t="s">
        <v>536</v>
      </c>
      <c r="B286" s="160" t="str">
        <f>iferror(VLOOKUP((LEFT(A286,6)),CUSTOMER_DETAILS,2,FALSE),"-")</f>
        <v>SAI KALYANI AGENCY</v>
      </c>
      <c r="C286" s="161" t="s">
        <v>89</v>
      </c>
      <c r="D286" s="191">
        <v>45242.0</v>
      </c>
      <c r="E286" s="161" t="s">
        <v>89</v>
      </c>
      <c r="F286" s="30" t="s">
        <v>89</v>
      </c>
      <c r="G286" s="30" t="s">
        <v>89</v>
      </c>
      <c r="H286" s="30" t="s">
        <v>89</v>
      </c>
      <c r="I286" s="48" t="s">
        <v>108</v>
      </c>
      <c r="J286" s="188">
        <f t="shared" si="13"/>
        <v>45242</v>
      </c>
      <c r="K286" s="48">
        <v>303.0</v>
      </c>
      <c r="L286" s="48" t="s">
        <v>108</v>
      </c>
      <c r="M286" s="48" t="s">
        <v>91</v>
      </c>
      <c r="N286" s="48" t="s">
        <v>369</v>
      </c>
      <c r="O286" s="30" t="s">
        <v>89</v>
      </c>
      <c r="P286" s="48" t="s">
        <v>322</v>
      </c>
      <c r="Q286" s="48" t="s">
        <v>233</v>
      </c>
      <c r="R286" s="161">
        <f>IFERROR(VLOOKUP(Q286,'PRODUCT TABLE'!$A$2:$B$26,2,FALSE),"-")</f>
        <v>44011090</v>
      </c>
      <c r="S286" s="48">
        <v>23170.0</v>
      </c>
      <c r="T286" s="48">
        <v>14.0</v>
      </c>
      <c r="U286" s="48" t="s">
        <v>95</v>
      </c>
      <c r="V286" s="161">
        <f t="shared" si="1"/>
        <v>324380</v>
      </c>
      <c r="W286" s="189"/>
      <c r="X286" s="189"/>
      <c r="Y286" s="186">
        <v>0.05</v>
      </c>
      <c r="Z286" s="169">
        <f t="shared" si="2"/>
        <v>340599</v>
      </c>
      <c r="AA286" s="167">
        <f t="shared" si="3"/>
        <v>0</v>
      </c>
      <c r="AB286" s="161"/>
      <c r="AC286" s="161">
        <f t="shared" si="4"/>
        <v>324380</v>
      </c>
      <c r="AD286" s="161">
        <f t="shared" si="5"/>
        <v>0</v>
      </c>
      <c r="AE286" s="161">
        <f t="shared" si="6"/>
        <v>0</v>
      </c>
      <c r="AF286" s="167">
        <f t="shared" si="7"/>
        <v>16219</v>
      </c>
      <c r="AG286" s="167">
        <f t="shared" si="8"/>
        <v>16219</v>
      </c>
      <c r="AH286" s="159" t="s">
        <v>530</v>
      </c>
      <c r="AI286" s="158">
        <f t="shared" si="10"/>
        <v>2023</v>
      </c>
    </row>
    <row r="287" ht="12.75" customHeight="1">
      <c r="A287" s="48" t="s">
        <v>537</v>
      </c>
      <c r="B287" s="160" t="str">
        <f>iferror(VLOOKUP((LEFT(A287,6)),CUSTOMER_DETAILS,2,FALSE),"-")</f>
        <v>VENUS ENTERPRISES ENERGY PVT LTD</v>
      </c>
      <c r="C287" s="161" t="s">
        <v>89</v>
      </c>
      <c r="D287" s="191">
        <v>45254.0</v>
      </c>
      <c r="E287" s="161" t="s">
        <v>89</v>
      </c>
      <c r="F287" s="30" t="s">
        <v>89</v>
      </c>
      <c r="G287" s="30" t="s">
        <v>89</v>
      </c>
      <c r="H287" s="30" t="s">
        <v>89</v>
      </c>
      <c r="I287" s="48" t="s">
        <v>108</v>
      </c>
      <c r="J287" s="188">
        <f t="shared" si="13"/>
        <v>45254</v>
      </c>
      <c r="K287" s="48">
        <v>304.0</v>
      </c>
      <c r="L287" s="48" t="s">
        <v>108</v>
      </c>
      <c r="M287" s="48" t="s">
        <v>91</v>
      </c>
      <c r="N287" s="48" t="s">
        <v>538</v>
      </c>
      <c r="O287" s="30" t="s">
        <v>89</v>
      </c>
      <c r="P287" s="48" t="s">
        <v>539</v>
      </c>
      <c r="Q287" s="48" t="s">
        <v>94</v>
      </c>
      <c r="R287" s="161">
        <f>IFERROR(VLOOKUP(Q287,'PRODUCT TABLE'!$A$2:$B$26,2,FALSE),"-")</f>
        <v>44011090</v>
      </c>
      <c r="S287" s="48">
        <v>9870.0</v>
      </c>
      <c r="T287" s="48">
        <v>10.7</v>
      </c>
      <c r="U287" s="48" t="s">
        <v>95</v>
      </c>
      <c r="V287" s="161">
        <f t="shared" si="1"/>
        <v>105609</v>
      </c>
      <c r="W287" s="189">
        <v>0.025</v>
      </c>
      <c r="X287" s="189">
        <v>0.025</v>
      </c>
      <c r="Y287" s="186"/>
      <c r="Z287" s="169">
        <f t="shared" si="2"/>
        <v>110889</v>
      </c>
      <c r="AA287" s="167">
        <f t="shared" si="3"/>
        <v>-0.45</v>
      </c>
      <c r="AB287" s="161"/>
      <c r="AC287" s="161">
        <f t="shared" si="4"/>
        <v>105609</v>
      </c>
      <c r="AD287" s="161">
        <f t="shared" si="5"/>
        <v>2640.225</v>
      </c>
      <c r="AE287" s="161">
        <f t="shared" si="6"/>
        <v>2640.225</v>
      </c>
      <c r="AF287" s="167">
        <f t="shared" si="7"/>
        <v>0</v>
      </c>
      <c r="AG287" s="167">
        <f t="shared" si="8"/>
        <v>5280.45</v>
      </c>
      <c r="AH287" s="159" t="s">
        <v>530</v>
      </c>
      <c r="AI287" s="158">
        <f t="shared" si="10"/>
        <v>2023</v>
      </c>
    </row>
    <row r="288" ht="12.75" customHeight="1">
      <c r="A288" s="48" t="s">
        <v>540</v>
      </c>
      <c r="B288" s="160" t="str">
        <f>iferror(VLOOKUP((LEFT(A288,6)),CUSTOMER_DETAILS,2,FALSE),"-")</f>
        <v>AERO AGRO CHEMICAL INDUSTRIES</v>
      </c>
      <c r="C288" s="161" t="s">
        <v>89</v>
      </c>
      <c r="D288" s="191">
        <v>45258.0</v>
      </c>
      <c r="E288" s="161" t="s">
        <v>89</v>
      </c>
      <c r="F288" s="30" t="s">
        <v>89</v>
      </c>
      <c r="G288" s="30" t="s">
        <v>89</v>
      </c>
      <c r="H288" s="30" t="s">
        <v>89</v>
      </c>
      <c r="I288" s="48" t="s">
        <v>108</v>
      </c>
      <c r="J288" s="188">
        <f t="shared" si="13"/>
        <v>45258</v>
      </c>
      <c r="K288" s="48">
        <v>305.0</v>
      </c>
      <c r="L288" s="48" t="s">
        <v>108</v>
      </c>
      <c r="M288" s="48" t="s">
        <v>91</v>
      </c>
      <c r="N288" s="48" t="s">
        <v>478</v>
      </c>
      <c r="O288" s="30" t="s">
        <v>89</v>
      </c>
      <c r="P288" s="48" t="s">
        <v>541</v>
      </c>
      <c r="Q288" s="48" t="s">
        <v>117</v>
      </c>
      <c r="R288" s="161">
        <f>IFERROR(VLOOKUP(Q288,'PRODUCT TABLE'!$A$2:$B$26,2,FALSE),"-")</f>
        <v>44011090</v>
      </c>
      <c r="S288" s="48">
        <v>10470.0</v>
      </c>
      <c r="T288" s="48">
        <v>11.0</v>
      </c>
      <c r="U288" s="48" t="s">
        <v>95</v>
      </c>
      <c r="V288" s="161">
        <f t="shared" si="1"/>
        <v>115170</v>
      </c>
      <c r="Y288" s="186">
        <v>0.05</v>
      </c>
      <c r="Z288" s="169">
        <f t="shared" si="2"/>
        <v>136928</v>
      </c>
      <c r="AA288" s="167">
        <f t="shared" si="3"/>
        <v>-0.5</v>
      </c>
      <c r="AB288" s="195">
        <v>16000.0</v>
      </c>
      <c r="AC288" s="161">
        <f t="shared" si="4"/>
        <v>115170</v>
      </c>
      <c r="AD288" s="161">
        <f t="shared" si="5"/>
        <v>0</v>
      </c>
      <c r="AE288" s="161">
        <f t="shared" si="6"/>
        <v>0</v>
      </c>
      <c r="AF288" s="167">
        <f t="shared" si="7"/>
        <v>5758.5</v>
      </c>
      <c r="AG288" s="167">
        <f t="shared" si="8"/>
        <v>5758.5</v>
      </c>
      <c r="AH288" s="159" t="s">
        <v>530</v>
      </c>
      <c r="AI288" s="158">
        <f t="shared" si="10"/>
        <v>2023</v>
      </c>
    </row>
    <row r="289" ht="12.75" customHeight="1">
      <c r="A289" s="48" t="s">
        <v>542</v>
      </c>
      <c r="B289" s="160" t="str">
        <f>iferror(VLOOKUP((LEFT(A289,6)),CUSTOMER_DETAILS,2,FALSE),"-")</f>
        <v>VENUS ENTERPRISES ENERGY PVT LTD</v>
      </c>
      <c r="C289" s="161" t="s">
        <v>89</v>
      </c>
      <c r="D289" s="191">
        <v>45260.0</v>
      </c>
      <c r="E289" s="161" t="s">
        <v>89</v>
      </c>
      <c r="F289" s="30" t="s">
        <v>89</v>
      </c>
      <c r="G289" s="30" t="s">
        <v>89</v>
      </c>
      <c r="H289" s="30" t="s">
        <v>89</v>
      </c>
      <c r="I289" s="48" t="s">
        <v>108</v>
      </c>
      <c r="J289" s="188">
        <f t="shared" si="13"/>
        <v>45260</v>
      </c>
      <c r="K289" s="48">
        <v>306.0</v>
      </c>
      <c r="L289" s="48" t="s">
        <v>108</v>
      </c>
      <c r="M289" s="48" t="s">
        <v>91</v>
      </c>
      <c r="N289" s="48" t="s">
        <v>313</v>
      </c>
      <c r="O289" s="30" t="s">
        <v>89</v>
      </c>
      <c r="P289" s="48" t="s">
        <v>543</v>
      </c>
      <c r="Q289" s="48" t="s">
        <v>117</v>
      </c>
      <c r="R289" s="161">
        <f>IFERROR(VLOOKUP(Q289,'PRODUCT TABLE'!$A$2:$B$26,2,FALSE),"-")</f>
        <v>44011090</v>
      </c>
      <c r="S289" s="48">
        <v>29780.0</v>
      </c>
      <c r="T289" s="48">
        <v>10.7</v>
      </c>
      <c r="U289" s="48" t="s">
        <v>95</v>
      </c>
      <c r="V289" s="161">
        <f t="shared" si="1"/>
        <v>318646</v>
      </c>
      <c r="W289" s="189">
        <v>0.025</v>
      </c>
      <c r="X289" s="189">
        <v>0.025</v>
      </c>
      <c r="Y289" s="30"/>
      <c r="Z289" s="169">
        <f t="shared" si="2"/>
        <v>334578</v>
      </c>
      <c r="AA289" s="167">
        <f t="shared" si="3"/>
        <v>-0.3</v>
      </c>
      <c r="AB289" s="161"/>
      <c r="AC289" s="161">
        <f t="shared" si="4"/>
        <v>318646</v>
      </c>
      <c r="AD289" s="161">
        <f t="shared" si="5"/>
        <v>7966.15</v>
      </c>
      <c r="AE289" s="161">
        <f t="shared" si="6"/>
        <v>7966.15</v>
      </c>
      <c r="AF289" s="167">
        <f t="shared" si="7"/>
        <v>0</v>
      </c>
      <c r="AG289" s="167">
        <f t="shared" si="8"/>
        <v>15932.3</v>
      </c>
      <c r="AH289" s="159" t="s">
        <v>530</v>
      </c>
      <c r="AI289" s="158">
        <f t="shared" si="10"/>
        <v>2023</v>
      </c>
    </row>
    <row r="290" ht="12.75" customHeight="1">
      <c r="A290" s="49" t="s">
        <v>544</v>
      </c>
      <c r="B290" s="176" t="s">
        <v>545</v>
      </c>
      <c r="C290" s="161" t="s">
        <v>89</v>
      </c>
      <c r="D290" s="191">
        <v>45261.0</v>
      </c>
      <c r="E290" s="161" t="s">
        <v>89</v>
      </c>
      <c r="F290" s="30" t="s">
        <v>89</v>
      </c>
      <c r="G290" s="30" t="s">
        <v>89</v>
      </c>
      <c r="H290" s="30" t="s">
        <v>89</v>
      </c>
      <c r="I290" s="48" t="s">
        <v>108</v>
      </c>
      <c r="J290" s="188">
        <f t="shared" si="13"/>
        <v>45261</v>
      </c>
      <c r="K290" s="48">
        <v>307.0</v>
      </c>
      <c r="L290" s="48" t="s">
        <v>108</v>
      </c>
      <c r="M290" s="48" t="s">
        <v>91</v>
      </c>
      <c r="N290" s="48" t="s">
        <v>128</v>
      </c>
      <c r="O290" s="30" t="s">
        <v>89</v>
      </c>
      <c r="Q290" s="48" t="s">
        <v>94</v>
      </c>
      <c r="R290" s="161">
        <f>IFERROR(VLOOKUP(Q290,'PRODUCT TABLE'!$A$2:$B$26,2,FALSE),"-")</f>
        <v>44011090</v>
      </c>
      <c r="S290" s="48">
        <v>400.0</v>
      </c>
      <c r="T290" s="48">
        <v>6.7</v>
      </c>
      <c r="U290" s="48" t="s">
        <v>95</v>
      </c>
      <c r="V290" s="161">
        <f t="shared" si="1"/>
        <v>2680</v>
      </c>
      <c r="Y290" s="30"/>
      <c r="Z290" s="169">
        <f t="shared" si="2"/>
        <v>2680</v>
      </c>
      <c r="AA290" s="167">
        <f t="shared" si="3"/>
        <v>0</v>
      </c>
      <c r="AB290" s="161"/>
      <c r="AC290" s="161">
        <f t="shared" si="4"/>
        <v>2680</v>
      </c>
      <c r="AD290" s="161">
        <f t="shared" si="5"/>
        <v>0</v>
      </c>
      <c r="AE290" s="161">
        <f t="shared" si="6"/>
        <v>0</v>
      </c>
      <c r="AF290" s="167">
        <f t="shared" si="7"/>
        <v>0</v>
      </c>
      <c r="AG290" s="167">
        <f t="shared" si="8"/>
        <v>0</v>
      </c>
      <c r="AH290" s="159" t="s">
        <v>546</v>
      </c>
      <c r="AI290" s="158">
        <f t="shared" si="10"/>
        <v>2023</v>
      </c>
    </row>
    <row r="291" ht="12.75" customHeight="1">
      <c r="A291" s="48" t="s">
        <v>547</v>
      </c>
      <c r="B291" s="160" t="str">
        <f>iferror(VLOOKUP((LEFT(A291,6)),CUSTOMER_DETAILS,2,FALSE),"-")</f>
        <v>SAI KALYANI AGENCY</v>
      </c>
      <c r="C291" s="161" t="s">
        <v>89</v>
      </c>
      <c r="D291" s="191">
        <v>45264.0</v>
      </c>
      <c r="E291" s="161" t="s">
        <v>89</v>
      </c>
      <c r="F291" s="30" t="s">
        <v>89</v>
      </c>
      <c r="G291" s="30" t="s">
        <v>89</v>
      </c>
      <c r="H291" s="30" t="s">
        <v>89</v>
      </c>
      <c r="I291" s="48" t="s">
        <v>108</v>
      </c>
      <c r="J291" s="188">
        <f t="shared" si="13"/>
        <v>45264</v>
      </c>
      <c r="K291" s="48">
        <v>308.0</v>
      </c>
      <c r="L291" s="48" t="s">
        <v>108</v>
      </c>
      <c r="M291" s="48" t="s">
        <v>91</v>
      </c>
      <c r="N291" s="48" t="s">
        <v>369</v>
      </c>
      <c r="O291" s="30" t="s">
        <v>89</v>
      </c>
      <c r="P291" s="48" t="s">
        <v>548</v>
      </c>
      <c r="Q291" s="48" t="s">
        <v>233</v>
      </c>
      <c r="R291" s="161">
        <f>IFERROR(VLOOKUP(Q291,'PRODUCT TABLE'!$A$2:$B$26,2,FALSE),"-")</f>
        <v>44011090</v>
      </c>
      <c r="S291" s="48">
        <v>28900.0</v>
      </c>
      <c r="T291" s="48">
        <v>14.1</v>
      </c>
      <c r="U291" s="48" t="s">
        <v>95</v>
      </c>
      <c r="V291" s="161">
        <f t="shared" si="1"/>
        <v>407490</v>
      </c>
      <c r="Y291" s="186">
        <v>0.05</v>
      </c>
      <c r="Z291" s="169">
        <f t="shared" si="2"/>
        <v>427864</v>
      </c>
      <c r="AA291" s="167">
        <f t="shared" si="3"/>
        <v>-0.5</v>
      </c>
      <c r="AB291" s="175"/>
      <c r="AC291" s="161">
        <f t="shared" si="4"/>
        <v>407490</v>
      </c>
      <c r="AD291" s="161">
        <f t="shared" si="5"/>
        <v>0</v>
      </c>
      <c r="AE291" s="161">
        <f t="shared" si="6"/>
        <v>0</v>
      </c>
      <c r="AF291" s="167">
        <f t="shared" si="7"/>
        <v>20374.5</v>
      </c>
      <c r="AG291" s="167">
        <f t="shared" si="8"/>
        <v>20374.5</v>
      </c>
      <c r="AH291" s="159" t="s">
        <v>546</v>
      </c>
      <c r="AI291" s="158">
        <f t="shared" si="10"/>
        <v>2023</v>
      </c>
    </row>
    <row r="292" ht="12.75" customHeight="1">
      <c r="A292" s="48" t="s">
        <v>549</v>
      </c>
      <c r="B292" s="160" t="str">
        <f>iferror(VLOOKUP((LEFT(A292,6)),CUSTOMER_DETAILS,2,FALSE),"-")</f>
        <v>GVR NUTRIES PVT LTD</v>
      </c>
      <c r="C292" s="161" t="s">
        <v>89</v>
      </c>
      <c r="D292" s="191">
        <v>45265.0</v>
      </c>
      <c r="E292" s="161" t="s">
        <v>89</v>
      </c>
      <c r="F292" s="30" t="s">
        <v>89</v>
      </c>
      <c r="G292" s="30" t="s">
        <v>89</v>
      </c>
      <c r="H292" s="30" t="s">
        <v>89</v>
      </c>
      <c r="I292" s="48" t="s">
        <v>108</v>
      </c>
      <c r="J292" s="188">
        <f t="shared" si="13"/>
        <v>45265</v>
      </c>
      <c r="K292" s="48">
        <v>309.0</v>
      </c>
      <c r="L292" s="48" t="s">
        <v>108</v>
      </c>
      <c r="M292" s="48" t="s">
        <v>91</v>
      </c>
      <c r="N292" s="48" t="s">
        <v>313</v>
      </c>
      <c r="O292" s="30" t="s">
        <v>89</v>
      </c>
      <c r="P292" s="48" t="s">
        <v>550</v>
      </c>
      <c r="Q292" s="48" t="s">
        <v>502</v>
      </c>
      <c r="R292" s="161">
        <f>IFERROR(VLOOKUP(Q292,'PRODUCT TABLE'!$A$2:$B$26,2,FALSE),"-")</f>
        <v>1213</v>
      </c>
      <c r="S292" s="48">
        <v>7275.0</v>
      </c>
      <c r="T292" s="48">
        <v>4.5</v>
      </c>
      <c r="U292" s="48" t="s">
        <v>95</v>
      </c>
      <c r="V292" s="161">
        <f t="shared" si="1"/>
        <v>32737.5</v>
      </c>
      <c r="Y292" s="30"/>
      <c r="Z292" s="169">
        <f t="shared" si="2"/>
        <v>32737</v>
      </c>
      <c r="AA292" s="167">
        <f t="shared" si="3"/>
        <v>-0.5</v>
      </c>
      <c r="AB292" s="161"/>
      <c r="AC292" s="161">
        <f t="shared" si="4"/>
        <v>32737.5</v>
      </c>
      <c r="AD292" s="161">
        <f t="shared" si="5"/>
        <v>0</v>
      </c>
      <c r="AE292" s="161">
        <f t="shared" si="6"/>
        <v>0</v>
      </c>
      <c r="AF292" s="167">
        <f t="shared" si="7"/>
        <v>0</v>
      </c>
      <c r="AG292" s="167">
        <f t="shared" si="8"/>
        <v>0</v>
      </c>
      <c r="AH292" s="159" t="s">
        <v>546</v>
      </c>
      <c r="AI292" s="158">
        <f t="shared" si="10"/>
        <v>2023</v>
      </c>
    </row>
    <row r="293" ht="12.75" customHeight="1">
      <c r="A293" s="48" t="s">
        <v>551</v>
      </c>
      <c r="B293" s="160" t="str">
        <f>iferror(VLOOKUP((LEFT(A293,6)),CUSTOMER_DETAILS,2,FALSE),"-")</f>
        <v>SAI KALYANI AGENCY</v>
      </c>
      <c r="C293" s="161" t="s">
        <v>89</v>
      </c>
      <c r="D293" s="191">
        <v>45272.0</v>
      </c>
      <c r="E293" s="161" t="s">
        <v>89</v>
      </c>
      <c r="F293" s="30" t="s">
        <v>89</v>
      </c>
      <c r="G293" s="30" t="s">
        <v>89</v>
      </c>
      <c r="H293" s="30" t="s">
        <v>89</v>
      </c>
      <c r="I293" s="48" t="s">
        <v>108</v>
      </c>
      <c r="J293" s="188">
        <f t="shared" si="13"/>
        <v>45272</v>
      </c>
      <c r="K293" s="48">
        <v>310.0</v>
      </c>
      <c r="L293" s="48" t="s">
        <v>108</v>
      </c>
      <c r="M293" s="48" t="s">
        <v>91</v>
      </c>
      <c r="N293" s="48" t="s">
        <v>369</v>
      </c>
      <c r="O293" s="30" t="s">
        <v>89</v>
      </c>
      <c r="P293" s="48" t="s">
        <v>322</v>
      </c>
      <c r="Q293" s="48" t="s">
        <v>233</v>
      </c>
      <c r="R293" s="161">
        <f>IFERROR(VLOOKUP(Q293,'PRODUCT TABLE'!$A$2:$B$26,2,FALSE),"-")</f>
        <v>44011090</v>
      </c>
      <c r="S293" s="48">
        <v>22140.0</v>
      </c>
      <c r="T293" s="48">
        <v>14.28</v>
      </c>
      <c r="U293" s="48" t="s">
        <v>95</v>
      </c>
      <c r="V293" s="161">
        <f t="shared" si="1"/>
        <v>316159.2</v>
      </c>
      <c r="Y293" s="186">
        <v>0.05</v>
      </c>
      <c r="Z293" s="169">
        <f t="shared" si="2"/>
        <v>331967</v>
      </c>
      <c r="AA293" s="167">
        <f t="shared" si="3"/>
        <v>-0.16</v>
      </c>
      <c r="AB293" s="161"/>
      <c r="AC293" s="161">
        <f t="shared" si="4"/>
        <v>316159.2</v>
      </c>
      <c r="AD293" s="161">
        <f t="shared" si="5"/>
        <v>0</v>
      </c>
      <c r="AE293" s="161">
        <f t="shared" si="6"/>
        <v>0</v>
      </c>
      <c r="AF293" s="167">
        <f t="shared" si="7"/>
        <v>15807.96</v>
      </c>
      <c r="AG293" s="167">
        <f t="shared" si="8"/>
        <v>15807.96</v>
      </c>
      <c r="AH293" s="159" t="s">
        <v>546</v>
      </c>
      <c r="AI293" s="158">
        <f t="shared" si="10"/>
        <v>2023</v>
      </c>
    </row>
    <row r="294" ht="12.75" customHeight="1">
      <c r="A294" s="48" t="s">
        <v>552</v>
      </c>
      <c r="B294" s="160" t="str">
        <f>iferror(VLOOKUP((LEFT(A294,6)),CUSTOMER_DETAILS,2,FALSE),"-")</f>
        <v>AERO AGRO CHEMICAL INDUSTRIES</v>
      </c>
      <c r="C294" s="161" t="s">
        <v>89</v>
      </c>
      <c r="D294" s="191">
        <v>45274.0</v>
      </c>
      <c r="E294" s="161" t="s">
        <v>89</v>
      </c>
      <c r="F294" s="30" t="s">
        <v>89</v>
      </c>
      <c r="G294" s="30" t="s">
        <v>89</v>
      </c>
      <c r="H294" s="30" t="s">
        <v>89</v>
      </c>
      <c r="I294" s="48" t="s">
        <v>108</v>
      </c>
      <c r="J294" s="188">
        <f t="shared" si="13"/>
        <v>45274</v>
      </c>
      <c r="K294" s="48">
        <v>311.0</v>
      </c>
      <c r="L294" s="48" t="s">
        <v>108</v>
      </c>
      <c r="M294" s="48" t="s">
        <v>91</v>
      </c>
      <c r="N294" s="48" t="s">
        <v>478</v>
      </c>
      <c r="O294" s="30" t="s">
        <v>89</v>
      </c>
      <c r="P294" s="48" t="s">
        <v>553</v>
      </c>
      <c r="Q294" s="48" t="s">
        <v>117</v>
      </c>
      <c r="R294" s="161">
        <f>IFERROR(VLOOKUP(Q294,'PRODUCT TABLE'!$A$2:$B$26,2,FALSE),"-")</f>
        <v>44011090</v>
      </c>
      <c r="S294" s="48">
        <v>10640.0</v>
      </c>
      <c r="T294" s="48">
        <v>10.9</v>
      </c>
      <c r="U294" s="48" t="s">
        <v>95</v>
      </c>
      <c r="V294" s="161">
        <f t="shared" si="1"/>
        <v>115976</v>
      </c>
      <c r="Y294" s="186">
        <v>0.05</v>
      </c>
      <c r="Z294" s="169">
        <f t="shared" si="2"/>
        <v>137775</v>
      </c>
      <c r="AA294" s="167">
        <f t="shared" si="3"/>
        <v>0.2</v>
      </c>
      <c r="AB294" s="175">
        <v>16000.0</v>
      </c>
      <c r="AC294" s="161">
        <f t="shared" si="4"/>
        <v>115976</v>
      </c>
      <c r="AD294" s="161">
        <f t="shared" si="5"/>
        <v>0</v>
      </c>
      <c r="AE294" s="161">
        <f t="shared" si="6"/>
        <v>0</v>
      </c>
      <c r="AF294" s="167">
        <f t="shared" si="7"/>
        <v>5798.8</v>
      </c>
      <c r="AG294" s="167">
        <f t="shared" si="8"/>
        <v>5798.8</v>
      </c>
      <c r="AH294" s="159" t="s">
        <v>546</v>
      </c>
      <c r="AI294" s="158">
        <f t="shared" si="10"/>
        <v>2023</v>
      </c>
    </row>
    <row r="295" ht="12.75" customHeight="1">
      <c r="A295" s="48" t="s">
        <v>554</v>
      </c>
      <c r="B295" s="160" t="str">
        <f>iferror(VLOOKUP((LEFT(A295,6)),CUSTOMER_DETAILS,2,FALSE),"-")</f>
        <v>BAIDYANATH BIOFUELS PVT LIMITED</v>
      </c>
      <c r="C295" s="161" t="s">
        <v>89</v>
      </c>
      <c r="D295" s="191">
        <v>45275.0</v>
      </c>
      <c r="E295" s="161" t="s">
        <v>89</v>
      </c>
      <c r="F295" s="30" t="s">
        <v>89</v>
      </c>
      <c r="G295" s="30" t="s">
        <v>89</v>
      </c>
      <c r="H295" s="30" t="s">
        <v>89</v>
      </c>
      <c r="I295" s="48" t="s">
        <v>108</v>
      </c>
      <c r="J295" s="188">
        <f t="shared" si="13"/>
        <v>45275</v>
      </c>
      <c r="K295" s="48">
        <v>312.0</v>
      </c>
      <c r="L295" s="48" t="s">
        <v>108</v>
      </c>
      <c r="M295" s="48" t="s">
        <v>91</v>
      </c>
      <c r="N295" s="48" t="s">
        <v>135</v>
      </c>
      <c r="O295" s="30" t="s">
        <v>89</v>
      </c>
      <c r="P295" s="48" t="s">
        <v>555</v>
      </c>
      <c r="Q295" s="48" t="s">
        <v>502</v>
      </c>
      <c r="R295" s="161">
        <f>IFERROR(VLOOKUP(Q295,'PRODUCT TABLE'!$A$2:$B$26,2,FALSE),"-")</f>
        <v>1213</v>
      </c>
      <c r="S295" s="48">
        <v>17150.0</v>
      </c>
      <c r="T295" s="48">
        <v>4.4</v>
      </c>
      <c r="U295" s="48" t="s">
        <v>95</v>
      </c>
      <c r="V295" s="161">
        <f t="shared" si="1"/>
        <v>75460</v>
      </c>
      <c r="Y295" s="30"/>
      <c r="Z295" s="169">
        <f t="shared" si="2"/>
        <v>75460</v>
      </c>
      <c r="AA295" s="167">
        <f t="shared" si="3"/>
        <v>0</v>
      </c>
      <c r="AB295" s="161"/>
      <c r="AC295" s="161">
        <f t="shared" si="4"/>
        <v>75460</v>
      </c>
      <c r="AD295" s="161">
        <f t="shared" si="5"/>
        <v>0</v>
      </c>
      <c r="AE295" s="161">
        <f t="shared" si="6"/>
        <v>0</v>
      </c>
      <c r="AF295" s="167">
        <f t="shared" si="7"/>
        <v>0</v>
      </c>
      <c r="AG295" s="167">
        <f t="shared" si="8"/>
        <v>0</v>
      </c>
      <c r="AH295" s="159" t="s">
        <v>546</v>
      </c>
      <c r="AI295" s="158">
        <f t="shared" si="10"/>
        <v>2023</v>
      </c>
    </row>
    <row r="296" ht="12.75" customHeight="1">
      <c r="A296" s="48" t="s">
        <v>556</v>
      </c>
      <c r="B296" s="160" t="str">
        <f>iferror(VLOOKUP((LEFT(A296,6)),CUSTOMER_DETAILS,2,FALSE),"-")</f>
        <v>BAIDYANATH BIOFUELS PVT LIMITED</v>
      </c>
      <c r="C296" s="161" t="s">
        <v>89</v>
      </c>
      <c r="D296" s="191">
        <v>45281.0</v>
      </c>
      <c r="E296" s="161" t="s">
        <v>89</v>
      </c>
      <c r="F296" s="30" t="s">
        <v>89</v>
      </c>
      <c r="G296" s="30" t="s">
        <v>89</v>
      </c>
      <c r="H296" s="30" t="s">
        <v>89</v>
      </c>
      <c r="I296" s="48" t="s">
        <v>108</v>
      </c>
      <c r="J296" s="188">
        <f t="shared" si="13"/>
        <v>45281</v>
      </c>
      <c r="K296" s="48">
        <v>313.0</v>
      </c>
      <c r="L296" s="48" t="s">
        <v>108</v>
      </c>
      <c r="M296" s="48" t="s">
        <v>91</v>
      </c>
      <c r="N296" s="48" t="s">
        <v>135</v>
      </c>
      <c r="O296" s="30" t="s">
        <v>89</v>
      </c>
      <c r="P296" s="48" t="s">
        <v>555</v>
      </c>
      <c r="Q296" s="48" t="s">
        <v>502</v>
      </c>
      <c r="R296" s="161">
        <f>IFERROR(VLOOKUP(Q296,'PRODUCT TABLE'!$A$2:$B$26,2,FALSE),"-")</f>
        <v>1213</v>
      </c>
      <c r="S296" s="48">
        <v>16760.0</v>
      </c>
      <c r="T296" s="48">
        <v>4.4</v>
      </c>
      <c r="U296" s="48" t="s">
        <v>95</v>
      </c>
      <c r="V296" s="161">
        <f t="shared" si="1"/>
        <v>73744</v>
      </c>
      <c r="Y296" s="30"/>
      <c r="Z296" s="169">
        <f t="shared" si="2"/>
        <v>73744</v>
      </c>
      <c r="AA296" s="167">
        <f t="shared" si="3"/>
        <v>0</v>
      </c>
      <c r="AB296" s="161"/>
      <c r="AC296" s="161">
        <f t="shared" si="4"/>
        <v>73744</v>
      </c>
      <c r="AD296" s="161">
        <f t="shared" si="5"/>
        <v>0</v>
      </c>
      <c r="AE296" s="161">
        <f t="shared" si="6"/>
        <v>0</v>
      </c>
      <c r="AF296" s="167">
        <f t="shared" si="7"/>
        <v>0</v>
      </c>
      <c r="AG296" s="167">
        <f t="shared" si="8"/>
        <v>0</v>
      </c>
      <c r="AH296" s="159" t="s">
        <v>546</v>
      </c>
      <c r="AI296" s="158">
        <f t="shared" si="10"/>
        <v>2023</v>
      </c>
    </row>
    <row r="297" ht="12.75" customHeight="1">
      <c r="A297" s="48" t="s">
        <v>557</v>
      </c>
      <c r="B297" s="160" t="str">
        <f>iferror(VLOOKUP((LEFT(A297,6)),CUSTOMER_DETAILS,2,FALSE),"-")</f>
        <v>SAI KALYANI AGENCY</v>
      </c>
      <c r="C297" s="161" t="s">
        <v>89</v>
      </c>
      <c r="D297" s="191">
        <v>45281.0</v>
      </c>
      <c r="E297" s="161" t="s">
        <v>89</v>
      </c>
      <c r="F297" s="30" t="s">
        <v>89</v>
      </c>
      <c r="G297" s="30" t="s">
        <v>89</v>
      </c>
      <c r="H297" s="30" t="s">
        <v>89</v>
      </c>
      <c r="I297" s="48" t="s">
        <v>108</v>
      </c>
      <c r="J297" s="188">
        <f t="shared" si="13"/>
        <v>45281</v>
      </c>
      <c r="K297" s="48">
        <v>314.0</v>
      </c>
      <c r="L297" s="48" t="s">
        <v>108</v>
      </c>
      <c r="M297" s="48" t="s">
        <v>558</v>
      </c>
      <c r="N297" s="48" t="s">
        <v>369</v>
      </c>
      <c r="O297" s="30" t="s">
        <v>89</v>
      </c>
      <c r="Q297" s="48" t="s">
        <v>559</v>
      </c>
      <c r="R297" s="161">
        <f>IFERROR(VLOOKUP(Q297,'PRODUCT TABLE'!$A$2:$B$26,2,FALSE),"-")</f>
        <v>0</v>
      </c>
      <c r="S297" s="48">
        <v>200.0</v>
      </c>
      <c r="T297" s="48">
        <v>6.5</v>
      </c>
      <c r="U297" s="48" t="s">
        <v>560</v>
      </c>
      <c r="V297" s="161">
        <f t="shared" si="1"/>
        <v>1300</v>
      </c>
      <c r="Y297" s="30"/>
      <c r="Z297" s="169">
        <f t="shared" si="2"/>
        <v>1300</v>
      </c>
      <c r="AA297" s="167">
        <f t="shared" si="3"/>
        <v>0</v>
      </c>
      <c r="AB297" s="161"/>
      <c r="AC297" s="161">
        <f t="shared" si="4"/>
        <v>1300</v>
      </c>
      <c r="AD297" s="161">
        <f t="shared" si="5"/>
        <v>0</v>
      </c>
      <c r="AE297" s="161">
        <f t="shared" si="6"/>
        <v>0</v>
      </c>
      <c r="AF297" s="167">
        <f t="shared" si="7"/>
        <v>0</v>
      </c>
      <c r="AG297" s="167">
        <f t="shared" si="8"/>
        <v>0</v>
      </c>
      <c r="AH297" s="159" t="s">
        <v>546</v>
      </c>
      <c r="AI297" s="158">
        <f t="shared" si="10"/>
        <v>2023</v>
      </c>
    </row>
    <row r="298" ht="12.75" customHeight="1">
      <c r="A298" s="48" t="s">
        <v>561</v>
      </c>
      <c r="B298" s="160" t="str">
        <f>iferror(VLOOKUP((LEFT(A298,6)),CUSTOMER_DETAILS,2,FALSE),"-")</f>
        <v>BAIDYANATH BIOFUELS PVT LIMITED</v>
      </c>
      <c r="C298" s="161" t="s">
        <v>89</v>
      </c>
      <c r="D298" s="191">
        <v>45282.0</v>
      </c>
      <c r="E298" s="161" t="s">
        <v>89</v>
      </c>
      <c r="F298" s="30" t="s">
        <v>89</v>
      </c>
      <c r="G298" s="30" t="s">
        <v>89</v>
      </c>
      <c r="H298" s="30" t="s">
        <v>89</v>
      </c>
      <c r="I298" s="48" t="s">
        <v>108</v>
      </c>
      <c r="J298" s="188">
        <f t="shared" si="13"/>
        <v>45282</v>
      </c>
      <c r="K298" s="48">
        <v>315.0</v>
      </c>
      <c r="L298" s="48" t="s">
        <v>108</v>
      </c>
      <c r="M298" s="48" t="s">
        <v>91</v>
      </c>
      <c r="N298" s="48" t="s">
        <v>135</v>
      </c>
      <c r="O298" s="30" t="s">
        <v>89</v>
      </c>
      <c r="P298" s="48" t="s">
        <v>519</v>
      </c>
      <c r="Q298" s="48" t="s">
        <v>502</v>
      </c>
      <c r="R298" s="161">
        <f>IFERROR(VLOOKUP(Q298,'PRODUCT TABLE'!$A$2:$B$26,2,FALSE),"-")</f>
        <v>1213</v>
      </c>
      <c r="S298" s="48">
        <v>13670.0</v>
      </c>
      <c r="T298" s="48">
        <v>4.4</v>
      </c>
      <c r="U298" s="48" t="s">
        <v>95</v>
      </c>
      <c r="V298" s="161">
        <f t="shared" si="1"/>
        <v>60148</v>
      </c>
      <c r="Y298" s="30"/>
      <c r="Z298" s="169">
        <f t="shared" si="2"/>
        <v>60148</v>
      </c>
      <c r="AA298" s="167">
        <f t="shared" si="3"/>
        <v>0</v>
      </c>
      <c r="AB298" s="161"/>
      <c r="AC298" s="161">
        <f t="shared" si="4"/>
        <v>60148</v>
      </c>
      <c r="AD298" s="161">
        <f t="shared" si="5"/>
        <v>0</v>
      </c>
      <c r="AE298" s="161">
        <f t="shared" si="6"/>
        <v>0</v>
      </c>
      <c r="AF298" s="167">
        <f t="shared" si="7"/>
        <v>0</v>
      </c>
      <c r="AG298" s="167">
        <f t="shared" si="8"/>
        <v>0</v>
      </c>
      <c r="AH298" s="159" t="s">
        <v>546</v>
      </c>
      <c r="AI298" s="158">
        <f t="shared" si="10"/>
        <v>2023</v>
      </c>
    </row>
    <row r="299" ht="12.75" customHeight="1">
      <c r="A299" s="48" t="s">
        <v>562</v>
      </c>
      <c r="B299" s="160" t="str">
        <f>iferror(VLOOKUP((LEFT(A299,6)),CUSTOMER_DETAILS,2,FALSE),"-")</f>
        <v>BAIDYANATH BIOFUELS PVT LIMITED</v>
      </c>
      <c r="C299" s="161" t="s">
        <v>89</v>
      </c>
      <c r="D299" s="191">
        <v>45284.0</v>
      </c>
      <c r="E299" s="161" t="s">
        <v>89</v>
      </c>
      <c r="F299" s="30" t="s">
        <v>89</v>
      </c>
      <c r="G299" s="30" t="s">
        <v>89</v>
      </c>
      <c r="H299" s="30" t="s">
        <v>89</v>
      </c>
      <c r="I299" s="48" t="s">
        <v>108</v>
      </c>
      <c r="J299" s="188">
        <f t="shared" si="13"/>
        <v>45284</v>
      </c>
      <c r="K299" s="48">
        <v>316.0</v>
      </c>
      <c r="L299" s="48" t="s">
        <v>108</v>
      </c>
      <c r="M299" s="48" t="s">
        <v>91</v>
      </c>
      <c r="N299" s="48" t="s">
        <v>135</v>
      </c>
      <c r="O299" s="30" t="s">
        <v>89</v>
      </c>
      <c r="P299" s="48" t="s">
        <v>563</v>
      </c>
      <c r="Q299" s="48" t="s">
        <v>502</v>
      </c>
      <c r="R299" s="161">
        <f>IFERROR(VLOOKUP(Q299,'PRODUCT TABLE'!$A$2:$B$26,2,FALSE),"-")</f>
        <v>1213</v>
      </c>
      <c r="S299" s="48">
        <v>11300.0</v>
      </c>
      <c r="T299" s="48">
        <v>4.4</v>
      </c>
      <c r="U299" s="48" t="s">
        <v>95</v>
      </c>
      <c r="V299" s="161">
        <f t="shared" si="1"/>
        <v>49720</v>
      </c>
      <c r="Y299" s="30"/>
      <c r="Z299" s="169">
        <f t="shared" si="2"/>
        <v>49720</v>
      </c>
      <c r="AA299" s="167">
        <f t="shared" si="3"/>
        <v>0</v>
      </c>
      <c r="AB299" s="161"/>
      <c r="AC299" s="161">
        <f t="shared" si="4"/>
        <v>49720</v>
      </c>
      <c r="AD299" s="161">
        <f t="shared" si="5"/>
        <v>0</v>
      </c>
      <c r="AE299" s="161">
        <f t="shared" si="6"/>
        <v>0</v>
      </c>
      <c r="AF299" s="167">
        <f t="shared" si="7"/>
        <v>0</v>
      </c>
      <c r="AG299" s="167">
        <f t="shared" si="8"/>
        <v>0</v>
      </c>
      <c r="AH299" s="159" t="s">
        <v>546</v>
      </c>
      <c r="AI299" s="158">
        <f t="shared" si="10"/>
        <v>2023</v>
      </c>
    </row>
    <row r="300" ht="12.75" customHeight="1">
      <c r="A300" s="48" t="s">
        <v>564</v>
      </c>
      <c r="B300" s="160" t="str">
        <f>iferror(VLOOKUP((LEFT(A300,6)),CUSTOMER_DETAILS,2,FALSE),"-")</f>
        <v>BAIDYANATH BIOFUELS PVT LIMITED</v>
      </c>
      <c r="C300" s="161" t="s">
        <v>89</v>
      </c>
      <c r="D300" s="191">
        <v>45286.0</v>
      </c>
      <c r="E300" s="161" t="s">
        <v>89</v>
      </c>
      <c r="F300" s="30" t="s">
        <v>89</v>
      </c>
      <c r="G300" s="30" t="s">
        <v>89</v>
      </c>
      <c r="H300" s="30" t="s">
        <v>89</v>
      </c>
      <c r="I300" s="48" t="s">
        <v>108</v>
      </c>
      <c r="J300" s="188">
        <f t="shared" si="13"/>
        <v>45286</v>
      </c>
      <c r="K300" s="48">
        <v>317.0</v>
      </c>
      <c r="L300" s="48" t="s">
        <v>108</v>
      </c>
      <c r="M300" s="48" t="s">
        <v>91</v>
      </c>
      <c r="N300" s="48" t="s">
        <v>135</v>
      </c>
      <c r="O300" s="30" t="s">
        <v>89</v>
      </c>
      <c r="P300" s="48" t="s">
        <v>519</v>
      </c>
      <c r="Q300" s="48" t="s">
        <v>502</v>
      </c>
      <c r="R300" s="161">
        <f>IFERROR(VLOOKUP(Q300,'PRODUCT TABLE'!$A$2:$B$26,2,FALSE),"-")</f>
        <v>1213</v>
      </c>
      <c r="S300" s="48">
        <v>11900.0</v>
      </c>
      <c r="T300" s="48">
        <v>4.4</v>
      </c>
      <c r="U300" s="48" t="s">
        <v>95</v>
      </c>
      <c r="V300" s="161">
        <f t="shared" si="1"/>
        <v>52360</v>
      </c>
      <c r="Y300" s="30"/>
      <c r="Z300" s="169">
        <f t="shared" si="2"/>
        <v>52360</v>
      </c>
      <c r="AA300" s="167">
        <f t="shared" si="3"/>
        <v>0</v>
      </c>
      <c r="AB300" s="161"/>
      <c r="AC300" s="161">
        <f t="shared" si="4"/>
        <v>52360</v>
      </c>
      <c r="AD300" s="161">
        <f t="shared" si="5"/>
        <v>0</v>
      </c>
      <c r="AE300" s="161">
        <f t="shared" si="6"/>
        <v>0</v>
      </c>
      <c r="AF300" s="167">
        <f t="shared" si="7"/>
        <v>0</v>
      </c>
      <c r="AG300" s="167">
        <f t="shared" si="8"/>
        <v>0</v>
      </c>
      <c r="AH300" s="159" t="s">
        <v>546</v>
      </c>
      <c r="AI300" s="158">
        <f t="shared" si="10"/>
        <v>2023</v>
      </c>
    </row>
    <row r="301" ht="12.75" customHeight="1">
      <c r="A301" s="48" t="s">
        <v>565</v>
      </c>
      <c r="B301" s="160" t="str">
        <f>iferror(VLOOKUP((LEFT(A301,6)),CUSTOMER_DETAILS,2,FALSE),"-")</f>
        <v>BAIDYANATH BIOFUELS PVT LIMITED</v>
      </c>
      <c r="C301" s="161" t="s">
        <v>89</v>
      </c>
      <c r="D301" s="191">
        <v>45286.0</v>
      </c>
      <c r="E301" s="161" t="s">
        <v>89</v>
      </c>
      <c r="F301" s="30" t="s">
        <v>89</v>
      </c>
      <c r="G301" s="30" t="s">
        <v>89</v>
      </c>
      <c r="H301" s="30" t="s">
        <v>89</v>
      </c>
      <c r="I301" s="48" t="s">
        <v>108</v>
      </c>
      <c r="J301" s="188">
        <f t="shared" si="13"/>
        <v>45286</v>
      </c>
      <c r="K301" s="48">
        <v>318.0</v>
      </c>
      <c r="L301" s="48" t="s">
        <v>108</v>
      </c>
      <c r="M301" s="48" t="s">
        <v>91</v>
      </c>
      <c r="N301" s="48" t="s">
        <v>135</v>
      </c>
      <c r="O301" s="30" t="s">
        <v>89</v>
      </c>
      <c r="P301" s="48" t="s">
        <v>566</v>
      </c>
      <c r="Q301" s="48" t="s">
        <v>502</v>
      </c>
      <c r="R301" s="161">
        <f>IFERROR(VLOOKUP(Q301,'PRODUCT TABLE'!$A$2:$B$26,2,FALSE),"-")</f>
        <v>1213</v>
      </c>
      <c r="S301" s="48">
        <v>17300.0</v>
      </c>
      <c r="T301" s="48">
        <v>4.4</v>
      </c>
      <c r="U301" s="48" t="s">
        <v>95</v>
      </c>
      <c r="V301" s="161">
        <f t="shared" si="1"/>
        <v>76120</v>
      </c>
      <c r="Y301" s="30"/>
      <c r="Z301" s="169">
        <f t="shared" si="2"/>
        <v>76120</v>
      </c>
      <c r="AA301" s="167">
        <f t="shared" si="3"/>
        <v>0</v>
      </c>
      <c r="AB301" s="161"/>
      <c r="AC301" s="161">
        <f t="shared" si="4"/>
        <v>76120</v>
      </c>
      <c r="AD301" s="161">
        <f t="shared" si="5"/>
        <v>0</v>
      </c>
      <c r="AE301" s="161">
        <f t="shared" si="6"/>
        <v>0</v>
      </c>
      <c r="AF301" s="167">
        <f t="shared" si="7"/>
        <v>0</v>
      </c>
      <c r="AG301" s="167">
        <f t="shared" si="8"/>
        <v>0</v>
      </c>
      <c r="AH301" s="159" t="s">
        <v>546</v>
      </c>
      <c r="AI301" s="158">
        <f t="shared" si="10"/>
        <v>2023</v>
      </c>
    </row>
    <row r="302" ht="12.75" customHeight="1">
      <c r="A302" s="48" t="s">
        <v>567</v>
      </c>
      <c r="B302" s="160" t="str">
        <f>iferror(VLOOKUP((LEFT(A302,6)),CUSTOMER_DETAILS,2,FALSE),"-")</f>
        <v>BAIDYANATH BIOFUELS PVT LIMITED</v>
      </c>
      <c r="C302" s="161" t="s">
        <v>89</v>
      </c>
      <c r="D302" s="191">
        <v>45287.0</v>
      </c>
      <c r="E302" s="161" t="s">
        <v>89</v>
      </c>
      <c r="F302" s="30" t="s">
        <v>89</v>
      </c>
      <c r="G302" s="30" t="s">
        <v>89</v>
      </c>
      <c r="H302" s="30" t="s">
        <v>89</v>
      </c>
      <c r="I302" s="48" t="s">
        <v>108</v>
      </c>
      <c r="J302" s="188">
        <f t="shared" si="13"/>
        <v>45287</v>
      </c>
      <c r="K302" s="48">
        <v>319.0</v>
      </c>
      <c r="L302" s="48" t="s">
        <v>108</v>
      </c>
      <c r="M302" s="48" t="s">
        <v>91</v>
      </c>
      <c r="N302" s="48" t="s">
        <v>135</v>
      </c>
      <c r="O302" s="30" t="s">
        <v>89</v>
      </c>
      <c r="P302" s="48" t="s">
        <v>568</v>
      </c>
      <c r="Q302" s="48" t="s">
        <v>502</v>
      </c>
      <c r="R302" s="161">
        <f>IFERROR(VLOOKUP(Q302,'PRODUCT TABLE'!$A$2:$B$26,2,FALSE),"-")</f>
        <v>1213</v>
      </c>
      <c r="S302" s="48">
        <v>11880.0</v>
      </c>
      <c r="T302" s="48">
        <v>4.4</v>
      </c>
      <c r="U302" s="48" t="s">
        <v>95</v>
      </c>
      <c r="V302" s="161">
        <f t="shared" si="1"/>
        <v>52272</v>
      </c>
      <c r="Y302" s="30"/>
      <c r="Z302" s="169">
        <f t="shared" si="2"/>
        <v>52272</v>
      </c>
      <c r="AA302" s="167">
        <f t="shared" si="3"/>
        <v>0</v>
      </c>
      <c r="AB302" s="161"/>
      <c r="AC302" s="161">
        <f t="shared" si="4"/>
        <v>52272</v>
      </c>
      <c r="AD302" s="161">
        <f t="shared" si="5"/>
        <v>0</v>
      </c>
      <c r="AE302" s="161">
        <f t="shared" si="6"/>
        <v>0</v>
      </c>
      <c r="AF302" s="167">
        <f t="shared" si="7"/>
        <v>0</v>
      </c>
      <c r="AG302" s="167">
        <f t="shared" si="8"/>
        <v>0</v>
      </c>
      <c r="AH302" s="159" t="s">
        <v>546</v>
      </c>
      <c r="AI302" s="158">
        <f t="shared" si="10"/>
        <v>2023</v>
      </c>
    </row>
    <row r="303" ht="12.75" customHeight="1">
      <c r="A303" s="48" t="s">
        <v>569</v>
      </c>
      <c r="B303" s="160" t="str">
        <f>iferror(VLOOKUP((LEFT(A303,6)),CUSTOMER_DETAILS,2,FALSE),"-")</f>
        <v>BAIDYANATH BIOFUELS PVT LIMITED</v>
      </c>
      <c r="C303" s="161" t="s">
        <v>89</v>
      </c>
      <c r="D303" s="191">
        <v>45287.0</v>
      </c>
      <c r="E303" s="161" t="s">
        <v>89</v>
      </c>
      <c r="F303" s="30" t="s">
        <v>89</v>
      </c>
      <c r="G303" s="30" t="s">
        <v>89</v>
      </c>
      <c r="H303" s="30" t="s">
        <v>89</v>
      </c>
      <c r="I303" s="48" t="s">
        <v>108</v>
      </c>
      <c r="J303" s="188">
        <f t="shared" si="13"/>
        <v>45287</v>
      </c>
      <c r="K303" s="48">
        <v>320.0</v>
      </c>
      <c r="L303" s="48" t="s">
        <v>108</v>
      </c>
      <c r="M303" s="48" t="s">
        <v>91</v>
      </c>
      <c r="N303" s="48" t="s">
        <v>135</v>
      </c>
      <c r="O303" s="30" t="s">
        <v>89</v>
      </c>
      <c r="P303" s="48" t="s">
        <v>563</v>
      </c>
      <c r="Q303" s="48" t="s">
        <v>502</v>
      </c>
      <c r="R303" s="161">
        <f>IFERROR(VLOOKUP(Q303,'PRODUCT TABLE'!$A$2:$B$26,2,FALSE),"-")</f>
        <v>1213</v>
      </c>
      <c r="S303" s="48">
        <v>10930.0</v>
      </c>
      <c r="T303" s="48">
        <v>4.4</v>
      </c>
      <c r="U303" s="48" t="s">
        <v>95</v>
      </c>
      <c r="V303" s="161">
        <f t="shared" si="1"/>
        <v>48092</v>
      </c>
      <c r="Y303" s="30"/>
      <c r="Z303" s="169">
        <f t="shared" si="2"/>
        <v>48092</v>
      </c>
      <c r="AA303" s="167">
        <f t="shared" si="3"/>
        <v>0</v>
      </c>
      <c r="AB303" s="161"/>
      <c r="AC303" s="161">
        <f t="shared" si="4"/>
        <v>48092</v>
      </c>
      <c r="AD303" s="161">
        <f t="shared" si="5"/>
        <v>0</v>
      </c>
      <c r="AE303" s="161">
        <f t="shared" si="6"/>
        <v>0</v>
      </c>
      <c r="AF303" s="167">
        <f t="shared" si="7"/>
        <v>0</v>
      </c>
      <c r="AG303" s="167">
        <f t="shared" si="8"/>
        <v>0</v>
      </c>
      <c r="AH303" s="159" t="s">
        <v>546</v>
      </c>
      <c r="AI303" s="158">
        <f t="shared" si="10"/>
        <v>2023</v>
      </c>
    </row>
    <row r="304" ht="12.75" customHeight="1">
      <c r="A304" s="48" t="s">
        <v>570</v>
      </c>
      <c r="B304" s="160" t="str">
        <f>iferror(VLOOKUP((LEFT(A304,6)),CUSTOMER_DETAILS,2,FALSE),"-")</f>
        <v>BAIDYANATH BIOFUELS PVT LIMITED</v>
      </c>
      <c r="C304" s="161" t="s">
        <v>89</v>
      </c>
      <c r="D304" s="191">
        <v>45287.0</v>
      </c>
      <c r="E304" s="161" t="s">
        <v>89</v>
      </c>
      <c r="F304" s="30" t="s">
        <v>89</v>
      </c>
      <c r="G304" s="30" t="s">
        <v>89</v>
      </c>
      <c r="H304" s="30" t="s">
        <v>89</v>
      </c>
      <c r="I304" s="48" t="s">
        <v>108</v>
      </c>
      <c r="J304" s="188">
        <f t="shared" si="13"/>
        <v>45287</v>
      </c>
      <c r="K304" s="48">
        <v>321.0</v>
      </c>
      <c r="L304" s="48" t="s">
        <v>108</v>
      </c>
      <c r="M304" s="48" t="s">
        <v>91</v>
      </c>
      <c r="N304" s="48" t="s">
        <v>135</v>
      </c>
      <c r="O304" s="30" t="s">
        <v>89</v>
      </c>
      <c r="P304" s="48" t="s">
        <v>571</v>
      </c>
      <c r="Q304" s="48" t="s">
        <v>502</v>
      </c>
      <c r="R304" s="161">
        <f>IFERROR(VLOOKUP(Q304,'PRODUCT TABLE'!$A$2:$B$26,2,FALSE),"-")</f>
        <v>1213</v>
      </c>
      <c r="S304" s="48">
        <v>19530.0</v>
      </c>
      <c r="T304" s="48">
        <v>4.4</v>
      </c>
      <c r="U304" s="48" t="s">
        <v>95</v>
      </c>
      <c r="V304" s="161">
        <f t="shared" si="1"/>
        <v>85932</v>
      </c>
      <c r="Y304" s="30"/>
      <c r="Z304" s="169">
        <f t="shared" si="2"/>
        <v>85932</v>
      </c>
      <c r="AA304" s="167">
        <f t="shared" si="3"/>
        <v>0</v>
      </c>
      <c r="AB304" s="161"/>
      <c r="AC304" s="161">
        <f t="shared" si="4"/>
        <v>85932</v>
      </c>
      <c r="AD304" s="161">
        <f t="shared" si="5"/>
        <v>0</v>
      </c>
      <c r="AE304" s="161">
        <f t="shared" si="6"/>
        <v>0</v>
      </c>
      <c r="AF304" s="167">
        <f t="shared" si="7"/>
        <v>0</v>
      </c>
      <c r="AG304" s="167">
        <f t="shared" si="8"/>
        <v>0</v>
      </c>
      <c r="AH304" s="159" t="s">
        <v>546</v>
      </c>
      <c r="AI304" s="158">
        <f t="shared" si="10"/>
        <v>2023</v>
      </c>
    </row>
    <row r="305" ht="12.75" customHeight="1">
      <c r="A305" s="48" t="s">
        <v>572</v>
      </c>
      <c r="B305" s="160" t="str">
        <f>iferror(VLOOKUP((LEFT(A305,6)),CUSTOMER_DETAILS,2,FALSE),"-")</f>
        <v>BAIDYANATH BIOFUELS PVT LIMITED</v>
      </c>
      <c r="C305" s="161" t="s">
        <v>89</v>
      </c>
      <c r="D305" s="191">
        <v>45287.0</v>
      </c>
      <c r="E305" s="161" t="s">
        <v>89</v>
      </c>
      <c r="F305" s="30" t="s">
        <v>89</v>
      </c>
      <c r="G305" s="30" t="s">
        <v>89</v>
      </c>
      <c r="H305" s="30" t="s">
        <v>89</v>
      </c>
      <c r="I305" s="48" t="s">
        <v>108</v>
      </c>
      <c r="J305" s="188">
        <f t="shared" si="13"/>
        <v>45287</v>
      </c>
      <c r="K305" s="48">
        <v>322.0</v>
      </c>
      <c r="L305" s="48" t="s">
        <v>108</v>
      </c>
      <c r="M305" s="48" t="s">
        <v>91</v>
      </c>
      <c r="N305" s="48" t="s">
        <v>135</v>
      </c>
      <c r="O305" s="30" t="s">
        <v>89</v>
      </c>
      <c r="P305" s="48" t="s">
        <v>519</v>
      </c>
      <c r="Q305" s="48" t="s">
        <v>502</v>
      </c>
      <c r="R305" s="161">
        <f>IFERROR(VLOOKUP(Q305,'PRODUCT TABLE'!$A$2:$B$26,2,FALSE),"-")</f>
        <v>1213</v>
      </c>
      <c r="S305" s="48">
        <v>12420.0</v>
      </c>
      <c r="T305" s="48">
        <v>4.4</v>
      </c>
      <c r="U305" s="48" t="s">
        <v>95</v>
      </c>
      <c r="V305" s="161">
        <f t="shared" si="1"/>
        <v>54648</v>
      </c>
      <c r="Y305" s="30"/>
      <c r="Z305" s="169">
        <f t="shared" si="2"/>
        <v>54648</v>
      </c>
      <c r="AA305" s="167">
        <f t="shared" si="3"/>
        <v>0</v>
      </c>
      <c r="AB305" s="161"/>
      <c r="AC305" s="161">
        <f t="shared" si="4"/>
        <v>54648</v>
      </c>
      <c r="AD305" s="161">
        <f t="shared" si="5"/>
        <v>0</v>
      </c>
      <c r="AE305" s="161">
        <f t="shared" si="6"/>
        <v>0</v>
      </c>
      <c r="AF305" s="167">
        <f t="shared" si="7"/>
        <v>0</v>
      </c>
      <c r="AG305" s="167">
        <f t="shared" si="8"/>
        <v>0</v>
      </c>
      <c r="AH305" s="159" t="s">
        <v>546</v>
      </c>
      <c r="AI305" s="158">
        <f t="shared" si="10"/>
        <v>2023</v>
      </c>
    </row>
    <row r="306" ht="12.75" customHeight="1">
      <c r="A306" s="48" t="s">
        <v>573</v>
      </c>
      <c r="B306" s="160" t="str">
        <f>iferror(VLOOKUP((LEFT(A306,6)),CUSTOMER_DETAILS,2,FALSE),"-")</f>
        <v>BAIDYANATH BIOFUELS PVT LIMITED</v>
      </c>
      <c r="C306" s="161" t="s">
        <v>89</v>
      </c>
      <c r="D306" s="191">
        <v>45287.0</v>
      </c>
      <c r="E306" s="161" t="s">
        <v>89</v>
      </c>
      <c r="F306" s="30" t="s">
        <v>89</v>
      </c>
      <c r="G306" s="30" t="s">
        <v>89</v>
      </c>
      <c r="H306" s="30" t="s">
        <v>89</v>
      </c>
      <c r="I306" s="48" t="s">
        <v>108</v>
      </c>
      <c r="J306" s="188">
        <f t="shared" si="13"/>
        <v>45287</v>
      </c>
      <c r="K306" s="48">
        <v>323.0</v>
      </c>
      <c r="L306" s="48" t="s">
        <v>108</v>
      </c>
      <c r="M306" s="48" t="s">
        <v>91</v>
      </c>
      <c r="N306" s="48" t="s">
        <v>135</v>
      </c>
      <c r="O306" s="30" t="s">
        <v>89</v>
      </c>
      <c r="P306" s="48" t="s">
        <v>524</v>
      </c>
      <c r="Q306" s="48" t="s">
        <v>502</v>
      </c>
      <c r="R306" s="161">
        <f>IFERROR(VLOOKUP(Q306,'PRODUCT TABLE'!$A$2:$B$26,2,FALSE),"-")</f>
        <v>1213</v>
      </c>
      <c r="S306" s="48">
        <v>17840.0</v>
      </c>
      <c r="T306" s="48">
        <v>4.4</v>
      </c>
      <c r="U306" s="48" t="s">
        <v>95</v>
      </c>
      <c r="V306" s="161">
        <f t="shared" si="1"/>
        <v>78496</v>
      </c>
      <c r="Y306" s="30"/>
      <c r="Z306" s="169">
        <f t="shared" si="2"/>
        <v>78496</v>
      </c>
      <c r="AA306" s="167">
        <f t="shared" si="3"/>
        <v>0</v>
      </c>
      <c r="AB306" s="161"/>
      <c r="AC306" s="161">
        <f t="shared" si="4"/>
        <v>78496</v>
      </c>
      <c r="AD306" s="161">
        <f t="shared" si="5"/>
        <v>0</v>
      </c>
      <c r="AE306" s="161">
        <f t="shared" si="6"/>
        <v>0</v>
      </c>
      <c r="AF306" s="167">
        <f t="shared" si="7"/>
        <v>0</v>
      </c>
      <c r="AG306" s="167">
        <f t="shared" si="8"/>
        <v>0</v>
      </c>
      <c r="AH306" s="159" t="s">
        <v>546</v>
      </c>
      <c r="AI306" s="158">
        <f t="shared" si="10"/>
        <v>2023</v>
      </c>
    </row>
    <row r="307" ht="12.75" customHeight="1">
      <c r="A307" s="48" t="s">
        <v>574</v>
      </c>
      <c r="B307" s="160" t="str">
        <f>iferror(VLOOKUP((LEFT(A307,6)),CUSTOMER_DETAILS,2,FALSE),"-")</f>
        <v>BAIDYANATH BIOFUELS PVT LIMITED</v>
      </c>
      <c r="C307" s="161" t="s">
        <v>89</v>
      </c>
      <c r="D307" s="191">
        <v>45289.0</v>
      </c>
      <c r="E307" s="161" t="s">
        <v>89</v>
      </c>
      <c r="F307" s="30" t="s">
        <v>89</v>
      </c>
      <c r="G307" s="30" t="s">
        <v>89</v>
      </c>
      <c r="H307" s="30" t="s">
        <v>89</v>
      </c>
      <c r="I307" s="48" t="s">
        <v>108</v>
      </c>
      <c r="J307" s="188">
        <f t="shared" si="13"/>
        <v>45289</v>
      </c>
      <c r="K307" s="48">
        <v>324.0</v>
      </c>
      <c r="L307" s="48" t="s">
        <v>108</v>
      </c>
      <c r="M307" s="48" t="s">
        <v>91</v>
      </c>
      <c r="N307" s="48" t="s">
        <v>135</v>
      </c>
      <c r="O307" s="30" t="s">
        <v>89</v>
      </c>
      <c r="P307" s="48" t="s">
        <v>571</v>
      </c>
      <c r="Q307" s="48" t="s">
        <v>502</v>
      </c>
      <c r="R307" s="161">
        <f>IFERROR(VLOOKUP(Q307,'PRODUCT TABLE'!$A$2:$B$26,2,FALSE),"-")</f>
        <v>1213</v>
      </c>
      <c r="S307" s="48">
        <v>18650.0</v>
      </c>
      <c r="T307" s="48">
        <v>4.4</v>
      </c>
      <c r="U307" s="48" t="s">
        <v>95</v>
      </c>
      <c r="V307" s="161">
        <f t="shared" si="1"/>
        <v>82060</v>
      </c>
      <c r="Y307" s="30"/>
      <c r="Z307" s="169">
        <f t="shared" si="2"/>
        <v>82060</v>
      </c>
      <c r="AA307" s="167">
        <f t="shared" si="3"/>
        <v>0</v>
      </c>
      <c r="AB307" s="161"/>
      <c r="AC307" s="161">
        <f t="shared" si="4"/>
        <v>82060</v>
      </c>
      <c r="AD307" s="161">
        <f t="shared" si="5"/>
        <v>0</v>
      </c>
      <c r="AE307" s="161">
        <f t="shared" si="6"/>
        <v>0</v>
      </c>
      <c r="AF307" s="167">
        <f t="shared" si="7"/>
        <v>0</v>
      </c>
      <c r="AG307" s="167">
        <f t="shared" si="8"/>
        <v>0</v>
      </c>
      <c r="AH307" s="159" t="s">
        <v>546</v>
      </c>
      <c r="AI307" s="158">
        <f t="shared" si="10"/>
        <v>2023</v>
      </c>
    </row>
    <row r="308" ht="12.75" customHeight="1">
      <c r="A308" s="48" t="s">
        <v>575</v>
      </c>
      <c r="B308" s="160" t="str">
        <f>iferror(VLOOKUP((LEFT(A308,6)),CUSTOMER_DETAILS,2,FALSE),"-")</f>
        <v>BAIDYANATH BIOFUELS PVT LIMITED</v>
      </c>
      <c r="C308" s="161" t="s">
        <v>89</v>
      </c>
      <c r="D308" s="191">
        <v>45289.0</v>
      </c>
      <c r="E308" s="161" t="s">
        <v>89</v>
      </c>
      <c r="F308" s="30" t="s">
        <v>89</v>
      </c>
      <c r="G308" s="30" t="s">
        <v>89</v>
      </c>
      <c r="H308" s="30" t="s">
        <v>89</v>
      </c>
      <c r="I308" s="48" t="s">
        <v>108</v>
      </c>
      <c r="J308" s="188">
        <f t="shared" si="13"/>
        <v>45289</v>
      </c>
      <c r="K308" s="48">
        <v>325.0</v>
      </c>
      <c r="L308" s="48" t="s">
        <v>108</v>
      </c>
      <c r="M308" s="48" t="s">
        <v>91</v>
      </c>
      <c r="N308" s="48" t="s">
        <v>135</v>
      </c>
      <c r="O308" s="30" t="s">
        <v>89</v>
      </c>
      <c r="P308" s="48" t="s">
        <v>576</v>
      </c>
      <c r="Q308" s="48" t="s">
        <v>502</v>
      </c>
      <c r="R308" s="161">
        <f>IFERROR(VLOOKUP(Q308,'PRODUCT TABLE'!$A$2:$B$26,2,FALSE),"-")</f>
        <v>1213</v>
      </c>
      <c r="S308" s="48">
        <v>10900.0</v>
      </c>
      <c r="T308" s="48">
        <v>4.4</v>
      </c>
      <c r="U308" s="48" t="s">
        <v>95</v>
      </c>
      <c r="V308" s="161">
        <f t="shared" si="1"/>
        <v>47960</v>
      </c>
      <c r="Y308" s="30"/>
      <c r="Z308" s="169">
        <f t="shared" si="2"/>
        <v>47960</v>
      </c>
      <c r="AA308" s="167">
        <f t="shared" si="3"/>
        <v>0</v>
      </c>
      <c r="AB308" s="161"/>
      <c r="AC308" s="161">
        <f t="shared" si="4"/>
        <v>47960</v>
      </c>
      <c r="AD308" s="161">
        <f t="shared" si="5"/>
        <v>0</v>
      </c>
      <c r="AE308" s="161">
        <f t="shared" si="6"/>
        <v>0</v>
      </c>
      <c r="AF308" s="167">
        <f t="shared" si="7"/>
        <v>0</v>
      </c>
      <c r="AG308" s="167">
        <f t="shared" si="8"/>
        <v>0</v>
      </c>
      <c r="AH308" s="159" t="s">
        <v>546</v>
      </c>
      <c r="AI308" s="158">
        <f t="shared" si="10"/>
        <v>2023</v>
      </c>
    </row>
    <row r="309" ht="12.75" customHeight="1">
      <c r="A309" s="48" t="s">
        <v>577</v>
      </c>
      <c r="B309" s="160" t="str">
        <f>iferror(VLOOKUP((LEFT(A309,6)),CUSTOMER_DETAILS,2,FALSE),"-")</f>
        <v>BAIDYANATH BIOFUELS PVT LIMITED</v>
      </c>
      <c r="C309" s="161" t="s">
        <v>89</v>
      </c>
      <c r="D309" s="191">
        <v>45289.0</v>
      </c>
      <c r="E309" s="161" t="s">
        <v>89</v>
      </c>
      <c r="F309" s="30" t="s">
        <v>89</v>
      </c>
      <c r="G309" s="30" t="s">
        <v>89</v>
      </c>
      <c r="H309" s="30" t="s">
        <v>89</v>
      </c>
      <c r="I309" s="48" t="s">
        <v>108</v>
      </c>
      <c r="J309" s="188">
        <f t="shared" si="13"/>
        <v>45289</v>
      </c>
      <c r="K309" s="48">
        <v>326.0</v>
      </c>
      <c r="L309" s="48" t="s">
        <v>108</v>
      </c>
      <c r="M309" s="48" t="s">
        <v>91</v>
      </c>
      <c r="N309" s="48" t="s">
        <v>135</v>
      </c>
      <c r="O309" s="30" t="s">
        <v>89</v>
      </c>
      <c r="P309" s="48" t="s">
        <v>524</v>
      </c>
      <c r="Q309" s="48" t="s">
        <v>502</v>
      </c>
      <c r="R309" s="161">
        <f>IFERROR(VLOOKUP(Q309,'PRODUCT TABLE'!$A$2:$B$26,2,FALSE),"-")</f>
        <v>1213</v>
      </c>
      <c r="S309" s="48">
        <v>17270.0</v>
      </c>
      <c r="T309" s="48">
        <v>4.4</v>
      </c>
      <c r="U309" s="48" t="s">
        <v>95</v>
      </c>
      <c r="V309" s="161">
        <f t="shared" si="1"/>
        <v>75988</v>
      </c>
      <c r="Y309" s="30"/>
      <c r="Z309" s="169">
        <f t="shared" si="2"/>
        <v>75988</v>
      </c>
      <c r="AA309" s="167">
        <f t="shared" si="3"/>
        <v>0</v>
      </c>
      <c r="AB309" s="161"/>
      <c r="AC309" s="161">
        <f t="shared" si="4"/>
        <v>75988</v>
      </c>
      <c r="AD309" s="161">
        <f t="shared" si="5"/>
        <v>0</v>
      </c>
      <c r="AE309" s="161">
        <f t="shared" si="6"/>
        <v>0</v>
      </c>
      <c r="AF309" s="167">
        <f t="shared" si="7"/>
        <v>0</v>
      </c>
      <c r="AG309" s="167">
        <f t="shared" si="8"/>
        <v>0</v>
      </c>
      <c r="AH309" s="159" t="s">
        <v>546</v>
      </c>
      <c r="AI309" s="158">
        <f t="shared" si="10"/>
        <v>2023</v>
      </c>
    </row>
    <row r="310" ht="12.75" customHeight="1">
      <c r="A310" s="48" t="s">
        <v>578</v>
      </c>
      <c r="B310" s="160" t="str">
        <f>iferror(VLOOKUP((LEFT(A310,6)),CUSTOMER_DETAILS,2,FALSE),"-")</f>
        <v>BAIDYANATH BIOFUELS PVT LIMITED</v>
      </c>
      <c r="C310" s="161" t="s">
        <v>89</v>
      </c>
      <c r="D310" s="191">
        <v>45289.0</v>
      </c>
      <c r="E310" s="161" t="s">
        <v>89</v>
      </c>
      <c r="F310" s="30" t="s">
        <v>89</v>
      </c>
      <c r="G310" s="30" t="s">
        <v>89</v>
      </c>
      <c r="H310" s="30" t="s">
        <v>89</v>
      </c>
      <c r="I310" s="48" t="s">
        <v>108</v>
      </c>
      <c r="J310" s="188">
        <f t="shared" si="13"/>
        <v>45289</v>
      </c>
      <c r="K310" s="48">
        <v>327.0</v>
      </c>
      <c r="L310" s="48" t="s">
        <v>108</v>
      </c>
      <c r="M310" s="48" t="s">
        <v>91</v>
      </c>
      <c r="N310" s="48" t="s">
        <v>135</v>
      </c>
      <c r="O310" s="30" t="s">
        <v>89</v>
      </c>
      <c r="P310" s="48" t="s">
        <v>519</v>
      </c>
      <c r="Q310" s="48" t="s">
        <v>502</v>
      </c>
      <c r="R310" s="161">
        <f>IFERROR(VLOOKUP(Q310,'PRODUCT TABLE'!$A$2:$B$26,2,FALSE),"-")</f>
        <v>1213</v>
      </c>
      <c r="S310" s="48">
        <v>13130.0</v>
      </c>
      <c r="T310" s="48">
        <v>4.4</v>
      </c>
      <c r="U310" s="48" t="s">
        <v>95</v>
      </c>
      <c r="V310" s="161">
        <f t="shared" si="1"/>
        <v>57772</v>
      </c>
      <c r="Y310" s="30"/>
      <c r="Z310" s="169">
        <f t="shared" si="2"/>
        <v>57772</v>
      </c>
      <c r="AA310" s="167">
        <f t="shared" si="3"/>
        <v>0</v>
      </c>
      <c r="AB310" s="161"/>
      <c r="AC310" s="161">
        <f t="shared" si="4"/>
        <v>57772</v>
      </c>
      <c r="AD310" s="161">
        <f t="shared" si="5"/>
        <v>0</v>
      </c>
      <c r="AE310" s="161">
        <f t="shared" si="6"/>
        <v>0</v>
      </c>
      <c r="AF310" s="167">
        <f t="shared" si="7"/>
        <v>0</v>
      </c>
      <c r="AG310" s="167">
        <f t="shared" si="8"/>
        <v>0</v>
      </c>
      <c r="AH310" s="159" t="s">
        <v>546</v>
      </c>
      <c r="AI310" s="158">
        <f t="shared" si="10"/>
        <v>2023</v>
      </c>
    </row>
    <row r="311" ht="12.75" customHeight="1">
      <c r="A311" s="48" t="s">
        <v>579</v>
      </c>
      <c r="B311" s="160" t="str">
        <f>iferror(VLOOKUP((LEFT(A311,6)),CUSTOMER_DETAILS,2,FALSE),"-")</f>
        <v>VANDANA FOODS </v>
      </c>
      <c r="C311" s="161" t="s">
        <v>89</v>
      </c>
      <c r="D311" s="191">
        <v>45303.0</v>
      </c>
      <c r="E311" s="161" t="s">
        <v>89</v>
      </c>
      <c r="F311" s="30" t="s">
        <v>89</v>
      </c>
      <c r="G311" s="30" t="s">
        <v>89</v>
      </c>
      <c r="H311" s="30" t="s">
        <v>89</v>
      </c>
      <c r="I311" s="48" t="s">
        <v>108</v>
      </c>
      <c r="J311" s="188">
        <f t="shared" si="13"/>
        <v>45303</v>
      </c>
      <c r="K311" s="48">
        <v>328.0</v>
      </c>
      <c r="L311" s="48" t="s">
        <v>108</v>
      </c>
      <c r="M311" s="48" t="s">
        <v>580</v>
      </c>
      <c r="N311" s="48" t="s">
        <v>135</v>
      </c>
      <c r="O311" s="30" t="s">
        <v>89</v>
      </c>
      <c r="P311" s="48" t="s">
        <v>581</v>
      </c>
      <c r="Q311" s="48" t="s">
        <v>117</v>
      </c>
      <c r="R311" s="161">
        <f>IFERROR(VLOOKUP(Q311,'PRODUCT TABLE'!$A$2:$B$26,2,FALSE),"-")</f>
        <v>44011090</v>
      </c>
      <c r="S311" s="48">
        <v>1020.0</v>
      </c>
      <c r="T311" s="48">
        <v>11.8</v>
      </c>
      <c r="U311" s="48" t="s">
        <v>95</v>
      </c>
      <c r="V311" s="198">
        <v>12036.0</v>
      </c>
      <c r="W311" s="189">
        <v>0.025</v>
      </c>
      <c r="X311" s="189">
        <v>0.025</v>
      </c>
      <c r="Y311" s="30"/>
      <c r="Z311" s="169">
        <f t="shared" si="2"/>
        <v>12638</v>
      </c>
      <c r="AA311" s="167">
        <f t="shared" si="3"/>
        <v>0.2</v>
      </c>
      <c r="AB311" s="161"/>
      <c r="AC311" s="199">
        <f t="shared" si="4"/>
        <v>12036</v>
      </c>
      <c r="AD311" s="161">
        <f t="shared" si="5"/>
        <v>300.9</v>
      </c>
      <c r="AE311" s="161">
        <f t="shared" si="6"/>
        <v>300.9</v>
      </c>
      <c r="AF311" s="167">
        <f t="shared" si="7"/>
        <v>0</v>
      </c>
      <c r="AG311" s="167">
        <f t="shared" si="8"/>
        <v>601.8</v>
      </c>
      <c r="AH311" s="159" t="s">
        <v>582</v>
      </c>
      <c r="AI311" s="159" t="s">
        <v>583</v>
      </c>
    </row>
    <row r="312" ht="12.75" customHeight="1">
      <c r="A312" s="48" t="s">
        <v>584</v>
      </c>
      <c r="B312" s="160" t="str">
        <f>iferror(VLOOKUP((LEFT(A312,6)),CUSTOMER_DETAILS,2,FALSE),"-")</f>
        <v>SAI KALYANI AGENCY</v>
      </c>
      <c r="C312" s="161" t="s">
        <v>89</v>
      </c>
      <c r="D312" s="191">
        <v>45305.0</v>
      </c>
      <c r="E312" s="161" t="s">
        <v>89</v>
      </c>
      <c r="F312" s="30" t="s">
        <v>89</v>
      </c>
      <c r="G312" s="30" t="s">
        <v>89</v>
      </c>
      <c r="H312" s="30" t="s">
        <v>89</v>
      </c>
      <c r="I312" s="48" t="s">
        <v>108</v>
      </c>
      <c r="J312" s="188">
        <f t="shared" si="13"/>
        <v>45305</v>
      </c>
      <c r="K312" s="48">
        <v>329.0</v>
      </c>
      <c r="L312" s="48" t="s">
        <v>108</v>
      </c>
      <c r="M312" s="48" t="s">
        <v>91</v>
      </c>
      <c r="N312" s="48" t="s">
        <v>369</v>
      </c>
      <c r="O312" s="30" t="s">
        <v>89</v>
      </c>
      <c r="P312" s="48" t="s">
        <v>585</v>
      </c>
      <c r="Q312" s="48" t="s">
        <v>233</v>
      </c>
      <c r="R312" s="161">
        <f>IFERROR(VLOOKUP(Q312,'PRODUCT TABLE'!$A$2:$B$26,2,FALSE),"-")</f>
        <v>44011090</v>
      </c>
      <c r="S312" s="48">
        <v>27630.0</v>
      </c>
      <c r="T312" s="48">
        <v>14.2</v>
      </c>
      <c r="U312" s="48" t="s">
        <v>95</v>
      </c>
      <c r="V312" s="161">
        <f t="shared" ref="V312:V1137" si="14">S312*T312</f>
        <v>392346</v>
      </c>
      <c r="Y312" s="186">
        <v>0.05</v>
      </c>
      <c r="Z312" s="169">
        <f t="shared" si="2"/>
        <v>411963</v>
      </c>
      <c r="AA312" s="167">
        <f t="shared" si="3"/>
        <v>-0.3</v>
      </c>
      <c r="AB312" s="161"/>
      <c r="AC312" s="161">
        <f t="shared" si="4"/>
        <v>392346</v>
      </c>
      <c r="AD312" s="161">
        <f t="shared" si="5"/>
        <v>0</v>
      </c>
      <c r="AE312" s="161">
        <f t="shared" si="6"/>
        <v>0</v>
      </c>
      <c r="AF312" s="167">
        <f t="shared" si="7"/>
        <v>19617.3</v>
      </c>
      <c r="AG312" s="167">
        <f t="shared" si="8"/>
        <v>19617.3</v>
      </c>
      <c r="AH312" s="159" t="s">
        <v>582</v>
      </c>
      <c r="AI312" s="159" t="s">
        <v>583</v>
      </c>
    </row>
    <row r="313" ht="12.75" customHeight="1">
      <c r="A313" s="48" t="s">
        <v>586</v>
      </c>
      <c r="B313" s="160" t="str">
        <f>iferror(VLOOKUP((LEFT(A313,6)),CUSTOMER_DETAILS,2,FALSE),"-")</f>
        <v>VIDARBHA SALES</v>
      </c>
      <c r="C313" s="161" t="s">
        <v>89</v>
      </c>
      <c r="D313" s="191">
        <v>45307.0</v>
      </c>
      <c r="E313" s="161" t="s">
        <v>89</v>
      </c>
      <c r="F313" s="30" t="s">
        <v>89</v>
      </c>
      <c r="G313" s="30" t="s">
        <v>89</v>
      </c>
      <c r="H313" s="30" t="s">
        <v>89</v>
      </c>
      <c r="I313" s="48" t="s">
        <v>108</v>
      </c>
      <c r="J313" s="188">
        <f t="shared" si="13"/>
        <v>45307</v>
      </c>
      <c r="K313" s="48">
        <v>330.0</v>
      </c>
      <c r="L313" s="48" t="s">
        <v>108</v>
      </c>
      <c r="M313" s="48" t="s">
        <v>245</v>
      </c>
      <c r="N313" s="48" t="s">
        <v>128</v>
      </c>
      <c r="O313" s="30" t="s">
        <v>89</v>
      </c>
      <c r="Q313" s="48" t="s">
        <v>151</v>
      </c>
      <c r="R313" s="161">
        <f>IFERROR(VLOOKUP(Q313,'PRODUCT TABLE'!$A$2:$B$26,2,FALSE),"-")</f>
        <v>23069026</v>
      </c>
      <c r="S313" s="48">
        <v>2110.0</v>
      </c>
      <c r="T313" s="48">
        <v>14.0</v>
      </c>
      <c r="U313" s="48" t="s">
        <v>95</v>
      </c>
      <c r="V313" s="161">
        <f t="shared" si="14"/>
        <v>29540</v>
      </c>
      <c r="W313" s="189">
        <v>0.025</v>
      </c>
      <c r="X313" s="189">
        <v>0.025</v>
      </c>
      <c r="Y313" s="30"/>
      <c r="Z313" s="169">
        <f t="shared" si="2"/>
        <v>31017</v>
      </c>
      <c r="AA313" s="167">
        <f t="shared" si="3"/>
        <v>0</v>
      </c>
      <c r="AB313" s="161"/>
      <c r="AC313" s="161">
        <f t="shared" si="4"/>
        <v>29540</v>
      </c>
      <c r="AD313" s="161">
        <f t="shared" si="5"/>
        <v>738.5</v>
      </c>
      <c r="AE313" s="161">
        <f t="shared" si="6"/>
        <v>738.5</v>
      </c>
      <c r="AF313" s="167">
        <f t="shared" si="7"/>
        <v>0</v>
      </c>
      <c r="AG313" s="167">
        <f t="shared" si="8"/>
        <v>1477</v>
      </c>
      <c r="AH313" s="159" t="s">
        <v>582</v>
      </c>
      <c r="AI313" s="159" t="s">
        <v>583</v>
      </c>
    </row>
    <row r="314" ht="12.75" customHeight="1">
      <c r="A314" s="48" t="s">
        <v>587</v>
      </c>
      <c r="B314" s="160" t="str">
        <f>iferror(VLOOKUP((LEFT(A314,6)),CUSTOMER_DETAILS,2,FALSE),"-")</f>
        <v>HARIWANSH PACKAGING PVT LTD</v>
      </c>
      <c r="C314" s="161" t="s">
        <v>89</v>
      </c>
      <c r="D314" s="191">
        <v>45316.0</v>
      </c>
      <c r="E314" s="161" t="s">
        <v>89</v>
      </c>
      <c r="F314" s="164" t="s">
        <v>588</v>
      </c>
      <c r="G314" s="30" t="s">
        <v>89</v>
      </c>
      <c r="H314" s="30" t="s">
        <v>89</v>
      </c>
      <c r="I314" s="48">
        <v>1719.0</v>
      </c>
      <c r="J314" s="188">
        <f t="shared" si="13"/>
        <v>45316</v>
      </c>
      <c r="K314" s="48">
        <v>331.0</v>
      </c>
      <c r="L314" s="48" t="s">
        <v>108</v>
      </c>
      <c r="M314" s="48" t="s">
        <v>91</v>
      </c>
      <c r="N314" s="48" t="s">
        <v>135</v>
      </c>
      <c r="O314" s="30" t="s">
        <v>89</v>
      </c>
      <c r="P314" s="48" t="s">
        <v>589</v>
      </c>
      <c r="Q314" s="48" t="s">
        <v>94</v>
      </c>
      <c r="R314" s="161">
        <f>IFERROR(VLOOKUP(Q314,'PRODUCT TABLE'!$A$2:$B$26,2,FALSE),"-")</f>
        <v>44011090</v>
      </c>
      <c r="S314" s="48">
        <v>12250.0</v>
      </c>
      <c r="T314" s="48">
        <v>5.65</v>
      </c>
      <c r="U314" s="48" t="s">
        <v>95</v>
      </c>
      <c r="V314" s="161">
        <f t="shared" si="14"/>
        <v>69212.5</v>
      </c>
      <c r="W314" s="189">
        <v>0.025</v>
      </c>
      <c r="X314" s="189">
        <v>0.025</v>
      </c>
      <c r="Y314" s="30"/>
      <c r="Z314" s="169">
        <f t="shared" si="2"/>
        <v>72673</v>
      </c>
      <c r="AA314" s="167">
        <f t="shared" si="3"/>
        <v>-0.125</v>
      </c>
      <c r="AB314" s="161"/>
      <c r="AC314" s="161">
        <f t="shared" si="4"/>
        <v>69212.5</v>
      </c>
      <c r="AD314" s="161">
        <f t="shared" si="5"/>
        <v>1730.3125</v>
      </c>
      <c r="AE314" s="161">
        <f t="shared" si="6"/>
        <v>1730.3125</v>
      </c>
      <c r="AF314" s="167">
        <f t="shared" si="7"/>
        <v>0</v>
      </c>
      <c r="AG314" s="167">
        <f t="shared" si="8"/>
        <v>3460.625</v>
      </c>
      <c r="AH314" s="159" t="s">
        <v>582</v>
      </c>
      <c r="AI314" s="159" t="s">
        <v>583</v>
      </c>
    </row>
    <row r="315" ht="12.75" customHeight="1">
      <c r="A315" s="48" t="s">
        <v>590</v>
      </c>
      <c r="B315" s="160" t="str">
        <f>iferror(VLOOKUP((LEFT(A315,6)),CUSTOMER_DETAILS,2,FALSE),"-")</f>
        <v>AERO AGRO CHEMICAL INDUSTRIES</v>
      </c>
      <c r="C315" s="161" t="s">
        <v>89</v>
      </c>
      <c r="D315" s="191">
        <v>45313.0</v>
      </c>
      <c r="E315" s="161" t="s">
        <v>89</v>
      </c>
      <c r="F315" s="30" t="s">
        <v>89</v>
      </c>
      <c r="G315" s="30" t="s">
        <v>89</v>
      </c>
      <c r="H315" s="30" t="s">
        <v>89</v>
      </c>
      <c r="I315" s="48" t="s">
        <v>108</v>
      </c>
      <c r="J315" s="188">
        <f t="shared" si="13"/>
        <v>45313</v>
      </c>
      <c r="K315" s="48">
        <v>332.0</v>
      </c>
      <c r="L315" s="48" t="s">
        <v>108</v>
      </c>
      <c r="M315" s="48" t="s">
        <v>91</v>
      </c>
      <c r="N315" s="48" t="s">
        <v>478</v>
      </c>
      <c r="O315" s="30" t="s">
        <v>89</v>
      </c>
      <c r="P315" s="48" t="s">
        <v>533</v>
      </c>
      <c r="Q315" s="48" t="s">
        <v>117</v>
      </c>
      <c r="R315" s="161">
        <f>IFERROR(VLOOKUP(Q315,'PRODUCT TABLE'!$A$2:$B$26,2,FALSE),"-")</f>
        <v>44011090</v>
      </c>
      <c r="S315" s="48">
        <v>3600.0</v>
      </c>
      <c r="T315" s="48">
        <v>10.9</v>
      </c>
      <c r="U315" s="48" t="s">
        <v>95</v>
      </c>
      <c r="V315" s="161">
        <f t="shared" si="14"/>
        <v>39240</v>
      </c>
      <c r="Y315" s="186">
        <v>0.05</v>
      </c>
      <c r="Z315" s="169">
        <f t="shared" si="2"/>
        <v>46902</v>
      </c>
      <c r="AA315" s="167">
        <f t="shared" si="3"/>
        <v>0</v>
      </c>
      <c r="AB315" s="175">
        <v>5700.0</v>
      </c>
      <c r="AC315" s="161">
        <f t="shared" si="4"/>
        <v>39240</v>
      </c>
      <c r="AD315" s="161">
        <f t="shared" si="5"/>
        <v>0</v>
      </c>
      <c r="AE315" s="161">
        <f t="shared" si="6"/>
        <v>0</v>
      </c>
      <c r="AF315" s="167">
        <f t="shared" si="7"/>
        <v>1962</v>
      </c>
      <c r="AG315" s="167">
        <f t="shared" si="8"/>
        <v>1962</v>
      </c>
      <c r="AH315" s="159" t="s">
        <v>582</v>
      </c>
      <c r="AI315" s="159" t="s">
        <v>583</v>
      </c>
    </row>
    <row r="316" ht="12.75" customHeight="1">
      <c r="A316" s="48" t="s">
        <v>591</v>
      </c>
      <c r="B316" s="160" t="str">
        <f>iferror(VLOOKUP((LEFT(A316,6)),CUSTOMER_DETAILS,2,FALSE),"-")</f>
        <v>HARIWANSH PACKAGING PVT LTD</v>
      </c>
      <c r="C316" s="161" t="s">
        <v>89</v>
      </c>
      <c r="D316" s="200">
        <v>45318.0</v>
      </c>
      <c r="E316" s="161" t="s">
        <v>89</v>
      </c>
      <c r="F316" s="164" t="s">
        <v>592</v>
      </c>
      <c r="G316" s="30" t="s">
        <v>89</v>
      </c>
      <c r="H316" s="30" t="s">
        <v>89</v>
      </c>
      <c r="I316" s="48">
        <v>1719.0</v>
      </c>
      <c r="J316" s="201">
        <f t="shared" si="13"/>
        <v>45318</v>
      </c>
      <c r="K316" s="48">
        <v>333.0</v>
      </c>
      <c r="L316" s="48" t="s">
        <v>108</v>
      </c>
      <c r="M316" s="48" t="s">
        <v>91</v>
      </c>
      <c r="N316" s="48" t="s">
        <v>135</v>
      </c>
      <c r="O316" s="30" t="s">
        <v>89</v>
      </c>
      <c r="P316" s="48" t="s">
        <v>593</v>
      </c>
      <c r="Q316" s="48" t="s">
        <v>94</v>
      </c>
      <c r="R316" s="161">
        <f>IFERROR(VLOOKUP(Q316,'PRODUCT TABLE'!$A$2:$B$26,2,FALSE),"-")</f>
        <v>44011090</v>
      </c>
      <c r="S316" s="48">
        <v>11200.0</v>
      </c>
      <c r="T316" s="48">
        <v>5.65</v>
      </c>
      <c r="U316" s="48" t="s">
        <v>95</v>
      </c>
      <c r="V316" s="161">
        <f t="shared" si="14"/>
        <v>63280</v>
      </c>
      <c r="W316" s="189">
        <v>0.025</v>
      </c>
      <c r="X316" s="189">
        <v>0.025</v>
      </c>
      <c r="Y316" s="30"/>
      <c r="Z316" s="169">
        <f t="shared" si="2"/>
        <v>66444</v>
      </c>
      <c r="AA316" s="167">
        <f t="shared" si="3"/>
        <v>0</v>
      </c>
      <c r="AB316" s="161"/>
      <c r="AC316" s="161">
        <f t="shared" si="4"/>
        <v>63280</v>
      </c>
      <c r="AD316" s="161">
        <f t="shared" si="5"/>
        <v>1582</v>
      </c>
      <c r="AE316" s="161">
        <f t="shared" si="6"/>
        <v>1582</v>
      </c>
      <c r="AF316" s="167">
        <f t="shared" si="7"/>
        <v>0</v>
      </c>
      <c r="AG316" s="167">
        <f t="shared" si="8"/>
        <v>3164</v>
      </c>
      <c r="AH316" s="159" t="s">
        <v>582</v>
      </c>
      <c r="AI316" s="159" t="s">
        <v>583</v>
      </c>
    </row>
    <row r="317" ht="12.75" customHeight="1">
      <c r="A317" s="48" t="s">
        <v>594</v>
      </c>
      <c r="B317" s="160" t="str">
        <f>iferror(VLOOKUP((LEFT(A317,6)),CUSTOMER_DETAILS,2,FALSE),"-")</f>
        <v>HARIWANSH PACKAGING PVT LTD</v>
      </c>
      <c r="C317" s="161" t="s">
        <v>89</v>
      </c>
      <c r="D317" s="191">
        <v>45319.0</v>
      </c>
      <c r="E317" s="161" t="s">
        <v>89</v>
      </c>
      <c r="F317" s="164" t="s">
        <v>592</v>
      </c>
      <c r="G317" s="30" t="s">
        <v>89</v>
      </c>
      <c r="H317" s="30" t="s">
        <v>89</v>
      </c>
      <c r="I317" s="48">
        <v>1719.0</v>
      </c>
      <c r="J317" s="188">
        <f t="shared" si="13"/>
        <v>45319</v>
      </c>
      <c r="K317" s="48">
        <v>334.0</v>
      </c>
      <c r="L317" s="48" t="s">
        <v>108</v>
      </c>
      <c r="M317" s="48" t="s">
        <v>91</v>
      </c>
      <c r="N317" s="48" t="s">
        <v>135</v>
      </c>
      <c r="O317" s="30" t="s">
        <v>89</v>
      </c>
      <c r="P317" s="48" t="s">
        <v>595</v>
      </c>
      <c r="Q317" s="48" t="s">
        <v>94</v>
      </c>
      <c r="R317" s="161">
        <f>IFERROR(VLOOKUP(Q317,'PRODUCT TABLE'!$A$2:$B$26,2,FALSE),"-")</f>
        <v>44011090</v>
      </c>
      <c r="S317" s="48">
        <v>12120.0</v>
      </c>
      <c r="T317" s="48">
        <v>5.65</v>
      </c>
      <c r="U317" s="48" t="s">
        <v>95</v>
      </c>
      <c r="V317" s="161">
        <f t="shared" si="14"/>
        <v>68478</v>
      </c>
      <c r="W317" s="189">
        <v>0.025</v>
      </c>
      <c r="X317" s="189">
        <v>0.025</v>
      </c>
      <c r="Y317" s="30"/>
      <c r="Z317" s="169">
        <f t="shared" si="2"/>
        <v>71902</v>
      </c>
      <c r="AA317" s="167">
        <f t="shared" si="3"/>
        <v>0.1</v>
      </c>
      <c r="AB317" s="161"/>
      <c r="AC317" s="161">
        <f t="shared" si="4"/>
        <v>68478</v>
      </c>
      <c r="AD317" s="161">
        <f t="shared" si="5"/>
        <v>1711.95</v>
      </c>
      <c r="AE317" s="161">
        <f t="shared" si="6"/>
        <v>1711.95</v>
      </c>
      <c r="AF317" s="167">
        <f t="shared" si="7"/>
        <v>0</v>
      </c>
      <c r="AG317" s="167">
        <f t="shared" si="8"/>
        <v>3423.9</v>
      </c>
      <c r="AH317" s="159" t="s">
        <v>582</v>
      </c>
      <c r="AI317" s="159" t="s">
        <v>583</v>
      </c>
    </row>
    <row r="318" ht="12.75" customHeight="1">
      <c r="A318" s="48" t="s">
        <v>596</v>
      </c>
      <c r="B318" s="160" t="str">
        <f>iferror(VLOOKUP((LEFT(A318,6)),CUSTOMER_DETAILS,2,FALSE),"-")</f>
        <v>HARIWANSH PACKAGING PVT LTD</v>
      </c>
      <c r="C318" s="161" t="s">
        <v>89</v>
      </c>
      <c r="D318" s="191">
        <v>45323.0</v>
      </c>
      <c r="E318" s="175"/>
      <c r="F318" s="164" t="s">
        <v>592</v>
      </c>
      <c r="G318" s="30" t="s">
        <v>89</v>
      </c>
      <c r="H318" s="30" t="s">
        <v>89</v>
      </c>
      <c r="I318" s="48">
        <v>1719.0</v>
      </c>
      <c r="J318" s="188">
        <f t="shared" si="13"/>
        <v>45323</v>
      </c>
      <c r="K318" s="48">
        <v>335.0</v>
      </c>
      <c r="L318" s="48" t="s">
        <v>108</v>
      </c>
      <c r="M318" s="48" t="s">
        <v>91</v>
      </c>
      <c r="N318" s="48" t="s">
        <v>135</v>
      </c>
      <c r="O318" s="30" t="s">
        <v>89</v>
      </c>
      <c r="P318" s="48" t="s">
        <v>595</v>
      </c>
      <c r="Q318" s="48" t="s">
        <v>94</v>
      </c>
      <c r="R318" s="161">
        <f>IFERROR(VLOOKUP(Q318,'PRODUCT TABLE'!$A$2:$B$26,2,FALSE),"-")</f>
        <v>44011090</v>
      </c>
      <c r="S318" s="48">
        <v>12810.0</v>
      </c>
      <c r="T318" s="48">
        <v>5.65</v>
      </c>
      <c r="U318" s="48" t="s">
        <v>95</v>
      </c>
      <c r="V318" s="161">
        <f t="shared" si="14"/>
        <v>72376.5</v>
      </c>
      <c r="W318" s="189">
        <v>0.025</v>
      </c>
      <c r="X318" s="189">
        <v>0.025</v>
      </c>
      <c r="Y318" s="30"/>
      <c r="Z318" s="169">
        <f t="shared" si="2"/>
        <v>75995</v>
      </c>
      <c r="AA318" s="167">
        <f t="shared" si="3"/>
        <v>-0.325</v>
      </c>
      <c r="AB318" s="161"/>
      <c r="AC318" s="161">
        <f t="shared" si="4"/>
        <v>72376.5</v>
      </c>
      <c r="AD318" s="161">
        <f t="shared" si="5"/>
        <v>1809.4125</v>
      </c>
      <c r="AE318" s="161">
        <f t="shared" si="6"/>
        <v>1809.4125</v>
      </c>
      <c r="AF318" s="167">
        <f t="shared" si="7"/>
        <v>0</v>
      </c>
      <c r="AG318" s="167">
        <f t="shared" si="8"/>
        <v>3618.825</v>
      </c>
      <c r="AH318" s="159" t="s">
        <v>597</v>
      </c>
      <c r="AI318" s="159" t="s">
        <v>583</v>
      </c>
    </row>
    <row r="319" ht="12.75" customHeight="1">
      <c r="A319" s="48" t="s">
        <v>598</v>
      </c>
      <c r="B319" s="160" t="str">
        <f>iferror(VLOOKUP((LEFT(A319,6)),CUSTOMER_DETAILS,2,FALSE),"-")</f>
        <v>HARIWANSH PACKAGING PVT LTD</v>
      </c>
      <c r="C319" s="161" t="s">
        <v>89</v>
      </c>
      <c r="D319" s="191">
        <v>45326.0</v>
      </c>
      <c r="E319" s="161" t="s">
        <v>89</v>
      </c>
      <c r="F319" s="164" t="s">
        <v>592</v>
      </c>
      <c r="G319" s="164" t="s">
        <v>599</v>
      </c>
      <c r="H319" s="30" t="s">
        <v>89</v>
      </c>
      <c r="I319" s="48">
        <v>1719.0</v>
      </c>
      <c r="J319" s="188">
        <f t="shared" si="13"/>
        <v>45326</v>
      </c>
      <c r="K319" s="48">
        <v>336.0</v>
      </c>
      <c r="L319" s="48" t="s">
        <v>108</v>
      </c>
      <c r="M319" s="48" t="s">
        <v>91</v>
      </c>
      <c r="N319" s="48" t="s">
        <v>135</v>
      </c>
      <c r="O319" s="30" t="s">
        <v>89</v>
      </c>
      <c r="P319" s="48" t="s">
        <v>600</v>
      </c>
      <c r="Q319" s="48" t="s">
        <v>94</v>
      </c>
      <c r="R319" s="161">
        <f>IFERROR(VLOOKUP(Q319,'PRODUCT TABLE'!$A$2:$B$26,2,FALSE),"-")</f>
        <v>44011090</v>
      </c>
      <c r="S319" s="48">
        <v>10560.0</v>
      </c>
      <c r="T319" s="48">
        <v>5.65</v>
      </c>
      <c r="U319" s="48" t="s">
        <v>95</v>
      </c>
      <c r="V319" s="161">
        <f t="shared" si="14"/>
        <v>59664</v>
      </c>
      <c r="W319" s="189">
        <v>0.025</v>
      </c>
      <c r="X319" s="189">
        <v>0.025</v>
      </c>
      <c r="Y319" s="30"/>
      <c r="Z319" s="169">
        <f t="shared" si="2"/>
        <v>62647</v>
      </c>
      <c r="AA319" s="167">
        <f t="shared" si="3"/>
        <v>-0.2</v>
      </c>
      <c r="AB319" s="161"/>
      <c r="AC319" s="161">
        <f t="shared" si="4"/>
        <v>59664</v>
      </c>
      <c r="AD319" s="161">
        <f t="shared" si="5"/>
        <v>1491.6</v>
      </c>
      <c r="AE319" s="161">
        <f t="shared" si="6"/>
        <v>1491.6</v>
      </c>
      <c r="AF319" s="167">
        <f t="shared" si="7"/>
        <v>0</v>
      </c>
      <c r="AG319" s="167">
        <f t="shared" si="8"/>
        <v>2983.2</v>
      </c>
      <c r="AH319" s="159" t="s">
        <v>597</v>
      </c>
      <c r="AI319" s="159" t="s">
        <v>583</v>
      </c>
    </row>
    <row r="320" ht="12.75" customHeight="1">
      <c r="A320" s="48" t="s">
        <v>601</v>
      </c>
      <c r="B320" s="160" t="str">
        <f>iferror(VLOOKUP((LEFT(A320,6)),CUSTOMER_DETAILS,2,FALSE),"-")</f>
        <v>HARIWANSH PACKAGING PVT LTD</v>
      </c>
      <c r="C320" s="161" t="s">
        <v>89</v>
      </c>
      <c r="D320" s="197">
        <v>45329.0</v>
      </c>
      <c r="E320" s="161" t="s">
        <v>89</v>
      </c>
      <c r="F320" s="164" t="s">
        <v>592</v>
      </c>
      <c r="G320" s="164" t="s">
        <v>602</v>
      </c>
      <c r="H320" s="30" t="s">
        <v>89</v>
      </c>
      <c r="I320" s="48">
        <v>1776.0</v>
      </c>
      <c r="J320" s="201">
        <f t="shared" si="13"/>
        <v>45329</v>
      </c>
      <c r="K320" s="48">
        <v>337.0</v>
      </c>
      <c r="L320" s="48" t="s">
        <v>108</v>
      </c>
      <c r="M320" s="48" t="s">
        <v>91</v>
      </c>
      <c r="N320" s="48" t="s">
        <v>135</v>
      </c>
      <c r="O320" s="30" t="s">
        <v>89</v>
      </c>
      <c r="P320" s="48" t="s">
        <v>603</v>
      </c>
      <c r="Q320" s="48" t="s">
        <v>94</v>
      </c>
      <c r="R320" s="161">
        <f>IFERROR(VLOOKUP(Q320,'PRODUCT TABLE'!$A$2:$B$26,2,FALSE),"-")</f>
        <v>44011090</v>
      </c>
      <c r="S320" s="48">
        <v>10250.0</v>
      </c>
      <c r="T320" s="48">
        <v>5.65</v>
      </c>
      <c r="U320" s="48" t="s">
        <v>95</v>
      </c>
      <c r="V320" s="161">
        <f t="shared" si="14"/>
        <v>57912.5</v>
      </c>
      <c r="W320" s="189">
        <v>0.025</v>
      </c>
      <c r="X320" s="189">
        <v>0.025</v>
      </c>
      <c r="Y320" s="30"/>
      <c r="Z320" s="169">
        <f t="shared" si="2"/>
        <v>60808</v>
      </c>
      <c r="AA320" s="167">
        <f t="shared" si="3"/>
        <v>-0.125</v>
      </c>
      <c r="AB320" s="161"/>
      <c r="AC320" s="161">
        <f t="shared" si="4"/>
        <v>57912.5</v>
      </c>
      <c r="AD320" s="161">
        <f t="shared" si="5"/>
        <v>1447.8125</v>
      </c>
      <c r="AE320" s="161">
        <f t="shared" si="6"/>
        <v>1447.8125</v>
      </c>
      <c r="AF320" s="167">
        <f t="shared" si="7"/>
        <v>0</v>
      </c>
      <c r="AG320" s="167">
        <f t="shared" si="8"/>
        <v>2895.625</v>
      </c>
      <c r="AH320" s="159" t="s">
        <v>597</v>
      </c>
      <c r="AI320" s="159" t="s">
        <v>583</v>
      </c>
    </row>
    <row r="321" ht="12.75" customHeight="1">
      <c r="A321" s="48" t="s">
        <v>604</v>
      </c>
      <c r="B321" s="160" t="str">
        <f>iferror(VLOOKUP((LEFT(A321,6)),CUSTOMER_DETAILS,2,FALSE),"-")</f>
        <v>HARIWANSH PACKAGING PVT LTD</v>
      </c>
      <c r="C321" s="161" t="s">
        <v>89</v>
      </c>
      <c r="D321" s="191">
        <v>45333.0</v>
      </c>
      <c r="E321" s="161" t="s">
        <v>89</v>
      </c>
      <c r="F321" s="164" t="s">
        <v>592</v>
      </c>
      <c r="G321" s="164" t="s">
        <v>605</v>
      </c>
      <c r="H321" s="30" t="s">
        <v>89</v>
      </c>
      <c r="I321" s="48">
        <v>1776.0</v>
      </c>
      <c r="J321" s="188">
        <f t="shared" si="13"/>
        <v>45333</v>
      </c>
      <c r="K321" s="48">
        <v>338.0</v>
      </c>
      <c r="L321" s="48" t="s">
        <v>108</v>
      </c>
      <c r="M321" s="48" t="s">
        <v>91</v>
      </c>
      <c r="N321" s="48" t="s">
        <v>135</v>
      </c>
      <c r="O321" s="30" t="s">
        <v>89</v>
      </c>
      <c r="P321" s="48" t="s">
        <v>606</v>
      </c>
      <c r="Q321" s="48" t="s">
        <v>94</v>
      </c>
      <c r="R321" s="161">
        <f>IFERROR(VLOOKUP(Q321,'PRODUCT TABLE'!$A$2:$B$26,2,FALSE),"-")</f>
        <v>44011090</v>
      </c>
      <c r="S321" s="48">
        <v>11920.0</v>
      </c>
      <c r="T321" s="48">
        <v>5.65</v>
      </c>
      <c r="U321" s="48" t="s">
        <v>95</v>
      </c>
      <c r="V321" s="161">
        <f t="shared" si="14"/>
        <v>67348</v>
      </c>
      <c r="W321" s="189">
        <v>0.025</v>
      </c>
      <c r="X321" s="189">
        <v>0.025</v>
      </c>
      <c r="Y321" s="30"/>
      <c r="Z321" s="169">
        <f t="shared" si="2"/>
        <v>70715</v>
      </c>
      <c r="AA321" s="167">
        <f t="shared" si="3"/>
        <v>-0.4</v>
      </c>
      <c r="AB321" s="161"/>
      <c r="AC321" s="161">
        <f t="shared" si="4"/>
        <v>67348</v>
      </c>
      <c r="AD321" s="161">
        <f t="shared" si="5"/>
        <v>1683.7</v>
      </c>
      <c r="AE321" s="161">
        <f t="shared" si="6"/>
        <v>1683.7</v>
      </c>
      <c r="AF321" s="167">
        <f t="shared" si="7"/>
        <v>0</v>
      </c>
      <c r="AG321" s="167">
        <f t="shared" si="8"/>
        <v>3367.4</v>
      </c>
      <c r="AH321" s="159" t="s">
        <v>597</v>
      </c>
      <c r="AI321" s="159" t="s">
        <v>583</v>
      </c>
    </row>
    <row r="322" ht="12.75" customHeight="1">
      <c r="A322" s="48" t="s">
        <v>607</v>
      </c>
      <c r="B322" s="160" t="str">
        <f>iferror(VLOOKUP((LEFT(A322,6)),CUSTOMER_DETAILS,2,FALSE),"-")</f>
        <v>HARIWANSH PACKAGING PVT LTD</v>
      </c>
      <c r="C322" s="161" t="s">
        <v>89</v>
      </c>
      <c r="D322" s="191">
        <v>45336.0</v>
      </c>
      <c r="E322" s="161" t="s">
        <v>89</v>
      </c>
      <c r="F322" s="164" t="s">
        <v>592</v>
      </c>
      <c r="G322" s="164" t="s">
        <v>608</v>
      </c>
      <c r="H322" s="30" t="s">
        <v>89</v>
      </c>
      <c r="I322" s="48">
        <v>1776.0</v>
      </c>
      <c r="J322" s="188">
        <f t="shared" si="13"/>
        <v>45336</v>
      </c>
      <c r="K322" s="48">
        <v>339.0</v>
      </c>
      <c r="L322" s="48" t="s">
        <v>108</v>
      </c>
      <c r="M322" s="48" t="s">
        <v>91</v>
      </c>
      <c r="N322" s="48" t="s">
        <v>135</v>
      </c>
      <c r="O322" s="30" t="s">
        <v>89</v>
      </c>
      <c r="P322" s="48" t="s">
        <v>589</v>
      </c>
      <c r="Q322" s="48" t="s">
        <v>94</v>
      </c>
      <c r="R322" s="161">
        <f>IFERROR(VLOOKUP(Q322,'PRODUCT TABLE'!$A$2:$B$26,2,FALSE),"-")</f>
        <v>44011090</v>
      </c>
      <c r="S322" s="48">
        <v>10230.0</v>
      </c>
      <c r="T322" s="48">
        <v>5.65</v>
      </c>
      <c r="U322" s="48" t="s">
        <v>95</v>
      </c>
      <c r="V322" s="161">
        <f t="shared" si="14"/>
        <v>57799.5</v>
      </c>
      <c r="W322" s="189">
        <v>0.025</v>
      </c>
      <c r="X322" s="189">
        <v>0.025</v>
      </c>
      <c r="Y322" s="30"/>
      <c r="Z322" s="169">
        <f t="shared" si="2"/>
        <v>60689</v>
      </c>
      <c r="AA322" s="167">
        <f t="shared" si="3"/>
        <v>-0.475</v>
      </c>
      <c r="AB322" s="161"/>
      <c r="AC322" s="161">
        <f t="shared" si="4"/>
        <v>57799.5</v>
      </c>
      <c r="AD322" s="161">
        <f t="shared" si="5"/>
        <v>1444.9875</v>
      </c>
      <c r="AE322" s="161">
        <f t="shared" si="6"/>
        <v>1444.9875</v>
      </c>
      <c r="AF322" s="167">
        <f t="shared" si="7"/>
        <v>0</v>
      </c>
      <c r="AG322" s="167">
        <f t="shared" si="8"/>
        <v>2889.975</v>
      </c>
      <c r="AH322" s="158"/>
      <c r="AI322" s="159" t="s">
        <v>583</v>
      </c>
    </row>
    <row r="323" ht="12.75" customHeight="1">
      <c r="A323" s="48" t="s">
        <v>609</v>
      </c>
      <c r="B323" s="160" t="str">
        <f>iferror(VLOOKUP((LEFT(A323,6)),CUSTOMER_DETAILS,2,FALSE),"-")</f>
        <v>THE URBAN INFRA INC</v>
      </c>
      <c r="C323" s="161" t="s">
        <v>89</v>
      </c>
      <c r="D323" s="191">
        <v>45340.0</v>
      </c>
      <c r="E323" s="161" t="s">
        <v>89</v>
      </c>
      <c r="F323" s="30" t="s">
        <v>89</v>
      </c>
      <c r="G323" s="30" t="s">
        <v>89</v>
      </c>
      <c r="H323" s="30" t="s">
        <v>89</v>
      </c>
      <c r="I323" s="48" t="s">
        <v>108</v>
      </c>
      <c r="J323" s="188">
        <f t="shared" si="13"/>
        <v>45340</v>
      </c>
      <c r="K323" s="48">
        <v>340.0</v>
      </c>
      <c r="L323" s="48" t="s">
        <v>108</v>
      </c>
      <c r="M323" s="48" t="s">
        <v>91</v>
      </c>
      <c r="N323" s="48" t="s">
        <v>610</v>
      </c>
      <c r="O323" s="30" t="s">
        <v>89</v>
      </c>
      <c r="Q323" s="48" t="s">
        <v>502</v>
      </c>
      <c r="R323" s="161">
        <f>IFERROR(VLOOKUP(Q323,'PRODUCT TABLE'!$A$2:$B$26,2,FALSE),"-")</f>
        <v>1213</v>
      </c>
      <c r="S323" s="48">
        <v>13000.0</v>
      </c>
      <c r="T323" s="48">
        <v>4.5</v>
      </c>
      <c r="U323" s="48" t="s">
        <v>95</v>
      </c>
      <c r="V323" s="161">
        <f t="shared" si="14"/>
        <v>58500</v>
      </c>
      <c r="Y323" s="30"/>
      <c r="Z323" s="169">
        <f t="shared" si="2"/>
        <v>58500</v>
      </c>
      <c r="AA323" s="167">
        <f t="shared" si="3"/>
        <v>0</v>
      </c>
      <c r="AB323" s="161"/>
      <c r="AC323" s="161">
        <f t="shared" si="4"/>
        <v>58500</v>
      </c>
      <c r="AD323" s="161">
        <f t="shared" si="5"/>
        <v>0</v>
      </c>
      <c r="AE323" s="161">
        <f t="shared" si="6"/>
        <v>0</v>
      </c>
      <c r="AF323" s="167">
        <f t="shared" si="7"/>
        <v>0</v>
      </c>
      <c r="AG323" s="167">
        <f t="shared" si="8"/>
        <v>0</v>
      </c>
      <c r="AH323" s="158"/>
      <c r="AI323" s="159" t="s">
        <v>583</v>
      </c>
    </row>
    <row r="324" ht="12.75" customHeight="1">
      <c r="A324" s="48" t="s">
        <v>611</v>
      </c>
      <c r="B324" s="160" t="str">
        <f>iferror(VLOOKUP((LEFT(A324,6)),CUSTOMER_DETAILS,2,FALSE),"-")</f>
        <v>HARIWANSH PACKAGING PVT LTD</v>
      </c>
      <c r="C324" s="161" t="s">
        <v>89</v>
      </c>
      <c r="D324" s="191">
        <v>45338.0</v>
      </c>
      <c r="E324" s="161" t="s">
        <v>89</v>
      </c>
      <c r="F324" s="164" t="s">
        <v>592</v>
      </c>
      <c r="G324" s="164" t="s">
        <v>612</v>
      </c>
      <c r="H324" s="30" t="s">
        <v>89</v>
      </c>
      <c r="I324" s="48">
        <v>1776.0</v>
      </c>
      <c r="J324" s="188">
        <f t="shared" si="13"/>
        <v>45338</v>
      </c>
      <c r="K324" s="48">
        <v>341.0</v>
      </c>
      <c r="L324" s="48" t="s">
        <v>108</v>
      </c>
      <c r="M324" s="48" t="s">
        <v>91</v>
      </c>
      <c r="N324" s="48" t="s">
        <v>135</v>
      </c>
      <c r="O324" s="30" t="s">
        <v>89</v>
      </c>
      <c r="P324" s="48" t="s">
        <v>613</v>
      </c>
      <c r="Q324" s="48" t="s">
        <v>94</v>
      </c>
      <c r="R324" s="161">
        <f>IFERROR(VLOOKUP(Q324,'PRODUCT TABLE'!$A$2:$B$26,2,FALSE),"-")</f>
        <v>44011090</v>
      </c>
      <c r="S324" s="48">
        <v>10470.0</v>
      </c>
      <c r="T324" s="48">
        <v>5.65</v>
      </c>
      <c r="U324" s="48" t="s">
        <v>95</v>
      </c>
      <c r="V324" s="161">
        <f t="shared" si="14"/>
        <v>59155.5</v>
      </c>
      <c r="W324" s="189">
        <v>0.025</v>
      </c>
      <c r="X324" s="189">
        <v>0.025</v>
      </c>
      <c r="Y324" s="30"/>
      <c r="Z324" s="169">
        <f t="shared" si="2"/>
        <v>62113</v>
      </c>
      <c r="AA324" s="167">
        <f t="shared" si="3"/>
        <v>-0.275</v>
      </c>
      <c r="AB324" s="161"/>
      <c r="AC324" s="161">
        <f t="shared" si="4"/>
        <v>59155.5</v>
      </c>
      <c r="AD324" s="161">
        <f t="shared" si="5"/>
        <v>1478.8875</v>
      </c>
      <c r="AE324" s="161">
        <f t="shared" si="6"/>
        <v>1478.8875</v>
      </c>
      <c r="AF324" s="167">
        <f t="shared" si="7"/>
        <v>0</v>
      </c>
      <c r="AG324" s="167">
        <f t="shared" si="8"/>
        <v>2957.775</v>
      </c>
      <c r="AH324" s="158"/>
      <c r="AI324" s="159" t="s">
        <v>583</v>
      </c>
    </row>
    <row r="325" ht="12.75" customHeight="1">
      <c r="A325" s="48" t="s">
        <v>614</v>
      </c>
      <c r="B325" s="160" t="str">
        <f>iferror(VLOOKUP((LEFT(A325,6)),CUSTOMER_DETAILS,2,FALSE),"-")</f>
        <v>HARIWANSH PACKAGING PVT LTD</v>
      </c>
      <c r="C325" s="161" t="s">
        <v>89</v>
      </c>
      <c r="D325" s="191">
        <v>45340.0</v>
      </c>
      <c r="E325" s="161" t="s">
        <v>89</v>
      </c>
      <c r="F325" s="164" t="s">
        <v>592</v>
      </c>
      <c r="G325" s="164" t="s">
        <v>615</v>
      </c>
      <c r="H325" s="30" t="s">
        <v>89</v>
      </c>
      <c r="I325" s="48">
        <v>1776.0</v>
      </c>
      <c r="J325" s="188">
        <f t="shared" si="13"/>
        <v>45340</v>
      </c>
      <c r="K325" s="48">
        <v>342.0</v>
      </c>
      <c r="L325" s="48" t="s">
        <v>108</v>
      </c>
      <c r="M325" s="48" t="s">
        <v>91</v>
      </c>
      <c r="N325" s="48" t="s">
        <v>135</v>
      </c>
      <c r="O325" s="30" t="s">
        <v>89</v>
      </c>
      <c r="P325" s="48" t="s">
        <v>616</v>
      </c>
      <c r="Q325" s="48" t="s">
        <v>94</v>
      </c>
      <c r="R325" s="161">
        <f>IFERROR(VLOOKUP(Q325,'PRODUCT TABLE'!$A$2:$B$26,2,FALSE),"-")</f>
        <v>44011090</v>
      </c>
      <c r="S325" s="48">
        <v>11740.0</v>
      </c>
      <c r="T325" s="48">
        <v>5.65</v>
      </c>
      <c r="U325" s="48" t="s">
        <v>95</v>
      </c>
      <c r="V325" s="161">
        <f t="shared" si="14"/>
        <v>66331</v>
      </c>
      <c r="W325" s="189">
        <v>0.025</v>
      </c>
      <c r="X325" s="189">
        <v>0.025</v>
      </c>
      <c r="Y325" s="30"/>
      <c r="Z325" s="169">
        <f t="shared" si="2"/>
        <v>69648</v>
      </c>
      <c r="AA325" s="167">
        <f t="shared" si="3"/>
        <v>0.45</v>
      </c>
      <c r="AB325" s="161"/>
      <c r="AC325" s="161">
        <f t="shared" si="4"/>
        <v>66331</v>
      </c>
      <c r="AD325" s="161">
        <f t="shared" si="5"/>
        <v>1658.275</v>
      </c>
      <c r="AE325" s="161">
        <f t="shared" si="6"/>
        <v>1658.275</v>
      </c>
      <c r="AF325" s="167">
        <f t="shared" si="7"/>
        <v>0</v>
      </c>
      <c r="AG325" s="167">
        <f t="shared" si="8"/>
        <v>3316.55</v>
      </c>
      <c r="AH325" s="158"/>
      <c r="AI325" s="159" t="s">
        <v>583</v>
      </c>
    </row>
    <row r="326" ht="12.75" customHeight="1">
      <c r="A326" s="48" t="s">
        <v>617</v>
      </c>
      <c r="B326" s="160" t="str">
        <f>iferror(VLOOKUP((LEFT(A326,6)),CUSTOMER_DETAILS,2,FALSE),"-")</f>
        <v>HARIWANSH PACKAGING PVT LTD</v>
      </c>
      <c r="C326" s="161" t="s">
        <v>89</v>
      </c>
      <c r="D326" s="191">
        <v>45344.0</v>
      </c>
      <c r="E326" s="161" t="s">
        <v>89</v>
      </c>
      <c r="F326" s="164" t="s">
        <v>592</v>
      </c>
      <c r="G326" s="164" t="s">
        <v>618</v>
      </c>
      <c r="H326" s="30" t="s">
        <v>89</v>
      </c>
      <c r="I326" s="48">
        <v>1776.0</v>
      </c>
      <c r="J326" s="188">
        <f t="shared" si="13"/>
        <v>45344</v>
      </c>
      <c r="K326" s="48">
        <v>343.0</v>
      </c>
      <c r="L326" s="48" t="s">
        <v>108</v>
      </c>
      <c r="M326" s="48" t="s">
        <v>91</v>
      </c>
      <c r="N326" s="48" t="s">
        <v>135</v>
      </c>
      <c r="O326" s="30" t="s">
        <v>89</v>
      </c>
      <c r="P326" s="48" t="s">
        <v>619</v>
      </c>
      <c r="Q326" s="48" t="s">
        <v>94</v>
      </c>
      <c r="R326" s="161">
        <f>IFERROR(VLOOKUP(Q326,'PRODUCT TABLE'!$A$2:$B$26,2,FALSE),"-")</f>
        <v>44011090</v>
      </c>
      <c r="S326" s="48">
        <v>13010.0</v>
      </c>
      <c r="T326" s="48">
        <v>5.65</v>
      </c>
      <c r="U326" s="48" t="s">
        <v>95</v>
      </c>
      <c r="V326" s="161">
        <f t="shared" si="14"/>
        <v>73506.5</v>
      </c>
      <c r="W326" s="189">
        <v>0.025</v>
      </c>
      <c r="X326" s="189">
        <v>0.025</v>
      </c>
      <c r="Y326" s="30"/>
      <c r="Z326" s="169">
        <f t="shared" si="2"/>
        <v>77182</v>
      </c>
      <c r="AA326" s="167">
        <f t="shared" si="3"/>
        <v>0.175</v>
      </c>
      <c r="AB326" s="161"/>
      <c r="AC326" s="161">
        <f t="shared" si="4"/>
        <v>73506.5</v>
      </c>
      <c r="AD326" s="161">
        <f t="shared" si="5"/>
        <v>1837.6625</v>
      </c>
      <c r="AE326" s="161">
        <f t="shared" si="6"/>
        <v>1837.6625</v>
      </c>
      <c r="AF326" s="167">
        <f t="shared" si="7"/>
        <v>0</v>
      </c>
      <c r="AG326" s="167">
        <f t="shared" si="8"/>
        <v>3675.325</v>
      </c>
      <c r="AH326" s="158"/>
      <c r="AI326" s="159" t="s">
        <v>583</v>
      </c>
    </row>
    <row r="327" ht="12.75" customHeight="1">
      <c r="A327" s="48" t="s">
        <v>620</v>
      </c>
      <c r="B327" s="160" t="str">
        <f>iferror(VLOOKUP((LEFT(A327,6)),CUSTOMER_DETAILS,2,FALSE),"-")</f>
        <v>HARIWANSH PACKAGING PVT LTD</v>
      </c>
      <c r="C327" s="161" t="s">
        <v>89</v>
      </c>
      <c r="D327" s="191">
        <v>45346.0</v>
      </c>
      <c r="E327" s="161" t="s">
        <v>89</v>
      </c>
      <c r="F327" s="164" t="s">
        <v>592</v>
      </c>
      <c r="G327" s="164" t="s">
        <v>621</v>
      </c>
      <c r="H327" s="30" t="s">
        <v>89</v>
      </c>
      <c r="I327" s="48">
        <v>1776.0</v>
      </c>
      <c r="J327" s="188">
        <f t="shared" si="13"/>
        <v>45346</v>
      </c>
      <c r="K327" s="48">
        <v>344.0</v>
      </c>
      <c r="L327" s="48" t="s">
        <v>108</v>
      </c>
      <c r="M327" s="48" t="s">
        <v>91</v>
      </c>
      <c r="N327" s="48" t="s">
        <v>135</v>
      </c>
      <c r="O327" s="30" t="s">
        <v>89</v>
      </c>
      <c r="P327" s="48" t="s">
        <v>619</v>
      </c>
      <c r="Q327" s="48" t="s">
        <v>94</v>
      </c>
      <c r="R327" s="161">
        <f>IFERROR(VLOOKUP(Q327,'PRODUCT TABLE'!$A$2:$B$26,2,FALSE),"-")</f>
        <v>44011090</v>
      </c>
      <c r="S327" s="48">
        <v>12850.0</v>
      </c>
      <c r="T327" s="48">
        <v>5.65</v>
      </c>
      <c r="U327" s="48" t="s">
        <v>95</v>
      </c>
      <c r="V327" s="161">
        <f t="shared" si="14"/>
        <v>72602.5</v>
      </c>
      <c r="W327" s="189">
        <v>0.025</v>
      </c>
      <c r="X327" s="189">
        <v>0.025</v>
      </c>
      <c r="Y327" s="30"/>
      <c r="Z327" s="169">
        <f t="shared" si="2"/>
        <v>76233</v>
      </c>
      <c r="AA327" s="167">
        <f t="shared" si="3"/>
        <v>0.375</v>
      </c>
      <c r="AB327" s="161"/>
      <c r="AC327" s="161">
        <f t="shared" si="4"/>
        <v>72602.5</v>
      </c>
      <c r="AD327" s="161">
        <f t="shared" si="5"/>
        <v>1815.0625</v>
      </c>
      <c r="AE327" s="161">
        <f t="shared" si="6"/>
        <v>1815.0625</v>
      </c>
      <c r="AF327" s="167">
        <f t="shared" si="7"/>
        <v>0</v>
      </c>
      <c r="AG327" s="167">
        <f t="shared" si="8"/>
        <v>3630.125</v>
      </c>
      <c r="AH327" s="158"/>
      <c r="AI327" s="158"/>
    </row>
    <row r="328" ht="12.75" customHeight="1">
      <c r="A328" s="48" t="s">
        <v>622</v>
      </c>
      <c r="B328" s="160" t="str">
        <f>iferror(VLOOKUP((LEFT(A328,6)),CUSTOMER_DETAILS,2,FALSE),"-")</f>
        <v>SIDDHAYU LIFE SCIENCES PVT LTD</v>
      </c>
      <c r="C328" s="161" t="s">
        <v>89</v>
      </c>
      <c r="D328" s="191">
        <v>45349.0</v>
      </c>
      <c r="E328" s="161" t="s">
        <v>89</v>
      </c>
      <c r="F328" s="164" t="s">
        <v>592</v>
      </c>
      <c r="G328" s="30" t="s">
        <v>89</v>
      </c>
      <c r="H328" s="30" t="s">
        <v>89</v>
      </c>
      <c r="I328" s="48" t="s">
        <v>623</v>
      </c>
      <c r="J328" s="188">
        <f t="shared" si="13"/>
        <v>45349</v>
      </c>
      <c r="K328" s="48">
        <v>345.0</v>
      </c>
      <c r="L328" s="48" t="s">
        <v>108</v>
      </c>
      <c r="M328" s="48" t="s">
        <v>91</v>
      </c>
      <c r="N328" s="48" t="s">
        <v>624</v>
      </c>
      <c r="O328" s="30" t="s">
        <v>89</v>
      </c>
      <c r="P328" s="48" t="s">
        <v>625</v>
      </c>
      <c r="Q328" s="48" t="s">
        <v>94</v>
      </c>
      <c r="R328" s="161">
        <f>IFERROR(VLOOKUP(Q328,'PRODUCT TABLE'!$A$2:$B$26,2,FALSE),"-")</f>
        <v>44011090</v>
      </c>
      <c r="S328" s="48">
        <v>9590.0</v>
      </c>
      <c r="T328" s="48">
        <v>5.7</v>
      </c>
      <c r="U328" s="48" t="s">
        <v>95</v>
      </c>
      <c r="V328" s="161">
        <f t="shared" si="14"/>
        <v>54663</v>
      </c>
      <c r="W328" s="189"/>
      <c r="X328" s="189"/>
      <c r="Y328" s="202">
        <v>0.05</v>
      </c>
      <c r="Z328" s="169">
        <f t="shared" si="2"/>
        <v>57396</v>
      </c>
      <c r="AA328" s="167">
        <f t="shared" si="3"/>
        <v>-0.15</v>
      </c>
      <c r="AB328" s="161"/>
      <c r="AC328" s="161">
        <f t="shared" si="4"/>
        <v>54663</v>
      </c>
      <c r="AD328" s="161">
        <f t="shared" si="5"/>
        <v>0</v>
      </c>
      <c r="AE328" s="161">
        <f t="shared" si="6"/>
        <v>0</v>
      </c>
      <c r="AF328" s="167">
        <f t="shared" si="7"/>
        <v>2733.15</v>
      </c>
      <c r="AG328" s="167">
        <f t="shared" si="8"/>
        <v>2733.15</v>
      </c>
      <c r="AH328" s="158"/>
      <c r="AI328" s="158"/>
    </row>
    <row r="329" ht="12.75" customHeight="1">
      <c r="A329" s="48" t="s">
        <v>626</v>
      </c>
      <c r="B329" s="160" t="str">
        <f>iferror(VLOOKUP((LEFT(A329,6)),CUSTOMER_DETAILS,2,FALSE),"-")</f>
        <v>HARIWANSH PACKAGING PVT LTD</v>
      </c>
      <c r="C329" s="161" t="s">
        <v>89</v>
      </c>
      <c r="D329" s="203">
        <v>45355.0</v>
      </c>
      <c r="E329" s="161" t="s">
        <v>89</v>
      </c>
      <c r="F329" s="164" t="s">
        <v>592</v>
      </c>
      <c r="G329" s="30" t="s">
        <v>89</v>
      </c>
      <c r="H329" s="30" t="s">
        <v>89</v>
      </c>
      <c r="I329" s="48">
        <v>1776.0</v>
      </c>
      <c r="J329" s="204">
        <f t="shared" si="13"/>
        <v>45355</v>
      </c>
      <c r="K329" s="48">
        <v>346.0</v>
      </c>
      <c r="L329" s="48" t="s">
        <v>108</v>
      </c>
      <c r="M329" s="48" t="s">
        <v>91</v>
      </c>
      <c r="N329" s="48" t="s">
        <v>135</v>
      </c>
      <c r="O329" s="30" t="s">
        <v>89</v>
      </c>
      <c r="P329" s="48" t="s">
        <v>619</v>
      </c>
      <c r="Q329" s="48" t="s">
        <v>94</v>
      </c>
      <c r="R329" s="161">
        <f>IFERROR(VLOOKUP(Q329,'PRODUCT TABLE'!$A$2:$B$26,2,FALSE),"-")</f>
        <v>44011090</v>
      </c>
      <c r="S329" s="48">
        <v>12620.0</v>
      </c>
      <c r="T329" s="48">
        <v>5.65</v>
      </c>
      <c r="U329" s="48" t="s">
        <v>95</v>
      </c>
      <c r="V329" s="161">
        <f t="shared" si="14"/>
        <v>71303</v>
      </c>
      <c r="W329" s="189">
        <v>0.025</v>
      </c>
      <c r="X329" s="189">
        <v>0.025</v>
      </c>
      <c r="Y329" s="30"/>
      <c r="Z329" s="169">
        <f t="shared" si="2"/>
        <v>74868</v>
      </c>
      <c r="AA329" s="167">
        <f t="shared" si="3"/>
        <v>-0.15</v>
      </c>
      <c r="AB329" s="161"/>
      <c r="AC329" s="161">
        <f t="shared" si="4"/>
        <v>71303</v>
      </c>
      <c r="AD329" s="161">
        <f t="shared" si="5"/>
        <v>1782.575</v>
      </c>
      <c r="AE329" s="161">
        <f t="shared" si="6"/>
        <v>1782.575</v>
      </c>
      <c r="AF329" s="167">
        <f t="shared" si="7"/>
        <v>0</v>
      </c>
      <c r="AG329" s="167">
        <f t="shared" si="8"/>
        <v>3565.15</v>
      </c>
      <c r="AH329" s="158"/>
      <c r="AI329" s="158"/>
    </row>
    <row r="330" ht="12.75" customHeight="1">
      <c r="A330" s="48" t="s">
        <v>627</v>
      </c>
      <c r="B330" s="160" t="str">
        <f>iferror(VLOOKUP((LEFT(A330,6)),CUSTOMER_DETAILS,2,FALSE),"-")</f>
        <v>JAI DURGA ENTERPRISES</v>
      </c>
      <c r="C330" s="161" t="s">
        <v>89</v>
      </c>
      <c r="D330" s="191">
        <v>45357.0</v>
      </c>
      <c r="E330" s="161" t="s">
        <v>89</v>
      </c>
      <c r="F330" s="30" t="s">
        <v>89</v>
      </c>
      <c r="G330" s="30" t="s">
        <v>89</v>
      </c>
      <c r="H330" s="30" t="s">
        <v>89</v>
      </c>
      <c r="I330" s="48" t="s">
        <v>108</v>
      </c>
      <c r="J330" s="188">
        <f t="shared" si="13"/>
        <v>45357</v>
      </c>
      <c r="K330" s="48">
        <v>347.0</v>
      </c>
      <c r="L330" s="48" t="s">
        <v>108</v>
      </c>
      <c r="M330" s="48" t="s">
        <v>91</v>
      </c>
      <c r="N330" s="48" t="s">
        <v>628</v>
      </c>
      <c r="O330" s="30" t="s">
        <v>89</v>
      </c>
      <c r="P330" s="48" t="s">
        <v>629</v>
      </c>
      <c r="Q330" s="48" t="s">
        <v>117</v>
      </c>
      <c r="R330" s="161">
        <f>IFERROR(VLOOKUP(Q330,'PRODUCT TABLE'!$A$2:$B$26,2,FALSE),"-")</f>
        <v>44011090</v>
      </c>
      <c r="S330" s="48">
        <v>23520.0</v>
      </c>
      <c r="T330" s="48">
        <v>4.5</v>
      </c>
      <c r="U330" s="48" t="s">
        <v>95</v>
      </c>
      <c r="V330" s="161">
        <f t="shared" si="14"/>
        <v>105840</v>
      </c>
      <c r="Y330" s="202">
        <v>0.05</v>
      </c>
      <c r="Z330" s="169">
        <f t="shared" si="2"/>
        <v>111132</v>
      </c>
      <c r="AA330" s="167">
        <f t="shared" si="3"/>
        <v>0</v>
      </c>
      <c r="AB330" s="195"/>
      <c r="AC330" s="161">
        <f t="shared" si="4"/>
        <v>105840</v>
      </c>
      <c r="AD330" s="161">
        <f t="shared" si="5"/>
        <v>0</v>
      </c>
      <c r="AE330" s="161">
        <f t="shared" si="6"/>
        <v>0</v>
      </c>
      <c r="AF330" s="167">
        <f t="shared" si="7"/>
        <v>5292</v>
      </c>
      <c r="AG330" s="167">
        <f t="shared" si="8"/>
        <v>5292</v>
      </c>
      <c r="AH330" s="158"/>
      <c r="AI330" s="158"/>
    </row>
    <row r="331" ht="12.75" customHeight="1">
      <c r="A331" s="48" t="s">
        <v>630</v>
      </c>
      <c r="B331" s="160" t="str">
        <f>iferror(VLOOKUP((LEFT(A331,6)),CUSTOMER_DETAILS,2,FALSE),"-")</f>
        <v>HARIWANSH PACKAGING PVT LTD</v>
      </c>
      <c r="C331" s="161" t="s">
        <v>89</v>
      </c>
      <c r="D331" s="191">
        <v>45363.0</v>
      </c>
      <c r="E331" s="161" t="s">
        <v>89</v>
      </c>
      <c r="F331" s="164" t="s">
        <v>592</v>
      </c>
      <c r="G331" s="164" t="s">
        <v>631</v>
      </c>
      <c r="H331" s="30" t="s">
        <v>89</v>
      </c>
      <c r="I331" s="48">
        <v>1776.0</v>
      </c>
      <c r="J331" s="188">
        <f t="shared" si="13"/>
        <v>45363</v>
      </c>
      <c r="K331" s="48">
        <v>248.0</v>
      </c>
      <c r="L331" s="48" t="s">
        <v>108</v>
      </c>
      <c r="M331" s="48" t="s">
        <v>91</v>
      </c>
      <c r="N331" s="48" t="s">
        <v>135</v>
      </c>
      <c r="O331" s="30" t="s">
        <v>89</v>
      </c>
      <c r="P331" s="48" t="s">
        <v>616</v>
      </c>
      <c r="Q331" s="48" t="s">
        <v>94</v>
      </c>
      <c r="R331" s="161">
        <f>IFERROR(VLOOKUP(Q331,'PRODUCT TABLE'!$A$2:$B$26,2,FALSE),"-")</f>
        <v>44011090</v>
      </c>
      <c r="S331" s="48">
        <v>12070.0</v>
      </c>
      <c r="T331" s="48">
        <v>5.65</v>
      </c>
      <c r="U331" s="48" t="s">
        <v>95</v>
      </c>
      <c r="V331" s="161">
        <f t="shared" si="14"/>
        <v>68195.5</v>
      </c>
      <c r="W331" s="189">
        <v>0.025</v>
      </c>
      <c r="X331" s="189">
        <v>0.025</v>
      </c>
      <c r="Y331" s="30"/>
      <c r="Z331" s="169">
        <f t="shared" si="2"/>
        <v>71605</v>
      </c>
      <c r="AA331" s="167">
        <f t="shared" si="3"/>
        <v>-0.275</v>
      </c>
      <c r="AB331" s="161"/>
      <c r="AC331" s="161">
        <f t="shared" si="4"/>
        <v>68195.5</v>
      </c>
      <c r="AD331" s="161">
        <f t="shared" si="5"/>
        <v>1704.8875</v>
      </c>
      <c r="AE331" s="161">
        <f t="shared" si="6"/>
        <v>1704.8875</v>
      </c>
      <c r="AF331" s="167">
        <f t="shared" si="7"/>
        <v>0</v>
      </c>
      <c r="AG331" s="167">
        <f t="shared" si="8"/>
        <v>3409.775</v>
      </c>
      <c r="AH331" s="158"/>
      <c r="AI331" s="158"/>
    </row>
    <row r="332" ht="12.75" customHeight="1">
      <c r="A332" s="48" t="s">
        <v>632</v>
      </c>
      <c r="B332" s="160" t="str">
        <f>iferror(VLOOKUP((LEFT(A332,6)),CUSTOMER_DETAILS,2,FALSE),"-")</f>
        <v>SIDDHAYU AYURVEDIC RESEARCH FOUNDATION PVT LTD </v>
      </c>
      <c r="C332" s="161" t="s">
        <v>89</v>
      </c>
      <c r="D332" s="191">
        <v>45370.0</v>
      </c>
      <c r="E332" s="161" t="s">
        <v>89</v>
      </c>
      <c r="F332" s="164" t="s">
        <v>592</v>
      </c>
      <c r="G332" s="30" t="s">
        <v>89</v>
      </c>
      <c r="H332" s="30" t="s">
        <v>89</v>
      </c>
      <c r="I332" s="48" t="s">
        <v>633</v>
      </c>
      <c r="J332" s="188">
        <f t="shared" si="13"/>
        <v>45370</v>
      </c>
      <c r="K332" s="48">
        <v>349.0</v>
      </c>
      <c r="L332" s="48" t="s">
        <v>108</v>
      </c>
      <c r="M332" s="48" t="s">
        <v>91</v>
      </c>
      <c r="N332" s="48" t="s">
        <v>634</v>
      </c>
      <c r="O332" s="30" t="s">
        <v>89</v>
      </c>
      <c r="P332" s="48" t="s">
        <v>563</v>
      </c>
      <c r="Q332" s="48" t="s">
        <v>502</v>
      </c>
      <c r="R332" s="161">
        <f>IFERROR(VLOOKUP(Q332,'PRODUCT TABLE'!$A$2:$B$26,2,FALSE),"-")</f>
        <v>1213</v>
      </c>
      <c r="S332" s="48">
        <v>10850.0</v>
      </c>
      <c r="T332" s="48">
        <v>4.45</v>
      </c>
      <c r="U332" s="48" t="s">
        <v>95</v>
      </c>
      <c r="V332" s="161">
        <f t="shared" si="14"/>
        <v>48282.5</v>
      </c>
      <c r="Y332" s="30"/>
      <c r="Z332" s="169">
        <f t="shared" si="2"/>
        <v>48282</v>
      </c>
      <c r="AA332" s="167">
        <f t="shared" si="3"/>
        <v>-0.5</v>
      </c>
      <c r="AB332" s="161"/>
      <c r="AC332" s="161">
        <f t="shared" si="4"/>
        <v>48282.5</v>
      </c>
      <c r="AD332" s="161">
        <f t="shared" si="5"/>
        <v>0</v>
      </c>
      <c r="AE332" s="161">
        <f t="shared" si="6"/>
        <v>0</v>
      </c>
      <c r="AF332" s="167">
        <f t="shared" si="7"/>
        <v>0</v>
      </c>
      <c r="AG332" s="167">
        <f t="shared" si="8"/>
        <v>0</v>
      </c>
      <c r="AH332" s="158"/>
      <c r="AI332" s="158"/>
    </row>
    <row r="333" ht="12.75" customHeight="1">
      <c r="A333" s="48" t="s">
        <v>635</v>
      </c>
      <c r="B333" s="160" t="str">
        <f>iferror(VLOOKUP((LEFT(A333,6)),CUSTOMER_DETAILS,2,FALSE),"-")</f>
        <v>SIDDHAYU AYURVEDIC RESEARCH FOUNDATION PVT LTD </v>
      </c>
      <c r="C333" s="161" t="s">
        <v>89</v>
      </c>
      <c r="D333" s="191">
        <v>45370.0</v>
      </c>
      <c r="E333" s="161" t="s">
        <v>89</v>
      </c>
      <c r="F333" s="164" t="s">
        <v>592</v>
      </c>
      <c r="G333" s="30" t="s">
        <v>89</v>
      </c>
      <c r="H333" s="30" t="s">
        <v>89</v>
      </c>
      <c r="I333" s="48" t="s">
        <v>633</v>
      </c>
      <c r="J333" s="188">
        <f t="shared" si="13"/>
        <v>45370</v>
      </c>
      <c r="K333" s="48">
        <v>350.0</v>
      </c>
      <c r="L333" s="48" t="s">
        <v>108</v>
      </c>
      <c r="M333" s="48" t="s">
        <v>91</v>
      </c>
      <c r="N333" s="48" t="s">
        <v>634</v>
      </c>
      <c r="O333" s="30" t="s">
        <v>89</v>
      </c>
      <c r="P333" s="48" t="s">
        <v>636</v>
      </c>
      <c r="Q333" s="48" t="s">
        <v>502</v>
      </c>
      <c r="R333" s="161">
        <f>IFERROR(VLOOKUP(Q333,'PRODUCT TABLE'!$A$2:$B$26,2,FALSE),"-")</f>
        <v>1213</v>
      </c>
      <c r="S333" s="48">
        <v>15310.0</v>
      </c>
      <c r="T333" s="48">
        <v>4.45</v>
      </c>
      <c r="U333" s="48" t="s">
        <v>95</v>
      </c>
      <c r="V333" s="161">
        <f t="shared" si="14"/>
        <v>68129.5</v>
      </c>
      <c r="Y333" s="30"/>
      <c r="Z333" s="169">
        <f t="shared" si="2"/>
        <v>68129</v>
      </c>
      <c r="AA333" s="167">
        <f t="shared" si="3"/>
        <v>-0.5</v>
      </c>
      <c r="AB333" s="161"/>
      <c r="AC333" s="161">
        <f t="shared" si="4"/>
        <v>68129.5</v>
      </c>
      <c r="AD333" s="161">
        <f t="shared" si="5"/>
        <v>0</v>
      </c>
      <c r="AE333" s="161">
        <f t="shared" si="6"/>
        <v>0</v>
      </c>
      <c r="AF333" s="167">
        <f t="shared" si="7"/>
        <v>0</v>
      </c>
      <c r="AG333" s="167">
        <f t="shared" si="8"/>
        <v>0</v>
      </c>
      <c r="AH333" s="158"/>
      <c r="AI333" s="158"/>
    </row>
    <row r="334" ht="12.75" customHeight="1">
      <c r="A334" s="48" t="s">
        <v>637</v>
      </c>
      <c r="B334" s="160" t="str">
        <f>iferror(VLOOKUP((LEFT(A334,6)),CUSTOMER_DETAILS,2,FALSE),"-")</f>
        <v>SIDDHAYU AYURVEDIC RESEARCH FOUNDATION PVT LTD </v>
      </c>
      <c r="C334" s="161" t="s">
        <v>89</v>
      </c>
      <c r="D334" s="191">
        <v>45374.0</v>
      </c>
      <c r="E334" s="161" t="s">
        <v>89</v>
      </c>
      <c r="F334" s="164" t="s">
        <v>592</v>
      </c>
      <c r="G334" s="30" t="s">
        <v>89</v>
      </c>
      <c r="H334" s="30" t="s">
        <v>89</v>
      </c>
      <c r="I334" s="48" t="s">
        <v>633</v>
      </c>
      <c r="J334" s="188">
        <f t="shared" si="13"/>
        <v>45374</v>
      </c>
      <c r="K334" s="48">
        <v>351.0</v>
      </c>
      <c r="L334" s="48" t="s">
        <v>108</v>
      </c>
      <c r="M334" s="48" t="s">
        <v>91</v>
      </c>
      <c r="N334" s="48" t="s">
        <v>634</v>
      </c>
      <c r="O334" s="30" t="s">
        <v>89</v>
      </c>
      <c r="P334" s="48" t="s">
        <v>555</v>
      </c>
      <c r="Q334" s="48" t="s">
        <v>502</v>
      </c>
      <c r="R334" s="161">
        <f>IFERROR(VLOOKUP(Q334,'PRODUCT TABLE'!$A$2:$B$26,2,FALSE),"-")</f>
        <v>1213</v>
      </c>
      <c r="S334" s="48">
        <v>11590.0</v>
      </c>
      <c r="T334" s="48">
        <v>4.45</v>
      </c>
      <c r="U334" s="48" t="s">
        <v>95</v>
      </c>
      <c r="V334" s="161">
        <f t="shared" si="14"/>
        <v>51575.5</v>
      </c>
      <c r="Y334" s="30"/>
      <c r="Z334" s="169">
        <f t="shared" si="2"/>
        <v>51575</v>
      </c>
      <c r="AA334" s="167">
        <f t="shared" si="3"/>
        <v>-0.5</v>
      </c>
      <c r="AB334" s="161"/>
      <c r="AC334" s="161">
        <f t="shared" si="4"/>
        <v>51575.5</v>
      </c>
      <c r="AD334" s="161">
        <f t="shared" si="5"/>
        <v>0</v>
      </c>
      <c r="AE334" s="161">
        <f t="shared" si="6"/>
        <v>0</v>
      </c>
      <c r="AF334" s="167">
        <f t="shared" si="7"/>
        <v>0</v>
      </c>
      <c r="AG334" s="167">
        <f t="shared" si="8"/>
        <v>0</v>
      </c>
      <c r="AH334" s="158"/>
      <c r="AI334" s="158"/>
    </row>
    <row r="335" ht="12.75" customHeight="1">
      <c r="A335" s="48" t="s">
        <v>638</v>
      </c>
      <c r="B335" s="160" t="str">
        <f>iferror(VLOOKUP((LEFT(A335,6)),CUSTOMER_DETAILS,2,FALSE),"-")</f>
        <v>SIDDHAYU AYURVEDIC RESEARCH FOUNDATION PVT LTD </v>
      </c>
      <c r="C335" s="161" t="s">
        <v>89</v>
      </c>
      <c r="D335" s="191">
        <v>45378.0</v>
      </c>
      <c r="E335" s="161" t="s">
        <v>89</v>
      </c>
      <c r="F335" s="30" t="s">
        <v>89</v>
      </c>
      <c r="G335" s="30" t="s">
        <v>89</v>
      </c>
      <c r="H335" s="30" t="s">
        <v>89</v>
      </c>
      <c r="I335" s="48" t="s">
        <v>633</v>
      </c>
      <c r="J335" s="188">
        <f t="shared" si="13"/>
        <v>45378</v>
      </c>
      <c r="K335" s="48">
        <v>352.0</v>
      </c>
      <c r="L335" s="48" t="s">
        <v>108</v>
      </c>
      <c r="M335" s="48" t="s">
        <v>91</v>
      </c>
      <c r="N335" s="48" t="s">
        <v>634</v>
      </c>
      <c r="O335" s="30" t="s">
        <v>89</v>
      </c>
      <c r="P335" s="48" t="s">
        <v>555</v>
      </c>
      <c r="Q335" s="48" t="s">
        <v>502</v>
      </c>
      <c r="R335" s="161">
        <f>IFERROR(VLOOKUP(Q335,'PRODUCT TABLE'!$A$2:$B$26,2,FALSE),"-")</f>
        <v>1213</v>
      </c>
      <c r="S335" s="48">
        <v>11070.0</v>
      </c>
      <c r="T335" s="48">
        <v>4.45</v>
      </c>
      <c r="U335" s="48" t="s">
        <v>95</v>
      </c>
      <c r="V335" s="161">
        <f t="shared" si="14"/>
        <v>49261.5</v>
      </c>
      <c r="Y335" s="30"/>
      <c r="Z335" s="169">
        <f t="shared" si="2"/>
        <v>49261</v>
      </c>
      <c r="AA335" s="167">
        <f t="shared" si="3"/>
        <v>-0.5</v>
      </c>
      <c r="AB335" s="161"/>
      <c r="AC335" s="161">
        <f t="shared" si="4"/>
        <v>49261.5</v>
      </c>
      <c r="AD335" s="161">
        <f t="shared" si="5"/>
        <v>0</v>
      </c>
      <c r="AE335" s="161">
        <f t="shared" si="6"/>
        <v>0</v>
      </c>
      <c r="AF335" s="167">
        <f t="shared" si="7"/>
        <v>0</v>
      </c>
      <c r="AG335" s="167">
        <f t="shared" si="8"/>
        <v>0</v>
      </c>
      <c r="AH335" s="158"/>
      <c r="AI335" s="158"/>
    </row>
    <row r="336" ht="12.75" customHeight="1">
      <c r="A336" s="48" t="s">
        <v>639</v>
      </c>
      <c r="B336" s="160" t="str">
        <f>iferror(VLOOKUP((LEFT(A336,6)),CUSTOMER_DETAILS,2,FALSE),"-")</f>
        <v>HARIWANSH PACKAGING PVT LTD</v>
      </c>
      <c r="C336" s="161" t="s">
        <v>89</v>
      </c>
      <c r="D336" s="191">
        <v>45383.0</v>
      </c>
      <c r="E336" s="161" t="s">
        <v>89</v>
      </c>
      <c r="F336" s="164" t="s">
        <v>592</v>
      </c>
      <c r="G336" s="30" t="s">
        <v>89</v>
      </c>
      <c r="H336" s="30" t="s">
        <v>89</v>
      </c>
      <c r="I336" s="48">
        <v>2100.0</v>
      </c>
      <c r="J336" s="188">
        <f t="shared" si="13"/>
        <v>45383</v>
      </c>
      <c r="K336" s="48">
        <v>353.0</v>
      </c>
      <c r="L336" s="48" t="s">
        <v>108</v>
      </c>
      <c r="M336" s="48" t="s">
        <v>91</v>
      </c>
      <c r="N336" s="48" t="s">
        <v>135</v>
      </c>
      <c r="O336" s="30" t="s">
        <v>89</v>
      </c>
      <c r="P336" s="48" t="s">
        <v>640</v>
      </c>
      <c r="Q336" s="48" t="s">
        <v>94</v>
      </c>
      <c r="R336" s="161">
        <f>IFERROR(VLOOKUP(Q336,'PRODUCT TABLE'!$A$2:$B$26,2,FALSE),"-")</f>
        <v>44011090</v>
      </c>
      <c r="S336" s="48">
        <v>22520.0</v>
      </c>
      <c r="T336" s="48">
        <v>5.65</v>
      </c>
      <c r="U336" s="48" t="s">
        <v>95</v>
      </c>
      <c r="V336" s="161">
        <f t="shared" si="14"/>
        <v>127238</v>
      </c>
      <c r="W336" s="189">
        <v>0.025</v>
      </c>
      <c r="X336" s="189">
        <v>0.025</v>
      </c>
      <c r="Y336" s="30"/>
      <c r="Z336" s="169">
        <f t="shared" si="2"/>
        <v>133600</v>
      </c>
      <c r="AA336" s="167">
        <f t="shared" si="3"/>
        <v>0.09999999998</v>
      </c>
      <c r="AB336" s="161"/>
      <c r="AC336" s="161">
        <f t="shared" si="4"/>
        <v>127238</v>
      </c>
      <c r="AD336" s="161">
        <f t="shared" si="5"/>
        <v>3180.95</v>
      </c>
      <c r="AE336" s="161">
        <f t="shared" si="6"/>
        <v>3180.95</v>
      </c>
      <c r="AF336" s="167">
        <f t="shared" si="7"/>
        <v>0</v>
      </c>
      <c r="AG336" s="167">
        <f t="shared" si="8"/>
        <v>6361.9</v>
      </c>
      <c r="AH336" s="158"/>
      <c r="AI336" s="158"/>
    </row>
    <row r="337" ht="12.75" customHeight="1">
      <c r="A337" s="48" t="s">
        <v>641</v>
      </c>
      <c r="B337" s="160" t="str">
        <f>iferror(VLOOKUP((LEFT(A337,6)),CUSTOMER_DETAILS,2,FALSE),"-")</f>
        <v>SIDDHAYU AYURVEDIC RESEARCH FOUNDATION PVT LTD </v>
      </c>
      <c r="C337" s="161" t="s">
        <v>89</v>
      </c>
      <c r="D337" s="191">
        <v>45383.0</v>
      </c>
      <c r="E337" s="161" t="s">
        <v>89</v>
      </c>
      <c r="F337" s="164" t="s">
        <v>592</v>
      </c>
      <c r="G337" s="30" t="s">
        <v>89</v>
      </c>
      <c r="H337" s="30" t="s">
        <v>89</v>
      </c>
      <c r="I337" s="48" t="s">
        <v>633</v>
      </c>
      <c r="J337" s="188">
        <f t="shared" si="13"/>
        <v>45383</v>
      </c>
      <c r="K337" s="48">
        <v>354.0</v>
      </c>
      <c r="L337" s="48" t="s">
        <v>108</v>
      </c>
      <c r="M337" s="48" t="s">
        <v>91</v>
      </c>
      <c r="N337" s="48" t="s">
        <v>634</v>
      </c>
      <c r="O337" s="30" t="s">
        <v>89</v>
      </c>
      <c r="P337" s="48" t="s">
        <v>563</v>
      </c>
      <c r="Q337" s="48" t="s">
        <v>502</v>
      </c>
      <c r="R337" s="161">
        <f>IFERROR(VLOOKUP(Q337,'PRODUCT TABLE'!$A$2:$B$26,2,FALSE),"-")</f>
        <v>1213</v>
      </c>
      <c r="S337" s="48">
        <v>11040.0</v>
      </c>
      <c r="T337" s="48">
        <v>4.45</v>
      </c>
      <c r="U337" s="48" t="s">
        <v>95</v>
      </c>
      <c r="V337" s="161">
        <f t="shared" si="14"/>
        <v>49128</v>
      </c>
      <c r="Y337" s="30"/>
      <c r="Z337" s="169">
        <f t="shared" si="2"/>
        <v>49128</v>
      </c>
      <c r="AA337" s="167">
        <f t="shared" si="3"/>
        <v>0</v>
      </c>
      <c r="AB337" s="161"/>
      <c r="AC337" s="161">
        <f t="shared" si="4"/>
        <v>49128</v>
      </c>
      <c r="AD337" s="161">
        <f t="shared" si="5"/>
        <v>0</v>
      </c>
      <c r="AE337" s="161">
        <f t="shared" si="6"/>
        <v>0</v>
      </c>
      <c r="AF337" s="167">
        <f t="shared" si="7"/>
        <v>0</v>
      </c>
      <c r="AG337" s="167">
        <f t="shared" si="8"/>
        <v>0</v>
      </c>
      <c r="AH337" s="158"/>
      <c r="AI337" s="158"/>
    </row>
    <row r="338" ht="12.75" customHeight="1">
      <c r="A338" s="48" t="s">
        <v>642</v>
      </c>
      <c r="B338" s="160" t="str">
        <f>iferror(VLOOKUP((LEFT(A338,6)),CUSTOMER_DETAILS,2,FALSE),"-")</f>
        <v>SIDDHAYU AYURVEDIC RESEARCH FOUNDATION PVT LTD </v>
      </c>
      <c r="C338" s="161" t="s">
        <v>89</v>
      </c>
      <c r="D338" s="191">
        <v>45386.0</v>
      </c>
      <c r="E338" s="161" t="s">
        <v>89</v>
      </c>
      <c r="F338" s="164" t="s">
        <v>592</v>
      </c>
      <c r="G338" s="30" t="s">
        <v>89</v>
      </c>
      <c r="H338" s="30" t="s">
        <v>89</v>
      </c>
      <c r="I338" s="48" t="s">
        <v>633</v>
      </c>
      <c r="J338" s="188">
        <f t="shared" si="13"/>
        <v>45386</v>
      </c>
      <c r="K338" s="48">
        <v>355.0</v>
      </c>
      <c r="L338" s="48" t="s">
        <v>108</v>
      </c>
      <c r="M338" s="48" t="s">
        <v>91</v>
      </c>
      <c r="N338" s="48" t="s">
        <v>634</v>
      </c>
      <c r="O338" s="30" t="s">
        <v>89</v>
      </c>
      <c r="P338" s="48" t="s">
        <v>563</v>
      </c>
      <c r="Q338" s="48" t="s">
        <v>502</v>
      </c>
      <c r="R338" s="161">
        <f>IFERROR(VLOOKUP(Q338,'PRODUCT TABLE'!$A$2:$B$26,2,FALSE),"-")</f>
        <v>1213</v>
      </c>
      <c r="S338" s="48">
        <v>11040.0</v>
      </c>
      <c r="T338" s="48">
        <v>4.45</v>
      </c>
      <c r="U338" s="48" t="s">
        <v>95</v>
      </c>
      <c r="V338" s="161">
        <f t="shared" si="14"/>
        <v>49128</v>
      </c>
      <c r="Y338" s="30"/>
      <c r="Z338" s="169">
        <f t="shared" si="2"/>
        <v>49128</v>
      </c>
      <c r="AA338" s="167">
        <f t="shared" si="3"/>
        <v>0</v>
      </c>
      <c r="AB338" s="161"/>
      <c r="AC338" s="161">
        <f t="shared" si="4"/>
        <v>49128</v>
      </c>
      <c r="AD338" s="161">
        <f t="shared" si="5"/>
        <v>0</v>
      </c>
      <c r="AE338" s="161">
        <f t="shared" si="6"/>
        <v>0</v>
      </c>
      <c r="AF338" s="167">
        <f t="shared" si="7"/>
        <v>0</v>
      </c>
      <c r="AG338" s="167">
        <f t="shared" si="8"/>
        <v>0</v>
      </c>
      <c r="AH338" s="158"/>
      <c r="AI338" s="158"/>
    </row>
    <row r="339" ht="12.75" customHeight="1">
      <c r="A339" s="48" t="s">
        <v>643</v>
      </c>
      <c r="B339" s="160" t="str">
        <f>iferror(VLOOKUP((LEFT(A339,6)),CUSTOMER_DETAILS,2,FALSE),"-")</f>
        <v>SIDDHAYU AYURVEDIC RESEARCH FOUNDATION PVT LTD </v>
      </c>
      <c r="C339" s="161" t="s">
        <v>89</v>
      </c>
      <c r="D339" s="191">
        <v>45387.0</v>
      </c>
      <c r="E339" s="161" t="s">
        <v>89</v>
      </c>
      <c r="F339" s="164" t="s">
        <v>592</v>
      </c>
      <c r="G339" s="30" t="s">
        <v>89</v>
      </c>
      <c r="H339" s="30" t="s">
        <v>89</v>
      </c>
      <c r="I339" s="48" t="s">
        <v>633</v>
      </c>
      <c r="J339" s="188">
        <f t="shared" si="13"/>
        <v>45387</v>
      </c>
      <c r="K339" s="48">
        <v>356.0</v>
      </c>
      <c r="L339" s="48" t="s">
        <v>108</v>
      </c>
      <c r="M339" s="48" t="s">
        <v>91</v>
      </c>
      <c r="N339" s="48" t="s">
        <v>634</v>
      </c>
      <c r="O339" s="30" t="s">
        <v>89</v>
      </c>
      <c r="P339" s="48" t="s">
        <v>563</v>
      </c>
      <c r="Q339" s="48" t="s">
        <v>502</v>
      </c>
      <c r="R339" s="161">
        <f>IFERROR(VLOOKUP(Q339,'PRODUCT TABLE'!$A$2:$B$26,2,FALSE),"-")</f>
        <v>1213</v>
      </c>
      <c r="S339" s="48">
        <v>11290.0</v>
      </c>
      <c r="T339" s="48">
        <v>4.45</v>
      </c>
      <c r="U339" s="48" t="s">
        <v>95</v>
      </c>
      <c r="V339" s="161">
        <f t="shared" si="14"/>
        <v>50240.5</v>
      </c>
      <c r="Y339" s="30"/>
      <c r="Z339" s="169">
        <f t="shared" si="2"/>
        <v>50240</v>
      </c>
      <c r="AA339" s="167">
        <f t="shared" si="3"/>
        <v>-0.5</v>
      </c>
      <c r="AB339" s="161"/>
      <c r="AC339" s="161">
        <f t="shared" si="4"/>
        <v>50240.5</v>
      </c>
      <c r="AD339" s="161">
        <f t="shared" si="5"/>
        <v>0</v>
      </c>
      <c r="AE339" s="161">
        <f t="shared" si="6"/>
        <v>0</v>
      </c>
      <c r="AF339" s="167">
        <f t="shared" si="7"/>
        <v>0</v>
      </c>
      <c r="AG339" s="167">
        <f t="shared" si="8"/>
        <v>0</v>
      </c>
      <c r="AH339" s="158"/>
      <c r="AI339" s="158"/>
    </row>
    <row r="340" ht="12.75" customHeight="1">
      <c r="A340" s="48" t="s">
        <v>644</v>
      </c>
      <c r="B340" s="160" t="str">
        <f>iferror(VLOOKUP((LEFT(A340,6)),CUSTOMER_DETAILS,2,FALSE),"-")</f>
        <v>HARIWANSH PACKAGING PVT LTD</v>
      </c>
      <c r="C340" s="161" t="s">
        <v>89</v>
      </c>
      <c r="D340" s="191">
        <v>45388.0</v>
      </c>
      <c r="E340" s="161" t="s">
        <v>89</v>
      </c>
      <c r="F340" s="164" t="s">
        <v>592</v>
      </c>
      <c r="G340" s="30" t="s">
        <v>89</v>
      </c>
      <c r="H340" s="30" t="s">
        <v>89</v>
      </c>
      <c r="I340" s="48">
        <v>2100.0</v>
      </c>
      <c r="J340" s="188">
        <f t="shared" si="13"/>
        <v>45388</v>
      </c>
      <c r="K340" s="48">
        <v>357.0</v>
      </c>
      <c r="L340" s="48" t="s">
        <v>108</v>
      </c>
      <c r="M340" s="48" t="s">
        <v>91</v>
      </c>
      <c r="N340" s="48" t="s">
        <v>135</v>
      </c>
      <c r="O340" s="30" t="s">
        <v>89</v>
      </c>
      <c r="P340" s="48" t="s">
        <v>645</v>
      </c>
      <c r="Q340" s="48" t="s">
        <v>94</v>
      </c>
      <c r="R340" s="161">
        <f>IFERROR(VLOOKUP(Q340,'PRODUCT TABLE'!$A$2:$B$26,2,FALSE),"-")</f>
        <v>44011090</v>
      </c>
      <c r="S340" s="48">
        <v>20280.0</v>
      </c>
      <c r="T340" s="48">
        <v>5.65</v>
      </c>
      <c r="U340" s="48" t="s">
        <v>95</v>
      </c>
      <c r="V340" s="161">
        <f t="shared" si="14"/>
        <v>114582</v>
      </c>
      <c r="W340" s="189">
        <v>0.025</v>
      </c>
      <c r="X340" s="189">
        <v>0.025</v>
      </c>
      <c r="Y340" s="30"/>
      <c r="Z340" s="169">
        <f t="shared" si="2"/>
        <v>120311</v>
      </c>
      <c r="AA340" s="167">
        <f t="shared" si="3"/>
        <v>-0.1</v>
      </c>
      <c r="AB340" s="161"/>
      <c r="AC340" s="161">
        <f t="shared" si="4"/>
        <v>114582</v>
      </c>
      <c r="AD340" s="161">
        <f t="shared" si="5"/>
        <v>2864.55</v>
      </c>
      <c r="AE340" s="161">
        <f t="shared" si="6"/>
        <v>2864.55</v>
      </c>
      <c r="AF340" s="167">
        <f t="shared" si="7"/>
        <v>0</v>
      </c>
      <c r="AG340" s="167">
        <f t="shared" si="8"/>
        <v>5729.1</v>
      </c>
      <c r="AH340" s="158"/>
      <c r="AI340" s="158"/>
    </row>
    <row r="341" ht="12.75" customHeight="1">
      <c r="A341" s="48" t="s">
        <v>646</v>
      </c>
      <c r="B341" s="160" t="str">
        <f>iferror(VLOOKUP((LEFT(A341,6)),CUSTOMER_DETAILS,2,FALSE),"-")</f>
        <v>HARIWANSH PACKAGING PVT LTD</v>
      </c>
      <c r="C341" s="161" t="s">
        <v>89</v>
      </c>
      <c r="D341" s="191">
        <v>45388.0</v>
      </c>
      <c r="E341" s="161" t="s">
        <v>89</v>
      </c>
      <c r="F341" s="164" t="s">
        <v>592</v>
      </c>
      <c r="G341" s="30" t="s">
        <v>89</v>
      </c>
      <c r="H341" s="30" t="s">
        <v>89</v>
      </c>
      <c r="I341" s="48">
        <v>2100.0</v>
      </c>
      <c r="J341" s="188">
        <f t="shared" si="13"/>
        <v>45388</v>
      </c>
      <c r="K341" s="48">
        <v>357.0</v>
      </c>
      <c r="L341" s="48" t="s">
        <v>108</v>
      </c>
      <c r="M341" s="48" t="s">
        <v>91</v>
      </c>
      <c r="N341" s="48" t="s">
        <v>135</v>
      </c>
      <c r="O341" s="30" t="s">
        <v>89</v>
      </c>
      <c r="P341" s="48" t="s">
        <v>616</v>
      </c>
      <c r="Q341" s="48" t="s">
        <v>94</v>
      </c>
      <c r="R341" s="161">
        <f>IFERROR(VLOOKUP(Q341,'PRODUCT TABLE'!$A$2:$B$26,2,FALSE),"-")</f>
        <v>44011090</v>
      </c>
      <c r="S341" s="48">
        <v>12170.0</v>
      </c>
      <c r="T341" s="48">
        <v>5.65</v>
      </c>
      <c r="U341" s="48" t="s">
        <v>95</v>
      </c>
      <c r="V341" s="161">
        <f t="shared" si="14"/>
        <v>68760.5</v>
      </c>
      <c r="W341" s="189">
        <v>0.025</v>
      </c>
      <c r="X341" s="189">
        <v>0.025</v>
      </c>
      <c r="Y341" s="30"/>
      <c r="Z341" s="169">
        <f t="shared" si="2"/>
        <v>72199</v>
      </c>
      <c r="AA341" s="167">
        <f t="shared" si="3"/>
        <v>0.475</v>
      </c>
      <c r="AB341" s="161"/>
      <c r="AC341" s="161">
        <f t="shared" si="4"/>
        <v>68760.5</v>
      </c>
      <c r="AD341" s="161">
        <f t="shared" si="5"/>
        <v>1719.0125</v>
      </c>
      <c r="AE341" s="161">
        <f t="shared" si="6"/>
        <v>1719.0125</v>
      </c>
      <c r="AF341" s="167">
        <f t="shared" si="7"/>
        <v>0</v>
      </c>
      <c r="AG341" s="167">
        <f t="shared" si="8"/>
        <v>3438.025</v>
      </c>
      <c r="AH341" s="158"/>
      <c r="AI341" s="158"/>
    </row>
    <row r="342" ht="12.75" customHeight="1">
      <c r="A342" s="48" t="s">
        <v>647</v>
      </c>
      <c r="B342" s="160" t="str">
        <f>iferror(VLOOKUP((LEFT(A342,6)),CUSTOMER_DETAILS,2,FALSE),"-")</f>
        <v>SIDDHAYU AYURVEDIC RESEARCH FOUNDATION PVT LTD </v>
      </c>
      <c r="C342" s="161" t="s">
        <v>89</v>
      </c>
      <c r="D342" s="205">
        <v>45397.0</v>
      </c>
      <c r="E342" s="161" t="s">
        <v>89</v>
      </c>
      <c r="F342" s="164" t="s">
        <v>592</v>
      </c>
      <c r="G342" s="30" t="s">
        <v>89</v>
      </c>
      <c r="H342" s="30" t="s">
        <v>89</v>
      </c>
      <c r="I342" s="48" t="s">
        <v>633</v>
      </c>
      <c r="J342" s="206">
        <f t="shared" si="13"/>
        <v>45397</v>
      </c>
      <c r="K342" s="48">
        <v>359.0</v>
      </c>
      <c r="L342" s="48" t="s">
        <v>108</v>
      </c>
      <c r="M342" s="48" t="s">
        <v>91</v>
      </c>
      <c r="N342" s="48" t="s">
        <v>634</v>
      </c>
      <c r="O342" s="30" t="s">
        <v>89</v>
      </c>
      <c r="P342" s="48" t="s">
        <v>563</v>
      </c>
      <c r="Q342" s="48" t="s">
        <v>502</v>
      </c>
      <c r="R342" s="161">
        <f>IFERROR(VLOOKUP(Q342,'PRODUCT TABLE'!$A$2:$B$26,2,FALSE),"-")</f>
        <v>1213</v>
      </c>
      <c r="S342" s="48">
        <v>10830.0</v>
      </c>
      <c r="T342" s="48">
        <v>4.45</v>
      </c>
      <c r="U342" s="48" t="s">
        <v>95</v>
      </c>
      <c r="V342" s="161">
        <f t="shared" si="14"/>
        <v>48193.5</v>
      </c>
      <c r="Y342" s="30"/>
      <c r="Z342" s="169">
        <f t="shared" si="2"/>
        <v>48193</v>
      </c>
      <c r="AA342" s="167">
        <f t="shared" si="3"/>
        <v>-0.5</v>
      </c>
      <c r="AB342" s="161"/>
      <c r="AC342" s="161">
        <f t="shared" si="4"/>
        <v>48193.5</v>
      </c>
      <c r="AD342" s="161">
        <f t="shared" si="5"/>
        <v>0</v>
      </c>
      <c r="AE342" s="161">
        <f t="shared" si="6"/>
        <v>0</v>
      </c>
      <c r="AF342" s="167">
        <f t="shared" si="7"/>
        <v>0</v>
      </c>
      <c r="AG342" s="167">
        <f t="shared" si="8"/>
        <v>0</v>
      </c>
      <c r="AH342" s="158"/>
      <c r="AI342" s="158"/>
    </row>
    <row r="343" ht="12.75" customHeight="1">
      <c r="A343" s="48" t="s">
        <v>648</v>
      </c>
      <c r="B343" s="160" t="str">
        <f>iferror(VLOOKUP((LEFT(A343,6)),CUSTOMER_DETAILS,2,FALSE),"-")</f>
        <v>HARIWANSH PACKAGING PVT LTD</v>
      </c>
      <c r="C343" s="161" t="s">
        <v>89</v>
      </c>
      <c r="D343" s="205">
        <v>45397.0</v>
      </c>
      <c r="E343" s="161" t="s">
        <v>89</v>
      </c>
      <c r="F343" s="164" t="s">
        <v>592</v>
      </c>
      <c r="G343" s="30" t="s">
        <v>89</v>
      </c>
      <c r="H343" s="30" t="s">
        <v>89</v>
      </c>
      <c r="I343" s="48">
        <v>2100.0</v>
      </c>
      <c r="J343" s="206">
        <f t="shared" si="13"/>
        <v>45397</v>
      </c>
      <c r="K343" s="48">
        <v>360.0</v>
      </c>
      <c r="L343" s="48" t="s">
        <v>108</v>
      </c>
      <c r="M343" s="48" t="s">
        <v>91</v>
      </c>
      <c r="N343" s="48" t="s">
        <v>135</v>
      </c>
      <c r="O343" s="30" t="s">
        <v>89</v>
      </c>
      <c r="P343" s="48" t="s">
        <v>649</v>
      </c>
      <c r="Q343" s="48" t="s">
        <v>94</v>
      </c>
      <c r="R343" s="161">
        <f>IFERROR(VLOOKUP(Q343,'PRODUCT TABLE'!$A$2:$B$26,2,FALSE),"-")</f>
        <v>44011090</v>
      </c>
      <c r="S343" s="48">
        <v>20030.0</v>
      </c>
      <c r="T343" s="48">
        <v>5.65</v>
      </c>
      <c r="U343" s="48" t="s">
        <v>95</v>
      </c>
      <c r="V343" s="161">
        <f t="shared" si="14"/>
        <v>113169.5</v>
      </c>
      <c r="W343" s="189">
        <v>0.025</v>
      </c>
      <c r="X343" s="189">
        <v>0.025</v>
      </c>
      <c r="Y343" s="30"/>
      <c r="Z343" s="169">
        <f t="shared" si="2"/>
        <v>118828</v>
      </c>
      <c r="AA343" s="167">
        <f t="shared" si="3"/>
        <v>0.02499999999</v>
      </c>
      <c r="AB343" s="161"/>
      <c r="AC343" s="161">
        <f t="shared" si="4"/>
        <v>113169.5</v>
      </c>
      <c r="AD343" s="161">
        <f t="shared" si="5"/>
        <v>2829.2375</v>
      </c>
      <c r="AE343" s="161">
        <f t="shared" si="6"/>
        <v>2829.2375</v>
      </c>
      <c r="AF343" s="167">
        <f t="shared" si="7"/>
        <v>0</v>
      </c>
      <c r="AG343" s="167">
        <f t="shared" si="8"/>
        <v>5658.475</v>
      </c>
      <c r="AH343" s="158"/>
      <c r="AI343" s="158"/>
    </row>
    <row r="344" ht="12.75" customHeight="1">
      <c r="A344" s="48" t="s">
        <v>650</v>
      </c>
      <c r="B344" s="160" t="str">
        <f>iferror(VLOOKUP((LEFT(A344,6)),CUSTOMER_DETAILS,2,FALSE),"-")</f>
        <v>HARIWANSH PACKAGING PVT LTD</v>
      </c>
      <c r="C344" s="161" t="s">
        <v>89</v>
      </c>
      <c r="D344" s="191">
        <v>45405.0</v>
      </c>
      <c r="E344" s="161" t="s">
        <v>89</v>
      </c>
      <c r="F344" s="164" t="s">
        <v>592</v>
      </c>
      <c r="G344" s="30" t="s">
        <v>89</v>
      </c>
      <c r="H344" s="30" t="s">
        <v>89</v>
      </c>
      <c r="I344" s="48">
        <v>2100.0</v>
      </c>
      <c r="J344" s="188">
        <f t="shared" si="13"/>
        <v>45405</v>
      </c>
      <c r="K344" s="48">
        <v>361.0</v>
      </c>
      <c r="L344" s="48" t="s">
        <v>108</v>
      </c>
      <c r="M344" s="48" t="s">
        <v>91</v>
      </c>
      <c r="N344" s="48" t="s">
        <v>135</v>
      </c>
      <c r="O344" s="30" t="s">
        <v>89</v>
      </c>
      <c r="P344" s="48" t="s">
        <v>651</v>
      </c>
      <c r="Q344" s="48" t="s">
        <v>94</v>
      </c>
      <c r="R344" s="161">
        <f>IFERROR(VLOOKUP(Q344,'PRODUCT TABLE'!$A$2:$B$26,2,FALSE),"-")</f>
        <v>44011090</v>
      </c>
      <c r="S344" s="48">
        <v>21400.0</v>
      </c>
      <c r="T344" s="48">
        <v>5.65</v>
      </c>
      <c r="U344" s="48" t="s">
        <v>95</v>
      </c>
      <c r="V344" s="161">
        <f t="shared" si="14"/>
        <v>120910</v>
      </c>
      <c r="W344" s="189">
        <v>0.025</v>
      </c>
      <c r="X344" s="189">
        <v>0.025</v>
      </c>
      <c r="Y344" s="30"/>
      <c r="Z344" s="169">
        <f t="shared" si="2"/>
        <v>126955</v>
      </c>
      <c r="AA344" s="167">
        <f t="shared" si="3"/>
        <v>-0.5</v>
      </c>
      <c r="AB344" s="161"/>
      <c r="AC344" s="161">
        <f t="shared" si="4"/>
        <v>120910</v>
      </c>
      <c r="AD344" s="161">
        <f t="shared" si="5"/>
        <v>3022.75</v>
      </c>
      <c r="AE344" s="161">
        <f t="shared" si="6"/>
        <v>3022.75</v>
      </c>
      <c r="AF344" s="167">
        <f t="shared" si="7"/>
        <v>0</v>
      </c>
      <c r="AG344" s="167">
        <f t="shared" si="8"/>
        <v>6045.5</v>
      </c>
      <c r="AH344" s="158"/>
      <c r="AI344" s="158"/>
    </row>
    <row r="345" ht="12.75" customHeight="1">
      <c r="A345" s="48" t="s">
        <v>652</v>
      </c>
      <c r="B345" s="160" t="str">
        <f>iferror(VLOOKUP((LEFT(A345,6)),CUSTOMER_DETAILS,2,FALSE),"-")</f>
        <v>HARIWANSH PACKAGING PVT LTD</v>
      </c>
      <c r="C345" s="161" t="s">
        <v>89</v>
      </c>
      <c r="D345" s="191">
        <v>45406.0</v>
      </c>
      <c r="E345" s="161" t="s">
        <v>89</v>
      </c>
      <c r="F345" s="164" t="s">
        <v>592</v>
      </c>
      <c r="G345" s="30" t="s">
        <v>89</v>
      </c>
      <c r="H345" s="30" t="s">
        <v>89</v>
      </c>
      <c r="I345" s="48">
        <v>2100.0</v>
      </c>
      <c r="J345" s="188">
        <f t="shared" si="13"/>
        <v>45406</v>
      </c>
      <c r="K345" s="48">
        <v>362.0</v>
      </c>
      <c r="L345" s="48" t="s">
        <v>108</v>
      </c>
      <c r="M345" s="48" t="s">
        <v>91</v>
      </c>
      <c r="N345" s="48" t="s">
        <v>135</v>
      </c>
      <c r="O345" s="30" t="s">
        <v>89</v>
      </c>
      <c r="P345" s="48" t="s">
        <v>645</v>
      </c>
      <c r="Q345" s="48" t="s">
        <v>94</v>
      </c>
      <c r="R345" s="161">
        <f>IFERROR(VLOOKUP(Q345,'PRODUCT TABLE'!$A$2:$B$26,2,FALSE),"-")</f>
        <v>44011090</v>
      </c>
      <c r="S345" s="48">
        <v>20620.0</v>
      </c>
      <c r="T345" s="48">
        <v>5.65</v>
      </c>
      <c r="U345" s="48" t="s">
        <v>95</v>
      </c>
      <c r="V345" s="161">
        <f t="shared" si="14"/>
        <v>116503</v>
      </c>
      <c r="W345" s="189">
        <v>0.025</v>
      </c>
      <c r="X345" s="189">
        <v>0.025</v>
      </c>
      <c r="Y345" s="30"/>
      <c r="Z345" s="169">
        <f t="shared" si="2"/>
        <v>122328</v>
      </c>
      <c r="AA345" s="167">
        <f t="shared" si="3"/>
        <v>-0.15</v>
      </c>
      <c r="AB345" s="161"/>
      <c r="AC345" s="161">
        <f t="shared" si="4"/>
        <v>116503</v>
      </c>
      <c r="AD345" s="161">
        <f t="shared" si="5"/>
        <v>2912.575</v>
      </c>
      <c r="AE345" s="161">
        <f t="shared" si="6"/>
        <v>2912.575</v>
      </c>
      <c r="AF345" s="167">
        <f t="shared" si="7"/>
        <v>0</v>
      </c>
      <c r="AG345" s="167">
        <f t="shared" si="8"/>
        <v>5825.15</v>
      </c>
      <c r="AH345" s="158"/>
      <c r="AI345" s="158"/>
    </row>
    <row r="346" ht="12.75" customHeight="1">
      <c r="A346" s="48" t="s">
        <v>653</v>
      </c>
      <c r="B346" s="160" t="str">
        <f>iferror(VLOOKUP((LEFT(A346,6)),CUSTOMER_DETAILS,2,FALSE),"-")</f>
        <v>HARIWANSH PACKAGING PVT LTD</v>
      </c>
      <c r="C346" s="161" t="s">
        <v>89</v>
      </c>
      <c r="D346" s="191">
        <v>45416.0</v>
      </c>
      <c r="E346" s="161" t="s">
        <v>89</v>
      </c>
      <c r="F346" s="164" t="s">
        <v>592</v>
      </c>
      <c r="G346" s="30" t="s">
        <v>89</v>
      </c>
      <c r="H346" s="30" t="s">
        <v>89</v>
      </c>
      <c r="I346" s="48">
        <v>2100.0</v>
      </c>
      <c r="J346" s="188">
        <f t="shared" si="13"/>
        <v>45416</v>
      </c>
      <c r="K346" s="48">
        <v>363.0</v>
      </c>
      <c r="L346" s="48" t="s">
        <v>108</v>
      </c>
      <c r="M346" s="48" t="s">
        <v>91</v>
      </c>
      <c r="N346" s="48" t="s">
        <v>135</v>
      </c>
      <c r="O346" s="30" t="s">
        <v>89</v>
      </c>
      <c r="P346" s="48" t="s">
        <v>654</v>
      </c>
      <c r="Q346" s="48" t="s">
        <v>94</v>
      </c>
      <c r="R346" s="161">
        <f>IFERROR(VLOOKUP(Q346,'PRODUCT TABLE'!$A$2:$B$26,2,FALSE),"-")</f>
        <v>44011090</v>
      </c>
      <c r="S346" s="48">
        <v>10020.0</v>
      </c>
      <c r="T346" s="48">
        <v>5.65</v>
      </c>
      <c r="U346" s="48" t="s">
        <v>95</v>
      </c>
      <c r="V346" s="161">
        <f t="shared" si="14"/>
        <v>56613</v>
      </c>
      <c r="W346" s="189">
        <v>0.025</v>
      </c>
      <c r="X346" s="189">
        <v>0.025</v>
      </c>
      <c r="Y346" s="30"/>
      <c r="Z346" s="169">
        <f t="shared" si="2"/>
        <v>59444</v>
      </c>
      <c r="AA346" s="167">
        <f t="shared" si="3"/>
        <v>0.35</v>
      </c>
      <c r="AB346" s="161"/>
      <c r="AC346" s="161">
        <f t="shared" si="4"/>
        <v>56613</v>
      </c>
      <c r="AD346" s="161">
        <f t="shared" si="5"/>
        <v>1415.325</v>
      </c>
      <c r="AE346" s="161">
        <f t="shared" si="6"/>
        <v>1415.325</v>
      </c>
      <c r="AF346" s="167">
        <f t="shared" si="7"/>
        <v>0</v>
      </c>
      <c r="AG346" s="167">
        <f t="shared" si="8"/>
        <v>2830.65</v>
      </c>
      <c r="AH346" s="158"/>
      <c r="AI346" s="158"/>
    </row>
    <row r="347" ht="12.75" customHeight="1">
      <c r="A347" s="48" t="s">
        <v>655</v>
      </c>
      <c r="B347" s="160" t="str">
        <f>iferror(VLOOKUP((LEFT(A347,6)),CUSTOMER_DETAILS,2,FALSE),"-")</f>
        <v>HARIWANSH PACKAGING PVT LTD</v>
      </c>
      <c r="C347" s="161" t="s">
        <v>89</v>
      </c>
      <c r="D347" s="191">
        <v>45417.0</v>
      </c>
      <c r="E347" s="161" t="s">
        <v>89</v>
      </c>
      <c r="F347" s="164" t="s">
        <v>592</v>
      </c>
      <c r="G347" s="30" t="s">
        <v>89</v>
      </c>
      <c r="H347" s="30" t="s">
        <v>89</v>
      </c>
      <c r="I347" s="48">
        <v>2100.0</v>
      </c>
      <c r="J347" s="188">
        <f t="shared" si="13"/>
        <v>45417</v>
      </c>
      <c r="K347" s="48">
        <v>364.0</v>
      </c>
      <c r="L347" s="48" t="s">
        <v>108</v>
      </c>
      <c r="M347" s="48" t="s">
        <v>91</v>
      </c>
      <c r="N347" s="48" t="s">
        <v>135</v>
      </c>
      <c r="O347" s="30" t="s">
        <v>89</v>
      </c>
      <c r="P347" s="48" t="s">
        <v>656</v>
      </c>
      <c r="Q347" s="48" t="s">
        <v>94</v>
      </c>
      <c r="R347" s="161">
        <f>IFERROR(VLOOKUP(Q347,'PRODUCT TABLE'!$A$2:$B$26,2,FALSE),"-")</f>
        <v>44011090</v>
      </c>
      <c r="S347" s="48">
        <v>10170.0</v>
      </c>
      <c r="T347" s="48">
        <v>5.65</v>
      </c>
      <c r="U347" s="48" t="s">
        <v>95</v>
      </c>
      <c r="V347" s="161">
        <f t="shared" si="14"/>
        <v>57460.5</v>
      </c>
      <c r="W347" s="189">
        <v>0.025</v>
      </c>
      <c r="X347" s="189">
        <v>0.025</v>
      </c>
      <c r="Y347" s="30"/>
      <c r="Z347" s="169">
        <f t="shared" si="2"/>
        <v>60334</v>
      </c>
      <c r="AA347" s="167">
        <f t="shared" si="3"/>
        <v>0.475</v>
      </c>
      <c r="AB347" s="161"/>
      <c r="AC347" s="161">
        <f t="shared" si="4"/>
        <v>57460.5</v>
      </c>
      <c r="AD347" s="161">
        <f t="shared" si="5"/>
        <v>1436.5125</v>
      </c>
      <c r="AE347" s="161">
        <f t="shared" si="6"/>
        <v>1436.5125</v>
      </c>
      <c r="AF347" s="167">
        <f t="shared" si="7"/>
        <v>0</v>
      </c>
      <c r="AG347" s="167">
        <f t="shared" si="8"/>
        <v>2873.025</v>
      </c>
      <c r="AH347" s="158"/>
      <c r="AI347" s="158"/>
    </row>
    <row r="348" ht="12.75" customHeight="1">
      <c r="A348" s="48" t="s">
        <v>657</v>
      </c>
      <c r="B348" s="160" t="str">
        <f>iferror(VLOOKUP((LEFT(A348,6)),CUSTOMER_DETAILS,2,FALSE),"-")</f>
        <v>HARIWANSH PACKAGING PVT LTD</v>
      </c>
      <c r="C348" s="161" t="s">
        <v>89</v>
      </c>
      <c r="D348" s="191">
        <v>45431.0</v>
      </c>
      <c r="E348" s="161" t="s">
        <v>89</v>
      </c>
      <c r="F348" s="164" t="s">
        <v>658</v>
      </c>
      <c r="G348" s="30" t="s">
        <v>89</v>
      </c>
      <c r="H348" s="30" t="s">
        <v>89</v>
      </c>
      <c r="I348" s="48">
        <v>2100.0</v>
      </c>
      <c r="J348" s="188">
        <f t="shared" si="13"/>
        <v>45431</v>
      </c>
      <c r="K348" s="48">
        <v>365.0</v>
      </c>
      <c r="L348" s="48" t="s">
        <v>108</v>
      </c>
      <c r="M348" s="48" t="s">
        <v>659</v>
      </c>
      <c r="N348" s="48" t="s">
        <v>135</v>
      </c>
      <c r="O348" s="30" t="s">
        <v>89</v>
      </c>
      <c r="P348" s="48" t="s">
        <v>660</v>
      </c>
      <c r="Q348" s="48" t="s">
        <v>94</v>
      </c>
      <c r="R348" s="161">
        <f>IFERROR(VLOOKUP(Q348,'PRODUCT TABLE'!$A$2:$B$26,2,FALSE),"-")</f>
        <v>44011090</v>
      </c>
      <c r="S348" s="48">
        <v>22190.0</v>
      </c>
      <c r="T348" s="48">
        <v>5.65</v>
      </c>
      <c r="U348" s="48" t="s">
        <v>95</v>
      </c>
      <c r="V348" s="161">
        <f t="shared" si="14"/>
        <v>125373.5</v>
      </c>
      <c r="W348" s="189">
        <v>0.025</v>
      </c>
      <c r="X348" s="189">
        <v>0.025</v>
      </c>
      <c r="Y348" s="30"/>
      <c r="Z348" s="169">
        <f t="shared" si="2"/>
        <v>131642</v>
      </c>
      <c r="AA348" s="167">
        <f t="shared" si="3"/>
        <v>-0.175</v>
      </c>
      <c r="AB348" s="161"/>
      <c r="AC348" s="161">
        <f t="shared" si="4"/>
        <v>125373.5</v>
      </c>
      <c r="AD348" s="161">
        <f t="shared" si="5"/>
        <v>3134.3375</v>
      </c>
      <c r="AE348" s="161">
        <f t="shared" si="6"/>
        <v>3134.3375</v>
      </c>
      <c r="AF348" s="167">
        <f t="shared" si="7"/>
        <v>0</v>
      </c>
      <c r="AG348" s="167">
        <f t="shared" si="8"/>
        <v>6268.675</v>
      </c>
      <c r="AH348" s="158"/>
      <c r="AI348" s="158"/>
    </row>
    <row r="349" ht="12.75" customHeight="1">
      <c r="A349" s="48" t="s">
        <v>661</v>
      </c>
      <c r="B349" s="160" t="str">
        <f>iferror(VLOOKUP((LEFT(A349,6)),CUSTOMER_DETAILS,2,FALSE),"-")</f>
        <v>SIDDHAYU LIFE SCIENCES PVT LTD</v>
      </c>
      <c r="C349" s="161" t="s">
        <v>89</v>
      </c>
      <c r="D349" s="191">
        <v>45434.0</v>
      </c>
      <c r="E349" s="161"/>
      <c r="F349" s="164" t="s">
        <v>592</v>
      </c>
      <c r="G349" s="30" t="s">
        <v>89</v>
      </c>
      <c r="H349" s="30" t="s">
        <v>89</v>
      </c>
      <c r="I349" s="48" t="s">
        <v>108</v>
      </c>
      <c r="J349" s="48" t="s">
        <v>662</v>
      </c>
      <c r="K349" s="48">
        <v>366.0</v>
      </c>
      <c r="L349" s="48" t="s">
        <v>108</v>
      </c>
      <c r="M349" s="48" t="s">
        <v>659</v>
      </c>
      <c r="N349" s="48" t="s">
        <v>663</v>
      </c>
      <c r="O349" s="30" t="s">
        <v>89</v>
      </c>
      <c r="P349" s="48" t="s">
        <v>664</v>
      </c>
      <c r="Q349" s="48" t="s">
        <v>94</v>
      </c>
      <c r="R349" s="161">
        <f>IFERROR(VLOOKUP(Q349,'PRODUCT TABLE'!$A$2:$B$26,2,FALSE),"-")</f>
        <v>44011090</v>
      </c>
      <c r="S349" s="48">
        <v>23540.0</v>
      </c>
      <c r="T349" s="48">
        <v>6.0</v>
      </c>
      <c r="U349" s="48" t="s">
        <v>95</v>
      </c>
      <c r="V349" s="161">
        <f t="shared" si="14"/>
        <v>141240</v>
      </c>
      <c r="Y349" s="186">
        <v>0.05</v>
      </c>
      <c r="Z349" s="169">
        <f t="shared" si="2"/>
        <v>148302</v>
      </c>
      <c r="AA349" s="167">
        <f t="shared" si="3"/>
        <v>0</v>
      </c>
      <c r="AB349" s="161"/>
      <c r="AC349" s="161">
        <f t="shared" si="4"/>
        <v>141240</v>
      </c>
      <c r="AD349" s="161">
        <f t="shared" si="5"/>
        <v>0</v>
      </c>
      <c r="AE349" s="161">
        <f t="shared" si="6"/>
        <v>0</v>
      </c>
      <c r="AF349" s="167">
        <f t="shared" si="7"/>
        <v>7062</v>
      </c>
      <c r="AG349" s="167">
        <f t="shared" si="8"/>
        <v>7062</v>
      </c>
      <c r="AH349" s="158"/>
      <c r="AI349" s="158"/>
    </row>
    <row r="350" ht="12.75" customHeight="1">
      <c r="A350" s="48" t="s">
        <v>665</v>
      </c>
      <c r="B350" s="160" t="str">
        <f>iferror(VLOOKUP((LEFT(A350,6)),CUSTOMER_DETAILS,2,FALSE),"-")</f>
        <v>HARIWANSH PACKAGING PVT LTD</v>
      </c>
      <c r="C350" s="161" t="s">
        <v>89</v>
      </c>
      <c r="D350" s="191">
        <v>45438.0</v>
      </c>
      <c r="E350" s="161" t="s">
        <v>89</v>
      </c>
      <c r="F350" s="164" t="s">
        <v>592</v>
      </c>
      <c r="G350" s="30" t="s">
        <v>89</v>
      </c>
      <c r="H350" s="30" t="s">
        <v>89</v>
      </c>
      <c r="I350" s="48" t="s">
        <v>108</v>
      </c>
      <c r="J350" s="188">
        <f t="shared" ref="J350:J1137" si="15">D350</f>
        <v>45438</v>
      </c>
      <c r="K350" s="48">
        <v>367.0</v>
      </c>
      <c r="L350" s="48" t="s">
        <v>108</v>
      </c>
      <c r="M350" s="48" t="s">
        <v>659</v>
      </c>
      <c r="N350" s="48" t="s">
        <v>135</v>
      </c>
      <c r="O350" s="30" t="s">
        <v>89</v>
      </c>
      <c r="P350" s="48" t="s">
        <v>666</v>
      </c>
      <c r="Q350" s="48" t="s">
        <v>94</v>
      </c>
      <c r="R350" s="161">
        <f>IFERROR(VLOOKUP(Q350,'PRODUCT TABLE'!$A$2:$B$26,2,FALSE),"-")</f>
        <v>44011090</v>
      </c>
      <c r="S350" s="48">
        <v>25060.0</v>
      </c>
      <c r="T350" s="48">
        <v>5.65</v>
      </c>
      <c r="U350" s="48" t="s">
        <v>95</v>
      </c>
      <c r="V350" s="161">
        <f t="shared" si="14"/>
        <v>141589</v>
      </c>
      <c r="W350" s="189">
        <v>0.025</v>
      </c>
      <c r="X350" s="189">
        <v>0.025</v>
      </c>
      <c r="Y350" s="30"/>
      <c r="Z350" s="169">
        <f t="shared" si="2"/>
        <v>148668</v>
      </c>
      <c r="AA350" s="167">
        <f t="shared" si="3"/>
        <v>-0.45</v>
      </c>
      <c r="AB350" s="161"/>
      <c r="AC350" s="161">
        <f t="shared" si="4"/>
        <v>141589</v>
      </c>
      <c r="AD350" s="161">
        <f t="shared" si="5"/>
        <v>3539.725</v>
      </c>
      <c r="AE350" s="161">
        <f t="shared" si="6"/>
        <v>3539.725</v>
      </c>
      <c r="AF350" s="167">
        <f t="shared" si="7"/>
        <v>0</v>
      </c>
      <c r="AG350" s="167">
        <f t="shared" si="8"/>
        <v>7079.45</v>
      </c>
      <c r="AH350" s="158"/>
      <c r="AI350" s="158"/>
    </row>
    <row r="351" ht="12.75" customHeight="1">
      <c r="A351" s="48" t="s">
        <v>667</v>
      </c>
      <c r="B351" s="160" t="str">
        <f>iferror(VLOOKUP((LEFT(A351,6)),CUSTOMER_DETAILS,2,FALSE),"-")</f>
        <v>HARIWANSH PACKAGING PVT LTD</v>
      </c>
      <c r="C351" s="161" t="s">
        <v>89</v>
      </c>
      <c r="D351" s="191">
        <v>45447.0</v>
      </c>
      <c r="E351" s="161" t="s">
        <v>89</v>
      </c>
      <c r="F351" s="164" t="s">
        <v>592</v>
      </c>
      <c r="G351" s="30" t="s">
        <v>89</v>
      </c>
      <c r="H351" s="30" t="s">
        <v>89</v>
      </c>
      <c r="I351" s="48" t="s">
        <v>108</v>
      </c>
      <c r="J351" s="188">
        <f t="shared" si="15"/>
        <v>45447</v>
      </c>
      <c r="K351" s="48">
        <v>368.0</v>
      </c>
      <c r="L351" s="48" t="s">
        <v>108</v>
      </c>
      <c r="M351" s="48" t="s">
        <v>91</v>
      </c>
      <c r="N351" s="48" t="s">
        <v>135</v>
      </c>
      <c r="O351" s="30" t="s">
        <v>89</v>
      </c>
      <c r="P351" s="48" t="s">
        <v>668</v>
      </c>
      <c r="Q351" s="48" t="s">
        <v>94</v>
      </c>
      <c r="R351" s="161">
        <f>IFERROR(VLOOKUP(Q351,'PRODUCT TABLE'!$A$2:$B$26,2,FALSE),"-")</f>
        <v>44011090</v>
      </c>
      <c r="S351" s="48">
        <v>24520.0</v>
      </c>
      <c r="T351" s="48">
        <v>5.65</v>
      </c>
      <c r="U351" s="48" t="s">
        <v>95</v>
      </c>
      <c r="V351" s="161">
        <f t="shared" si="14"/>
        <v>138538</v>
      </c>
      <c r="W351" s="189">
        <v>0.025</v>
      </c>
      <c r="X351" s="189">
        <v>0.025</v>
      </c>
      <c r="Y351" s="30"/>
      <c r="Z351" s="169">
        <f t="shared" si="2"/>
        <v>145465</v>
      </c>
      <c r="AA351" s="167">
        <f t="shared" si="3"/>
        <v>0.1</v>
      </c>
      <c r="AB351" s="161"/>
      <c r="AC351" s="161">
        <f t="shared" si="4"/>
        <v>138538</v>
      </c>
      <c r="AD351" s="161">
        <f t="shared" si="5"/>
        <v>3463.45</v>
      </c>
      <c r="AE351" s="161">
        <f t="shared" si="6"/>
        <v>3463.45</v>
      </c>
      <c r="AF351" s="167">
        <f t="shared" si="7"/>
        <v>0</v>
      </c>
      <c r="AG351" s="167">
        <f t="shared" si="8"/>
        <v>6926.9</v>
      </c>
      <c r="AH351" s="158"/>
      <c r="AI351" s="158"/>
    </row>
    <row r="352" ht="12.75" customHeight="1">
      <c r="A352" s="48" t="s">
        <v>669</v>
      </c>
      <c r="B352" s="160" t="str">
        <f>iferror(VLOOKUP((LEFT(A352,6)),CUSTOMER_DETAILS,2,FALSE),"-")</f>
        <v>MAHI ENTERPRISES </v>
      </c>
      <c r="C352" s="161" t="s">
        <v>89</v>
      </c>
      <c r="D352" s="191">
        <v>45454.0</v>
      </c>
      <c r="E352" s="161" t="s">
        <v>89</v>
      </c>
      <c r="F352" s="164" t="s">
        <v>670</v>
      </c>
      <c r="G352" s="30" t="s">
        <v>89</v>
      </c>
      <c r="H352" s="30" t="s">
        <v>89</v>
      </c>
      <c r="I352" s="48" t="s">
        <v>108</v>
      </c>
      <c r="J352" s="188">
        <f t="shared" si="15"/>
        <v>45454</v>
      </c>
      <c r="K352" s="48">
        <v>369.0</v>
      </c>
      <c r="L352" s="48" t="s">
        <v>108</v>
      </c>
      <c r="M352" s="48" t="s">
        <v>91</v>
      </c>
      <c r="N352" s="48" t="s">
        <v>135</v>
      </c>
      <c r="O352" s="30" t="s">
        <v>89</v>
      </c>
      <c r="P352" s="48" t="s">
        <v>671</v>
      </c>
      <c r="Q352" s="48" t="s">
        <v>94</v>
      </c>
      <c r="R352" s="161">
        <f>IFERROR(VLOOKUP(Q352,'PRODUCT TABLE'!$A$2:$B$26,2,FALSE),"-")</f>
        <v>44011090</v>
      </c>
      <c r="S352" s="48">
        <v>10475.0</v>
      </c>
      <c r="T352" s="48">
        <v>5.5</v>
      </c>
      <c r="U352" s="48" t="s">
        <v>95</v>
      </c>
      <c r="V352" s="161">
        <f t="shared" si="14"/>
        <v>57612.5</v>
      </c>
      <c r="W352" s="189">
        <v>0.025</v>
      </c>
      <c r="X352" s="189">
        <v>0.025</v>
      </c>
      <c r="Y352" s="30"/>
      <c r="Z352" s="169">
        <f t="shared" si="2"/>
        <v>60493</v>
      </c>
      <c r="AA352" s="167">
        <f t="shared" si="3"/>
        <v>-0.125</v>
      </c>
      <c r="AB352" s="161"/>
      <c r="AC352" s="161">
        <f t="shared" si="4"/>
        <v>57612.5</v>
      </c>
      <c r="AD352" s="161">
        <f t="shared" si="5"/>
        <v>1440.3125</v>
      </c>
      <c r="AE352" s="161">
        <f t="shared" si="6"/>
        <v>1440.3125</v>
      </c>
      <c r="AF352" s="167">
        <f t="shared" si="7"/>
        <v>0</v>
      </c>
      <c r="AG352" s="167">
        <f t="shared" si="8"/>
        <v>2880.625</v>
      </c>
      <c r="AH352" s="158"/>
      <c r="AI352" s="158"/>
    </row>
    <row r="353" ht="12.75" customHeight="1">
      <c r="A353" s="48" t="s">
        <v>672</v>
      </c>
      <c r="B353" s="160" t="str">
        <f>iferror(VLOOKUP((LEFT(A353,6)),CUSTOMER_DETAILS,2,FALSE),"-")</f>
        <v>AEC PLAST PRIVATE LIMITED</v>
      </c>
      <c r="C353" s="161" t="s">
        <v>89</v>
      </c>
      <c r="D353" s="191">
        <v>45463.0</v>
      </c>
      <c r="E353" s="161" t="s">
        <v>89</v>
      </c>
      <c r="F353" s="164" t="s">
        <v>493</v>
      </c>
      <c r="G353" s="30" t="s">
        <v>89</v>
      </c>
      <c r="H353" s="30" t="s">
        <v>89</v>
      </c>
      <c r="I353" s="48" t="s">
        <v>108</v>
      </c>
      <c r="J353" s="188">
        <f t="shared" si="15"/>
        <v>45463</v>
      </c>
      <c r="K353" s="48">
        <v>370.0</v>
      </c>
      <c r="L353" s="48" t="s">
        <v>108</v>
      </c>
      <c r="M353" s="48" t="s">
        <v>91</v>
      </c>
      <c r="N353" s="48" t="s">
        <v>135</v>
      </c>
      <c r="O353" s="30" t="s">
        <v>89</v>
      </c>
      <c r="P353" s="48" t="s">
        <v>673</v>
      </c>
      <c r="Q353" s="48" t="s">
        <v>94</v>
      </c>
      <c r="R353" s="161">
        <f>IFERROR(VLOOKUP(Q353,'PRODUCT TABLE'!$A$2:$B$26,2,FALSE),"-")</f>
        <v>44011090</v>
      </c>
      <c r="S353" s="48">
        <v>11950.0</v>
      </c>
      <c r="T353" s="48">
        <v>5.5</v>
      </c>
      <c r="U353" s="48" t="s">
        <v>95</v>
      </c>
      <c r="V353" s="161">
        <f t="shared" si="14"/>
        <v>65725</v>
      </c>
      <c r="W353" s="189">
        <v>0.025</v>
      </c>
      <c r="X353" s="189">
        <v>0.025</v>
      </c>
      <c r="Y353" s="30"/>
      <c r="Z353" s="169">
        <f t="shared" si="2"/>
        <v>69011</v>
      </c>
      <c r="AA353" s="167">
        <f t="shared" si="3"/>
        <v>-0.25</v>
      </c>
      <c r="AB353" s="161"/>
      <c r="AC353" s="161">
        <f t="shared" si="4"/>
        <v>65725</v>
      </c>
      <c r="AD353" s="161">
        <f t="shared" si="5"/>
        <v>1643.125</v>
      </c>
      <c r="AE353" s="161">
        <f t="shared" si="6"/>
        <v>1643.125</v>
      </c>
      <c r="AF353" s="167">
        <f t="shared" si="7"/>
        <v>0</v>
      </c>
      <c r="AG353" s="167">
        <f t="shared" si="8"/>
        <v>3286.25</v>
      </c>
      <c r="AH353" s="158"/>
      <c r="AI353" s="158"/>
    </row>
    <row r="354" ht="12.75" customHeight="1">
      <c r="A354" s="48" t="s">
        <v>674</v>
      </c>
      <c r="B354" s="160" t="str">
        <f>iferror(VLOOKUP((LEFT(A354,6)),CUSTOMER_DETAILS,2,FALSE),"-")</f>
        <v>MAHI ENTERPRISES </v>
      </c>
      <c r="C354" s="161" t="s">
        <v>89</v>
      </c>
      <c r="D354" s="191">
        <v>45463.0</v>
      </c>
      <c r="E354" s="161" t="s">
        <v>89</v>
      </c>
      <c r="F354" s="164" t="s">
        <v>670</v>
      </c>
      <c r="G354" s="30" t="s">
        <v>89</v>
      </c>
      <c r="H354" s="30" t="s">
        <v>89</v>
      </c>
      <c r="I354" s="48" t="s">
        <v>108</v>
      </c>
      <c r="J354" s="188">
        <f t="shared" si="15"/>
        <v>45463</v>
      </c>
      <c r="K354" s="48">
        <v>371.0</v>
      </c>
      <c r="L354" s="48" t="s">
        <v>108</v>
      </c>
      <c r="M354" s="48" t="s">
        <v>91</v>
      </c>
      <c r="N354" s="48" t="s">
        <v>135</v>
      </c>
      <c r="O354" s="30" t="s">
        <v>89</v>
      </c>
      <c r="P354" s="48" t="s">
        <v>673</v>
      </c>
      <c r="Q354" s="48" t="s">
        <v>94</v>
      </c>
      <c r="R354" s="161">
        <f>IFERROR(VLOOKUP(Q354,'PRODUCT TABLE'!$A$2:$B$26,2,FALSE),"-")</f>
        <v>44011090</v>
      </c>
      <c r="S354" s="48">
        <v>12025.0</v>
      </c>
      <c r="T354" s="48">
        <v>5.5</v>
      </c>
      <c r="U354" s="48" t="s">
        <v>95</v>
      </c>
      <c r="V354" s="161">
        <f t="shared" si="14"/>
        <v>66137.5</v>
      </c>
      <c r="W354" s="189">
        <v>0.025</v>
      </c>
      <c r="X354" s="189">
        <v>0.025</v>
      </c>
      <c r="Y354" s="30"/>
      <c r="Z354" s="169">
        <f t="shared" si="2"/>
        <v>69444</v>
      </c>
      <c r="AA354" s="167">
        <f t="shared" si="3"/>
        <v>-0.375</v>
      </c>
      <c r="AB354" s="161"/>
      <c r="AC354" s="161">
        <f t="shared" si="4"/>
        <v>66137.5</v>
      </c>
      <c r="AD354" s="161">
        <f t="shared" si="5"/>
        <v>1653.4375</v>
      </c>
      <c r="AE354" s="161">
        <f t="shared" si="6"/>
        <v>1653.4375</v>
      </c>
      <c r="AF354" s="167">
        <f t="shared" si="7"/>
        <v>0</v>
      </c>
      <c r="AG354" s="167">
        <f t="shared" si="8"/>
        <v>3306.875</v>
      </c>
      <c r="AH354" s="158"/>
      <c r="AI354" s="158"/>
    </row>
    <row r="355" ht="12.75" customHeight="1">
      <c r="A355" s="48" t="s">
        <v>675</v>
      </c>
      <c r="B355" s="160" t="str">
        <f>iferror(VLOOKUP((LEFT(A355,6)),CUSTOMER_DETAILS,2,FALSE),"-")</f>
        <v>SHRI HARI FOOD INDUSTRIES </v>
      </c>
      <c r="C355" s="161" t="s">
        <v>89</v>
      </c>
      <c r="D355" s="191">
        <v>45468.0</v>
      </c>
      <c r="E355" s="161" t="s">
        <v>89</v>
      </c>
      <c r="F355" s="164" t="s">
        <v>676</v>
      </c>
      <c r="G355" s="30" t="s">
        <v>89</v>
      </c>
      <c r="H355" s="30" t="s">
        <v>89</v>
      </c>
      <c r="I355" s="48" t="s">
        <v>108</v>
      </c>
      <c r="J355" s="188">
        <f t="shared" si="15"/>
        <v>45468</v>
      </c>
      <c r="K355" s="48">
        <v>372.0</v>
      </c>
      <c r="L355" s="48" t="s">
        <v>108</v>
      </c>
      <c r="M355" s="48" t="s">
        <v>677</v>
      </c>
      <c r="N355" s="48" t="s">
        <v>678</v>
      </c>
      <c r="O355" s="30" t="s">
        <v>89</v>
      </c>
      <c r="Q355" s="48" t="s">
        <v>117</v>
      </c>
      <c r="R355" s="161">
        <f>IFERROR(VLOOKUP(Q355,'PRODUCT TABLE'!$A$2:$B$26,2,FALSE),"-")</f>
        <v>44011090</v>
      </c>
      <c r="S355" s="48">
        <v>500.0</v>
      </c>
      <c r="T355" s="48">
        <v>10.5</v>
      </c>
      <c r="U355" s="48" t="s">
        <v>95</v>
      </c>
      <c r="V355" s="161">
        <f t="shared" si="14"/>
        <v>5250</v>
      </c>
      <c r="W355" s="189">
        <v>0.025</v>
      </c>
      <c r="X355" s="189">
        <v>0.025</v>
      </c>
      <c r="Y355" s="30"/>
      <c r="Z355" s="169">
        <f t="shared" si="2"/>
        <v>7212</v>
      </c>
      <c r="AA355" s="167">
        <f t="shared" si="3"/>
        <v>-0.5</v>
      </c>
      <c r="AB355" s="195">
        <v>1700.0</v>
      </c>
      <c r="AC355" s="161">
        <f t="shared" si="4"/>
        <v>5250</v>
      </c>
      <c r="AD355" s="161">
        <f t="shared" si="5"/>
        <v>131.25</v>
      </c>
      <c r="AE355" s="161">
        <f t="shared" si="6"/>
        <v>131.25</v>
      </c>
      <c r="AF355" s="167">
        <f t="shared" si="7"/>
        <v>0</v>
      </c>
      <c r="AG355" s="167">
        <f t="shared" si="8"/>
        <v>262.5</v>
      </c>
      <c r="AH355" s="158"/>
      <c r="AI355" s="158"/>
    </row>
    <row r="356" ht="12.75" customHeight="1">
      <c r="A356" s="48" t="s">
        <v>679</v>
      </c>
      <c r="B356" s="160" t="str">
        <f>iferror(VLOOKUP((LEFT(A356,6)),CUSTOMER_DETAILS,2,FALSE),"-")</f>
        <v>AEC PLAST PRIVATE LIMITED</v>
      </c>
      <c r="C356" s="161" t="s">
        <v>89</v>
      </c>
      <c r="D356" s="191">
        <v>45473.0</v>
      </c>
      <c r="E356" s="161" t="s">
        <v>89</v>
      </c>
      <c r="G356" s="30" t="s">
        <v>89</v>
      </c>
      <c r="H356" s="30" t="s">
        <v>89</v>
      </c>
      <c r="I356" s="48" t="s">
        <v>108</v>
      </c>
      <c r="J356" s="188">
        <f t="shared" si="15"/>
        <v>45473</v>
      </c>
      <c r="K356" s="48">
        <v>373.0</v>
      </c>
      <c r="L356" s="48" t="s">
        <v>108</v>
      </c>
      <c r="M356" s="48" t="s">
        <v>91</v>
      </c>
      <c r="N356" s="48" t="s">
        <v>135</v>
      </c>
      <c r="O356" s="30" t="s">
        <v>89</v>
      </c>
      <c r="P356" s="48" t="s">
        <v>616</v>
      </c>
      <c r="Q356" s="48" t="s">
        <v>94</v>
      </c>
      <c r="R356" s="161">
        <f>IFERROR(VLOOKUP(Q356,'PRODUCT TABLE'!$A$2:$B$26,2,FALSE),"-")</f>
        <v>44011090</v>
      </c>
      <c r="S356" s="48">
        <v>9790.0</v>
      </c>
      <c r="T356" s="48">
        <v>5.5</v>
      </c>
      <c r="U356" s="48" t="s">
        <v>95</v>
      </c>
      <c r="V356" s="207">
        <f t="shared" si="14"/>
        <v>53845</v>
      </c>
      <c r="W356" s="189">
        <v>0.025</v>
      </c>
      <c r="X356" s="189">
        <v>0.025</v>
      </c>
      <c r="Y356" s="30"/>
      <c r="Z356" s="169">
        <f t="shared" si="2"/>
        <v>56537</v>
      </c>
      <c r="AA356" s="167">
        <f t="shared" si="3"/>
        <v>-0.25</v>
      </c>
      <c r="AB356" s="161"/>
      <c r="AC356" s="161">
        <f t="shared" si="4"/>
        <v>53845</v>
      </c>
      <c r="AD356" s="161">
        <f t="shared" si="5"/>
        <v>1346.125</v>
      </c>
      <c r="AE356" s="161">
        <f t="shared" si="6"/>
        <v>1346.125</v>
      </c>
      <c r="AF356" s="167">
        <f t="shared" si="7"/>
        <v>0</v>
      </c>
      <c r="AG356" s="167">
        <f t="shared" si="8"/>
        <v>2692.25</v>
      </c>
      <c r="AH356" s="158"/>
      <c r="AI356" s="158"/>
    </row>
    <row r="357" ht="12.75" customHeight="1">
      <c r="A357" s="48" t="s">
        <v>680</v>
      </c>
      <c r="B357" s="160" t="str">
        <f>iferror(VLOOKUP((LEFT(A357,6)),CUSTOMER_DETAILS,2,FALSE),"-")</f>
        <v>MAHI ENTERPRISES </v>
      </c>
      <c r="C357" s="161" t="s">
        <v>89</v>
      </c>
      <c r="D357" s="191">
        <v>45479.0</v>
      </c>
      <c r="E357" s="161" t="s">
        <v>89</v>
      </c>
      <c r="F357" s="30" t="s">
        <v>89</v>
      </c>
      <c r="G357" s="30" t="s">
        <v>89</v>
      </c>
      <c r="H357" s="30" t="s">
        <v>89</v>
      </c>
      <c r="I357" s="48" t="s">
        <v>108</v>
      </c>
      <c r="J357" s="188">
        <f t="shared" si="15"/>
        <v>45479</v>
      </c>
      <c r="K357" s="48">
        <v>374.0</v>
      </c>
      <c r="L357" s="48" t="s">
        <v>108</v>
      </c>
      <c r="M357" s="48" t="s">
        <v>91</v>
      </c>
      <c r="N357" s="48" t="s">
        <v>135</v>
      </c>
      <c r="O357" s="30" t="s">
        <v>89</v>
      </c>
      <c r="Q357" s="48" t="s">
        <v>94</v>
      </c>
      <c r="R357" s="161">
        <f>IFERROR(VLOOKUP(Q357,'PRODUCT TABLE'!$A$2:$B$26,2,FALSE),"-")</f>
        <v>44011090</v>
      </c>
      <c r="S357" s="48">
        <v>12185.0</v>
      </c>
      <c r="T357" s="48">
        <v>5.5</v>
      </c>
      <c r="U357" s="48" t="s">
        <v>95</v>
      </c>
      <c r="V357" s="161">
        <f t="shared" si="14"/>
        <v>67017.5</v>
      </c>
      <c r="W357" s="189">
        <v>0.025</v>
      </c>
      <c r="X357" s="189">
        <v>0.025</v>
      </c>
      <c r="Y357" s="30"/>
      <c r="Z357" s="169">
        <f t="shared" si="2"/>
        <v>70368</v>
      </c>
      <c r="AA357" s="167">
        <f t="shared" si="3"/>
        <v>-0.375</v>
      </c>
      <c r="AB357" s="161"/>
      <c r="AC357" s="161">
        <f t="shared" si="4"/>
        <v>67017.5</v>
      </c>
      <c r="AD357" s="161">
        <f t="shared" si="5"/>
        <v>1675.4375</v>
      </c>
      <c r="AE357" s="161">
        <f t="shared" si="6"/>
        <v>1675.4375</v>
      </c>
      <c r="AF357" s="167">
        <f t="shared" si="7"/>
        <v>0</v>
      </c>
      <c r="AG357" s="167">
        <f t="shared" si="8"/>
        <v>3350.875</v>
      </c>
      <c r="AH357" s="158"/>
      <c r="AI357" s="158"/>
    </row>
    <row r="358" ht="12.75" customHeight="1">
      <c r="A358" s="48" t="s">
        <v>681</v>
      </c>
      <c r="B358" s="160" t="str">
        <f>iferror(VLOOKUP((LEFT(A358,6)),CUSTOMER_DETAILS,2,FALSE),"-")</f>
        <v>HARIWANSH PACKAGING PVT LTD</v>
      </c>
      <c r="C358" s="161" t="s">
        <v>89</v>
      </c>
      <c r="D358" s="191">
        <v>45479.0</v>
      </c>
      <c r="E358" s="161" t="s">
        <v>89</v>
      </c>
      <c r="F358" s="164" t="s">
        <v>592</v>
      </c>
      <c r="G358" s="30" t="s">
        <v>89</v>
      </c>
      <c r="H358" s="30" t="s">
        <v>89</v>
      </c>
      <c r="I358" s="48" t="s">
        <v>108</v>
      </c>
      <c r="J358" s="188">
        <f t="shared" si="15"/>
        <v>45479</v>
      </c>
      <c r="K358" s="48">
        <v>375.0</v>
      </c>
      <c r="L358" s="48" t="s">
        <v>108</v>
      </c>
      <c r="M358" s="48" t="s">
        <v>91</v>
      </c>
      <c r="N358" s="48" t="s">
        <v>135</v>
      </c>
      <c r="O358" s="30" t="s">
        <v>89</v>
      </c>
      <c r="P358" s="48" t="s">
        <v>682</v>
      </c>
      <c r="Q358" s="48" t="s">
        <v>94</v>
      </c>
      <c r="R358" s="161">
        <f>IFERROR(VLOOKUP(Q358,'PRODUCT TABLE'!$A$2:$B$26,2,FALSE),"-")</f>
        <v>44011090</v>
      </c>
      <c r="S358" s="48">
        <v>7740.0</v>
      </c>
      <c r="T358" s="48">
        <v>5.65</v>
      </c>
      <c r="U358" s="48" t="s">
        <v>95</v>
      </c>
      <c r="V358" s="161">
        <f t="shared" si="14"/>
        <v>43731</v>
      </c>
      <c r="W358" s="189">
        <v>0.025</v>
      </c>
      <c r="X358" s="189">
        <v>0.025</v>
      </c>
      <c r="Y358" s="30"/>
      <c r="Z358" s="169">
        <f t="shared" si="2"/>
        <v>45918</v>
      </c>
      <c r="AA358" s="167">
        <f t="shared" si="3"/>
        <v>0.45</v>
      </c>
      <c r="AB358" s="161"/>
      <c r="AC358" s="161">
        <f t="shared" si="4"/>
        <v>43731</v>
      </c>
      <c r="AD358" s="161">
        <f t="shared" si="5"/>
        <v>1093.275</v>
      </c>
      <c r="AE358" s="161">
        <f t="shared" si="6"/>
        <v>1093.275</v>
      </c>
      <c r="AF358" s="167">
        <f t="shared" si="7"/>
        <v>0</v>
      </c>
      <c r="AG358" s="167">
        <f t="shared" si="8"/>
        <v>2186.55</v>
      </c>
      <c r="AH358" s="158"/>
      <c r="AI358" s="158"/>
    </row>
    <row r="359" ht="12.75" customHeight="1">
      <c r="A359" s="48" t="s">
        <v>683</v>
      </c>
      <c r="B359" s="160" t="str">
        <f>iferror(VLOOKUP((LEFT(A359,6)),CUSTOMER_DETAILS,2,FALSE),"-")</f>
        <v>MITTAL COAL COMPANY</v>
      </c>
      <c r="C359" s="161" t="s">
        <v>89</v>
      </c>
      <c r="D359" s="191">
        <v>45490.0</v>
      </c>
      <c r="E359" s="161" t="s">
        <v>89</v>
      </c>
      <c r="F359" s="164" t="s">
        <v>684</v>
      </c>
      <c r="G359" s="30" t="s">
        <v>89</v>
      </c>
      <c r="H359" s="30" t="s">
        <v>89</v>
      </c>
      <c r="I359" s="48" t="s">
        <v>108</v>
      </c>
      <c r="J359" s="188">
        <f t="shared" si="15"/>
        <v>45490</v>
      </c>
      <c r="K359" s="48">
        <v>376.0</v>
      </c>
      <c r="L359" s="48" t="s">
        <v>108</v>
      </c>
      <c r="M359" s="48" t="s">
        <v>91</v>
      </c>
      <c r="N359" s="48" t="s">
        <v>400</v>
      </c>
      <c r="O359" s="30" t="s">
        <v>89</v>
      </c>
      <c r="P359" s="48" t="s">
        <v>685</v>
      </c>
      <c r="Q359" s="48" t="s">
        <v>233</v>
      </c>
      <c r="R359" s="161">
        <f>IFERROR(VLOOKUP(Q359,'PRODUCT TABLE'!$A$2:$B$26,2,FALSE),"-")</f>
        <v>44011090</v>
      </c>
      <c r="S359" s="48">
        <v>29930.0</v>
      </c>
      <c r="T359" s="48">
        <v>11.22</v>
      </c>
      <c r="U359" s="48" t="s">
        <v>95</v>
      </c>
      <c r="V359" s="161">
        <f t="shared" si="14"/>
        <v>335814.6</v>
      </c>
      <c r="Y359" s="202">
        <v>0.05</v>
      </c>
      <c r="Z359" s="169">
        <f t="shared" si="2"/>
        <v>352605</v>
      </c>
      <c r="AA359" s="167">
        <f t="shared" si="3"/>
        <v>-0.33</v>
      </c>
      <c r="AB359" s="175"/>
      <c r="AC359" s="161">
        <f t="shared" si="4"/>
        <v>335814.6</v>
      </c>
      <c r="AD359" s="161">
        <f t="shared" si="5"/>
        <v>0</v>
      </c>
      <c r="AE359" s="161">
        <f t="shared" si="6"/>
        <v>0</v>
      </c>
      <c r="AF359" s="167">
        <f t="shared" si="7"/>
        <v>16790.73</v>
      </c>
      <c r="AG359" s="167">
        <f t="shared" si="8"/>
        <v>16790.73</v>
      </c>
      <c r="AH359" s="158"/>
      <c r="AI359" s="158"/>
    </row>
    <row r="360" ht="12.75" customHeight="1">
      <c r="A360" s="48" t="s">
        <v>686</v>
      </c>
      <c r="B360" s="160" t="str">
        <f>iferror(VLOOKUP((LEFT(A360,6)),CUSTOMER_DETAILS,2,FALSE),"-")</f>
        <v>AEC PLAST PRIVATE LIMITED</v>
      </c>
      <c r="C360" s="161" t="s">
        <v>89</v>
      </c>
      <c r="D360" s="191">
        <v>45492.0</v>
      </c>
      <c r="E360" s="161" t="s">
        <v>89</v>
      </c>
      <c r="F360" s="164" t="s">
        <v>493</v>
      </c>
      <c r="G360" s="30" t="s">
        <v>89</v>
      </c>
      <c r="H360" s="30" t="s">
        <v>89</v>
      </c>
      <c r="I360" s="48" t="s">
        <v>108</v>
      </c>
      <c r="J360" s="188">
        <f t="shared" si="15"/>
        <v>45492</v>
      </c>
      <c r="K360" s="48">
        <v>377.0</v>
      </c>
      <c r="L360" s="48" t="s">
        <v>108</v>
      </c>
      <c r="M360" s="48" t="s">
        <v>91</v>
      </c>
      <c r="N360" s="48" t="s">
        <v>135</v>
      </c>
      <c r="O360" s="30" t="s">
        <v>89</v>
      </c>
      <c r="P360" s="48" t="s">
        <v>616</v>
      </c>
      <c r="Q360" s="48" t="s">
        <v>94</v>
      </c>
      <c r="R360" s="161">
        <f>IFERROR(VLOOKUP(Q360,'PRODUCT TABLE'!$A$2:$B$26,2,FALSE),"-")</f>
        <v>44011090</v>
      </c>
      <c r="S360" s="48">
        <v>7800.0</v>
      </c>
      <c r="T360" s="48">
        <v>5.5</v>
      </c>
      <c r="U360" s="48" t="s">
        <v>95</v>
      </c>
      <c r="V360" s="161">
        <f t="shared" si="14"/>
        <v>42900</v>
      </c>
      <c r="W360" s="189">
        <v>0.025</v>
      </c>
      <c r="X360" s="189">
        <v>0.025</v>
      </c>
      <c r="Y360" s="30"/>
      <c r="Z360" s="169">
        <f t="shared" si="2"/>
        <v>45045</v>
      </c>
      <c r="AA360" s="167">
        <f t="shared" si="3"/>
        <v>0</v>
      </c>
      <c r="AB360" s="161"/>
      <c r="AC360" s="161">
        <f t="shared" si="4"/>
        <v>42900</v>
      </c>
      <c r="AD360" s="161">
        <f t="shared" si="5"/>
        <v>1072.5</v>
      </c>
      <c r="AE360" s="161">
        <f t="shared" si="6"/>
        <v>1072.5</v>
      </c>
      <c r="AF360" s="167">
        <f t="shared" si="7"/>
        <v>0</v>
      </c>
      <c r="AG360" s="167">
        <f t="shared" si="8"/>
        <v>2145</v>
      </c>
      <c r="AH360" s="158"/>
      <c r="AI360" s="158"/>
    </row>
    <row r="361" ht="12.75" customHeight="1">
      <c r="A361" s="48" t="s">
        <v>687</v>
      </c>
      <c r="B361" s="160" t="str">
        <f>iferror(VLOOKUP((LEFT(A361,6)),CUSTOMER_DETAILS,2,FALSE),"-")</f>
        <v>SIDDHAYU LIFE SCIENCES PVT LTD</v>
      </c>
      <c r="C361" s="161" t="s">
        <v>89</v>
      </c>
      <c r="D361" s="191">
        <v>45496.0</v>
      </c>
      <c r="E361" s="161" t="s">
        <v>89</v>
      </c>
      <c r="F361" s="164" t="s">
        <v>688</v>
      </c>
      <c r="G361" s="30" t="s">
        <v>89</v>
      </c>
      <c r="H361" s="30" t="s">
        <v>89</v>
      </c>
      <c r="I361" s="48" t="s">
        <v>108</v>
      </c>
      <c r="J361" s="188">
        <f t="shared" si="15"/>
        <v>45496</v>
      </c>
      <c r="K361" s="48">
        <v>378.0</v>
      </c>
      <c r="L361" s="48" t="s">
        <v>108</v>
      </c>
      <c r="M361" s="48" t="s">
        <v>91</v>
      </c>
      <c r="N361" s="48" t="s">
        <v>689</v>
      </c>
      <c r="O361" s="30" t="s">
        <v>89</v>
      </c>
      <c r="P361" s="48" t="s">
        <v>690</v>
      </c>
      <c r="Q361" s="48" t="s">
        <v>94</v>
      </c>
      <c r="R361" s="161">
        <f>IFERROR(VLOOKUP(Q361,'PRODUCT TABLE'!$A$2:$B$26,2,FALSE),"-")</f>
        <v>44011090</v>
      </c>
      <c r="S361" s="48">
        <v>10645.0</v>
      </c>
      <c r="T361" s="48">
        <v>6.4</v>
      </c>
      <c r="U361" s="48" t="s">
        <v>95</v>
      </c>
      <c r="V361" s="161">
        <f t="shared" si="14"/>
        <v>68128</v>
      </c>
      <c r="Y361" s="186">
        <v>0.05</v>
      </c>
      <c r="Z361" s="169">
        <f t="shared" si="2"/>
        <v>72584</v>
      </c>
      <c r="AA361" s="167">
        <f t="shared" si="3"/>
        <v>-0.4</v>
      </c>
      <c r="AB361" s="195">
        <v>1050.0</v>
      </c>
      <c r="AC361" s="161">
        <f t="shared" si="4"/>
        <v>68128</v>
      </c>
      <c r="AD361" s="161">
        <f t="shared" si="5"/>
        <v>0</v>
      </c>
      <c r="AE361" s="161">
        <f t="shared" si="6"/>
        <v>0</v>
      </c>
      <c r="AF361" s="167">
        <f t="shared" si="7"/>
        <v>3406.4</v>
      </c>
      <c r="AG361" s="167">
        <f t="shared" si="8"/>
        <v>3406.4</v>
      </c>
      <c r="AH361" s="158"/>
      <c r="AI361" s="158"/>
    </row>
    <row r="362" ht="12.75" customHeight="1">
      <c r="A362" s="48" t="s">
        <v>691</v>
      </c>
      <c r="B362" s="160" t="str">
        <f>iferror(VLOOKUP((LEFT(A362,6)),CUSTOMER_DETAILS,2,FALSE),"-")</f>
        <v>VITUS OIL SOLUTIONS PVT LTD</v>
      </c>
      <c r="C362" s="161" t="s">
        <v>89</v>
      </c>
      <c r="D362" s="164" t="s">
        <v>692</v>
      </c>
      <c r="E362" s="161" t="s">
        <v>89</v>
      </c>
      <c r="F362" s="164" t="s">
        <v>592</v>
      </c>
      <c r="G362" s="30" t="s">
        <v>89</v>
      </c>
      <c r="H362" s="30" t="s">
        <v>89</v>
      </c>
      <c r="I362" s="48" t="s">
        <v>108</v>
      </c>
      <c r="J362" s="192" t="str">
        <f t="shared" si="15"/>
        <v>30-SEPT-2024</v>
      </c>
      <c r="K362" s="48">
        <v>379.0</v>
      </c>
      <c r="L362" s="48" t="s">
        <v>108</v>
      </c>
      <c r="M362" s="48" t="s">
        <v>91</v>
      </c>
      <c r="N362" s="48" t="s">
        <v>693</v>
      </c>
      <c r="O362" s="30" t="s">
        <v>89</v>
      </c>
      <c r="Q362" s="48" t="s">
        <v>694</v>
      </c>
      <c r="R362" s="175">
        <v>4415.0</v>
      </c>
      <c r="S362" s="48">
        <v>16.0</v>
      </c>
      <c r="T362" s="48">
        <v>1051.0</v>
      </c>
      <c r="U362" s="48" t="s">
        <v>695</v>
      </c>
      <c r="V362" s="161">
        <f t="shared" si="14"/>
        <v>16816</v>
      </c>
      <c r="W362" s="189">
        <v>0.06</v>
      </c>
      <c r="X362" s="189">
        <v>0.06</v>
      </c>
      <c r="Y362" s="30"/>
      <c r="Z362" s="169">
        <f t="shared" si="2"/>
        <v>27434</v>
      </c>
      <c r="AA362" s="167">
        <f t="shared" si="3"/>
        <v>0.08</v>
      </c>
      <c r="AB362" s="175">
        <v>8600.0</v>
      </c>
      <c r="AC362" s="161">
        <f t="shared" si="4"/>
        <v>16816</v>
      </c>
      <c r="AD362" s="161">
        <f t="shared" si="5"/>
        <v>1008.96</v>
      </c>
      <c r="AE362" s="161">
        <f t="shared" si="6"/>
        <v>1008.96</v>
      </c>
      <c r="AF362" s="167">
        <f t="shared" si="7"/>
        <v>0</v>
      </c>
      <c r="AG362" s="167">
        <f t="shared" si="8"/>
        <v>2017.92</v>
      </c>
      <c r="AH362" s="158"/>
      <c r="AI362" s="158"/>
    </row>
    <row r="363" ht="12.75" customHeight="1">
      <c r="A363" s="48" t="s">
        <v>696</v>
      </c>
      <c r="B363" s="160" t="str">
        <f>iferror(VLOOKUP((LEFT(A363,6)),CUSTOMER_DETAILS,2,FALSE),"-")</f>
        <v>KRISHNA ENTERPRISES</v>
      </c>
      <c r="C363" s="161" t="s">
        <v>89</v>
      </c>
      <c r="D363" s="191">
        <v>45572.0</v>
      </c>
      <c r="E363" s="161" t="s">
        <v>89</v>
      </c>
      <c r="F363" s="30" t="s">
        <v>89</v>
      </c>
      <c r="G363" s="30" t="s">
        <v>89</v>
      </c>
      <c r="H363" s="30" t="s">
        <v>89</v>
      </c>
      <c r="I363" s="48" t="s">
        <v>108</v>
      </c>
      <c r="J363" s="188">
        <f t="shared" si="15"/>
        <v>45572</v>
      </c>
      <c r="K363" s="48">
        <v>380.0</v>
      </c>
      <c r="L363" s="48" t="s">
        <v>108</v>
      </c>
      <c r="M363" s="48" t="s">
        <v>91</v>
      </c>
      <c r="N363" s="48" t="s">
        <v>125</v>
      </c>
      <c r="O363" s="30" t="s">
        <v>89</v>
      </c>
      <c r="P363" s="48" t="s">
        <v>697</v>
      </c>
      <c r="Q363" s="48" t="s">
        <v>117</v>
      </c>
      <c r="R363" s="161">
        <f>IFERROR(VLOOKUP(Q363,'PRODUCT TABLE'!$A$2:$B$26,2,FALSE),"-")</f>
        <v>44011090</v>
      </c>
      <c r="S363" s="48">
        <v>10170.0</v>
      </c>
      <c r="T363" s="48">
        <v>10.25</v>
      </c>
      <c r="U363" s="48" t="s">
        <v>95</v>
      </c>
      <c r="V363" s="161">
        <f t="shared" si="14"/>
        <v>104242.5</v>
      </c>
      <c r="W363" s="189">
        <v>0.025</v>
      </c>
      <c r="X363" s="189">
        <v>0.025</v>
      </c>
      <c r="Y363" s="30"/>
      <c r="Z363" s="169">
        <f t="shared" si="2"/>
        <v>109455</v>
      </c>
      <c r="AA363" s="167">
        <f t="shared" si="3"/>
        <v>0.375</v>
      </c>
      <c r="AB363" s="161"/>
      <c r="AC363" s="161">
        <f t="shared" si="4"/>
        <v>104242.5</v>
      </c>
      <c r="AD363" s="161">
        <f t="shared" si="5"/>
        <v>2606.0625</v>
      </c>
      <c r="AE363" s="161">
        <f t="shared" si="6"/>
        <v>2606.0625</v>
      </c>
      <c r="AF363" s="167">
        <f t="shared" si="7"/>
        <v>0</v>
      </c>
      <c r="AG363" s="167">
        <f t="shared" si="8"/>
        <v>5212.125</v>
      </c>
      <c r="AH363" s="158"/>
      <c r="AI363" s="158"/>
    </row>
    <row r="364" ht="12.75" customHeight="1">
      <c r="A364" s="48" t="s">
        <v>698</v>
      </c>
      <c r="B364" s="160" t="str">
        <f>iferror(VLOOKUP((LEFT(A364,6)),CUSTOMER_DETAILS,2,FALSE),"-")</f>
        <v>SIDDHAYU LIFE SCIENCES PVT LTD</v>
      </c>
      <c r="C364" s="161" t="s">
        <v>89</v>
      </c>
      <c r="D364" s="191">
        <v>45591.0</v>
      </c>
      <c r="E364" s="161" t="s">
        <v>89</v>
      </c>
      <c r="F364" s="164" t="s">
        <v>592</v>
      </c>
      <c r="G364" s="30" t="s">
        <v>89</v>
      </c>
      <c r="H364" s="30" t="s">
        <v>89</v>
      </c>
      <c r="I364" s="48" t="s">
        <v>108</v>
      </c>
      <c r="J364" s="188">
        <f t="shared" si="15"/>
        <v>45591</v>
      </c>
      <c r="K364" s="48">
        <v>381.0</v>
      </c>
      <c r="L364" s="48" t="s">
        <v>108</v>
      </c>
      <c r="M364" s="48" t="s">
        <v>91</v>
      </c>
      <c r="N364" s="48" t="s">
        <v>663</v>
      </c>
      <c r="O364" s="30" t="s">
        <v>89</v>
      </c>
      <c r="P364" s="48" t="s">
        <v>699</v>
      </c>
      <c r="Q364" s="48" t="s">
        <v>94</v>
      </c>
      <c r="R364" s="161">
        <f>IFERROR(VLOOKUP(Q364,'PRODUCT TABLE'!$A$2:$B$26,2,FALSE),"-")</f>
        <v>44011090</v>
      </c>
      <c r="S364" s="48">
        <v>9140.0</v>
      </c>
      <c r="T364" s="48">
        <v>6.0</v>
      </c>
      <c r="U364" s="48" t="s">
        <v>95</v>
      </c>
      <c r="V364" s="161">
        <f t="shared" si="14"/>
        <v>54840</v>
      </c>
      <c r="W364" s="189"/>
      <c r="X364" s="189"/>
      <c r="Y364" s="186">
        <v>0.05</v>
      </c>
      <c r="Z364" s="169">
        <f t="shared" si="2"/>
        <v>57582</v>
      </c>
      <c r="AA364" s="167">
        <f t="shared" si="3"/>
        <v>0</v>
      </c>
      <c r="AB364" s="161"/>
      <c r="AC364" s="161">
        <f t="shared" si="4"/>
        <v>54840</v>
      </c>
      <c r="AD364" s="161">
        <f t="shared" si="5"/>
        <v>0</v>
      </c>
      <c r="AE364" s="161">
        <f t="shared" si="6"/>
        <v>0</v>
      </c>
      <c r="AF364" s="167">
        <f t="shared" si="7"/>
        <v>2742</v>
      </c>
      <c r="AG364" s="167">
        <f t="shared" si="8"/>
        <v>2742</v>
      </c>
      <c r="AH364" s="158"/>
      <c r="AI364" s="158"/>
    </row>
    <row r="365" ht="12.75" customHeight="1">
      <c r="A365" s="48" t="s">
        <v>700</v>
      </c>
      <c r="B365" s="160" t="str">
        <f>iferror(VLOOKUP((LEFT(A365,6)),CUSTOMER_DETAILS,2,FALSE),"-")</f>
        <v>SIDDHAYU LIFE SCIENCES PVT LTD</v>
      </c>
      <c r="C365" s="161" t="s">
        <v>89</v>
      </c>
      <c r="D365" s="191">
        <v>45592.0</v>
      </c>
      <c r="E365" s="161" t="s">
        <v>89</v>
      </c>
      <c r="F365" s="164" t="s">
        <v>592</v>
      </c>
      <c r="G365" s="30" t="s">
        <v>89</v>
      </c>
      <c r="H365" s="30" t="s">
        <v>89</v>
      </c>
      <c r="I365" s="48" t="s">
        <v>108</v>
      </c>
      <c r="J365" s="188">
        <f t="shared" si="15"/>
        <v>45592</v>
      </c>
      <c r="K365" s="48">
        <v>382.0</v>
      </c>
      <c r="L365" s="48" t="s">
        <v>108</v>
      </c>
      <c r="M365" s="48" t="s">
        <v>91</v>
      </c>
      <c r="N365" s="48" t="s">
        <v>663</v>
      </c>
      <c r="O365" s="30" t="s">
        <v>89</v>
      </c>
      <c r="P365" s="48" t="s">
        <v>701</v>
      </c>
      <c r="Q365" s="48" t="s">
        <v>94</v>
      </c>
      <c r="R365" s="161">
        <f>IFERROR(VLOOKUP(Q365,'PRODUCT TABLE'!$A$2:$B$26,2,FALSE),"-")</f>
        <v>44011090</v>
      </c>
      <c r="S365" s="48">
        <v>8270.0</v>
      </c>
      <c r="T365" s="48">
        <v>6.0</v>
      </c>
      <c r="U365" s="48" t="s">
        <v>95</v>
      </c>
      <c r="V365" s="161">
        <f t="shared" si="14"/>
        <v>49620</v>
      </c>
      <c r="Y365" s="186">
        <v>0.05</v>
      </c>
      <c r="Z365" s="169">
        <f t="shared" si="2"/>
        <v>52101</v>
      </c>
      <c r="AA365" s="167">
        <f t="shared" si="3"/>
        <v>0</v>
      </c>
      <c r="AB365" s="161"/>
      <c r="AC365" s="161">
        <f t="shared" si="4"/>
        <v>49620</v>
      </c>
      <c r="AD365" s="161">
        <f t="shared" si="5"/>
        <v>0</v>
      </c>
      <c r="AE365" s="161">
        <f t="shared" si="6"/>
        <v>0</v>
      </c>
      <c r="AF365" s="167">
        <f t="shared" si="7"/>
        <v>2481</v>
      </c>
      <c r="AG365" s="167">
        <f t="shared" si="8"/>
        <v>2481</v>
      </c>
      <c r="AH365" s="158"/>
      <c r="AI365" s="158"/>
    </row>
    <row r="366" ht="12.75" customHeight="1">
      <c r="A366" s="48" t="s">
        <v>702</v>
      </c>
      <c r="B366" s="160" t="str">
        <f>iferror(VLOOKUP((LEFT(A366,6)),CUSTOMER_DETAILS,2,FALSE),"-")</f>
        <v>SIDDHAYU LIFE SCIENCES PVT LTD</v>
      </c>
      <c r="C366" s="161" t="s">
        <v>89</v>
      </c>
      <c r="D366" s="205">
        <v>45601.0</v>
      </c>
      <c r="E366" s="161" t="s">
        <v>89</v>
      </c>
      <c r="F366" s="164" t="s">
        <v>592</v>
      </c>
      <c r="G366" s="30" t="s">
        <v>89</v>
      </c>
      <c r="H366" s="30" t="s">
        <v>89</v>
      </c>
      <c r="I366" s="48" t="s">
        <v>108</v>
      </c>
      <c r="J366" s="206">
        <f t="shared" si="15"/>
        <v>45601</v>
      </c>
      <c r="K366" s="48">
        <v>383.0</v>
      </c>
      <c r="L366" s="48" t="s">
        <v>108</v>
      </c>
      <c r="M366" s="48" t="s">
        <v>91</v>
      </c>
      <c r="N366" s="48" t="s">
        <v>663</v>
      </c>
      <c r="O366" s="30" t="s">
        <v>89</v>
      </c>
      <c r="P366" s="48" t="s">
        <v>703</v>
      </c>
      <c r="Q366" s="48" t="s">
        <v>94</v>
      </c>
      <c r="R366" s="161">
        <f>IFERROR(VLOOKUP(Q366,'PRODUCT TABLE'!$A$2:$B$26,2,FALSE),"-")</f>
        <v>44011090</v>
      </c>
      <c r="S366" s="48">
        <v>22910.0</v>
      </c>
      <c r="T366" s="48">
        <v>6.0</v>
      </c>
      <c r="U366" s="48" t="s">
        <v>95</v>
      </c>
      <c r="V366" s="161">
        <f t="shared" si="14"/>
        <v>137460</v>
      </c>
      <c r="Y366" s="186">
        <v>0.05</v>
      </c>
      <c r="Z366" s="169">
        <f t="shared" si="2"/>
        <v>144333</v>
      </c>
      <c r="AA366" s="167">
        <f t="shared" si="3"/>
        <v>0</v>
      </c>
      <c r="AB366" s="161"/>
      <c r="AC366" s="161">
        <f t="shared" si="4"/>
        <v>137460</v>
      </c>
      <c r="AD366" s="161">
        <f t="shared" si="5"/>
        <v>0</v>
      </c>
      <c r="AE366" s="161">
        <f t="shared" si="6"/>
        <v>0</v>
      </c>
      <c r="AF366" s="167">
        <f t="shared" si="7"/>
        <v>6873</v>
      </c>
      <c r="AG366" s="167">
        <f t="shared" si="8"/>
        <v>6873</v>
      </c>
      <c r="AH366" s="158"/>
      <c r="AI366" s="158"/>
    </row>
    <row r="367" ht="12.75" customHeight="1">
      <c r="A367" s="48" t="s">
        <v>704</v>
      </c>
      <c r="B367" s="160" t="str">
        <f>iferror(VLOOKUP((LEFT(A367,6)),CUSTOMER_DETAILS,2,FALSE),"-")</f>
        <v>SIDDHAYU LIFE SCIENCES PVT LTD</v>
      </c>
      <c r="C367" s="161" t="s">
        <v>89</v>
      </c>
      <c r="D367" s="191">
        <v>45592.0</v>
      </c>
      <c r="E367" s="161" t="s">
        <v>89</v>
      </c>
      <c r="F367" s="164" t="s">
        <v>592</v>
      </c>
      <c r="G367" s="30" t="s">
        <v>89</v>
      </c>
      <c r="H367" s="30" t="s">
        <v>89</v>
      </c>
      <c r="I367" s="48" t="s">
        <v>108</v>
      </c>
      <c r="J367" s="188">
        <f t="shared" si="15"/>
        <v>45592</v>
      </c>
      <c r="K367" s="48">
        <v>382.0</v>
      </c>
      <c r="L367" s="48" t="s">
        <v>108</v>
      </c>
      <c r="M367" s="48" t="s">
        <v>91</v>
      </c>
      <c r="N367" s="48" t="s">
        <v>663</v>
      </c>
      <c r="O367" s="30" t="s">
        <v>89</v>
      </c>
      <c r="P367" s="48" t="s">
        <v>701</v>
      </c>
      <c r="Q367" s="48" t="s">
        <v>94</v>
      </c>
      <c r="R367" s="161">
        <f>IFERROR(VLOOKUP(Q367,'PRODUCT TABLE'!$A$2:$B$26,2,FALSE),"-")</f>
        <v>44011090</v>
      </c>
      <c r="S367" s="48">
        <v>30.0</v>
      </c>
      <c r="T367" s="48">
        <v>6.0</v>
      </c>
      <c r="U367" s="48" t="s">
        <v>95</v>
      </c>
      <c r="V367" s="161">
        <f t="shared" si="14"/>
        <v>180</v>
      </c>
      <c r="Y367" s="186">
        <v>0.05</v>
      </c>
      <c r="Z367" s="169">
        <f t="shared" si="2"/>
        <v>189</v>
      </c>
      <c r="AA367" s="167">
        <f t="shared" si="3"/>
        <v>0</v>
      </c>
      <c r="AB367" s="161"/>
      <c r="AC367" s="161">
        <f t="shared" si="4"/>
        <v>180</v>
      </c>
      <c r="AD367" s="161">
        <f t="shared" si="5"/>
        <v>0</v>
      </c>
      <c r="AE367" s="161">
        <f t="shared" si="6"/>
        <v>0</v>
      </c>
      <c r="AF367" s="167">
        <f t="shared" si="7"/>
        <v>9</v>
      </c>
      <c r="AG367" s="167">
        <f t="shared" si="8"/>
        <v>9</v>
      </c>
      <c r="AH367" s="158"/>
      <c r="AI367" s="158"/>
    </row>
    <row r="368" ht="12.75" customHeight="1">
      <c r="A368" s="48" t="s">
        <v>705</v>
      </c>
      <c r="B368" s="160" t="str">
        <f>iferror(VLOOKUP((LEFT(A368,6)),CUSTOMER_DETAILS,2,FALSE),"-")</f>
        <v>NJ RENEWABLE ENERGY PVT LIMITED </v>
      </c>
      <c r="C368" s="161" t="s">
        <v>89</v>
      </c>
      <c r="D368" s="191">
        <v>45626.0</v>
      </c>
      <c r="E368" s="161" t="s">
        <v>89</v>
      </c>
      <c r="F368" s="30" t="s">
        <v>89</v>
      </c>
      <c r="G368" s="30" t="s">
        <v>89</v>
      </c>
      <c r="H368" s="30" t="s">
        <v>89</v>
      </c>
      <c r="I368" s="48" t="s">
        <v>108</v>
      </c>
      <c r="J368" s="188">
        <f t="shared" si="15"/>
        <v>45626</v>
      </c>
      <c r="K368" s="48">
        <v>384.0</v>
      </c>
      <c r="L368" s="48" t="s">
        <v>108</v>
      </c>
      <c r="M368" s="48" t="s">
        <v>91</v>
      </c>
      <c r="N368" s="48" t="s">
        <v>135</v>
      </c>
      <c r="O368" s="30" t="s">
        <v>89</v>
      </c>
      <c r="P368" s="48" t="s">
        <v>706</v>
      </c>
      <c r="Q368" s="48" t="s">
        <v>405</v>
      </c>
      <c r="R368" s="161">
        <f>IFERROR(VLOOKUP(Q368,'PRODUCT TABLE'!$A$2:$B$26,2,FALSE),"-")</f>
        <v>44011010</v>
      </c>
      <c r="S368" s="48">
        <v>11580.0</v>
      </c>
      <c r="T368" s="48">
        <v>9.4</v>
      </c>
      <c r="U368" s="48" t="s">
        <v>95</v>
      </c>
      <c r="V368" s="161">
        <f t="shared" si="14"/>
        <v>108852</v>
      </c>
      <c r="W368" s="189">
        <v>0.025</v>
      </c>
      <c r="X368" s="189">
        <v>0.025</v>
      </c>
      <c r="Y368" s="30"/>
      <c r="Z368" s="169">
        <f t="shared" si="2"/>
        <v>114295</v>
      </c>
      <c r="AA368" s="167">
        <f t="shared" si="3"/>
        <v>0.4</v>
      </c>
      <c r="AB368" s="161"/>
      <c r="AC368" s="161">
        <f t="shared" si="4"/>
        <v>108852</v>
      </c>
      <c r="AD368" s="161">
        <f t="shared" si="5"/>
        <v>2721.3</v>
      </c>
      <c r="AE368" s="161">
        <f t="shared" si="6"/>
        <v>2721.3</v>
      </c>
      <c r="AF368" s="167">
        <f t="shared" si="7"/>
        <v>0</v>
      </c>
      <c r="AG368" s="167">
        <f t="shared" si="8"/>
        <v>5442.6</v>
      </c>
      <c r="AH368" s="158"/>
      <c r="AI368" s="158"/>
    </row>
    <row r="369" ht="12.75" customHeight="1">
      <c r="A369" s="48" t="s">
        <v>707</v>
      </c>
      <c r="B369" s="160" t="str">
        <f>iferror(VLOOKUP((LEFT(A369,6)),CUSTOMER_DETAILS,2,FALSE),"-")</f>
        <v>TTD METAL UDYOG</v>
      </c>
      <c r="C369" s="161" t="s">
        <v>89</v>
      </c>
      <c r="D369" s="191">
        <v>45626.0</v>
      </c>
      <c r="E369" s="161" t="s">
        <v>89</v>
      </c>
      <c r="F369" s="30" t="s">
        <v>89</v>
      </c>
      <c r="G369" s="30" t="s">
        <v>89</v>
      </c>
      <c r="H369" s="30" t="s">
        <v>89</v>
      </c>
      <c r="I369" s="48" t="s">
        <v>108</v>
      </c>
      <c r="J369" s="188">
        <f t="shared" si="15"/>
        <v>45626</v>
      </c>
      <c r="K369" s="48">
        <v>385.0</v>
      </c>
      <c r="L369" s="48" t="s">
        <v>108</v>
      </c>
      <c r="M369" s="48" t="s">
        <v>91</v>
      </c>
      <c r="N369" s="48" t="s">
        <v>128</v>
      </c>
      <c r="O369" s="30" t="s">
        <v>89</v>
      </c>
      <c r="P369" s="48" t="s">
        <v>245</v>
      </c>
      <c r="Q369" s="48" t="s">
        <v>117</v>
      </c>
      <c r="R369" s="161">
        <f>IFERROR(VLOOKUP(Q369,'PRODUCT TABLE'!$A$2:$B$26,2,FALSE),"-")</f>
        <v>44011090</v>
      </c>
      <c r="S369" s="48">
        <v>2000.0</v>
      </c>
      <c r="T369" s="48">
        <v>10.4</v>
      </c>
      <c r="U369" s="48" t="s">
        <v>95</v>
      </c>
      <c r="V369" s="161">
        <f t="shared" si="14"/>
        <v>20800</v>
      </c>
      <c r="W369" s="189">
        <v>0.025</v>
      </c>
      <c r="X369" s="189">
        <v>0.025</v>
      </c>
      <c r="Y369" s="30"/>
      <c r="Z369" s="169">
        <f t="shared" si="2"/>
        <v>21840</v>
      </c>
      <c r="AA369" s="167">
        <f t="shared" si="3"/>
        <v>0</v>
      </c>
      <c r="AB369" s="161"/>
      <c r="AC369" s="161">
        <f t="shared" si="4"/>
        <v>20800</v>
      </c>
      <c r="AD369" s="161">
        <f t="shared" si="5"/>
        <v>520</v>
      </c>
      <c r="AE369" s="161">
        <f t="shared" si="6"/>
        <v>520</v>
      </c>
      <c r="AF369" s="167">
        <f t="shared" si="7"/>
        <v>0</v>
      </c>
      <c r="AG369" s="167">
        <f t="shared" si="8"/>
        <v>1040</v>
      </c>
      <c r="AH369" s="158"/>
      <c r="AI369" s="158"/>
    </row>
    <row r="370" ht="12.75" customHeight="1">
      <c r="A370" s="48" t="s">
        <v>708</v>
      </c>
      <c r="B370" s="160" t="str">
        <f>iferror(VLOOKUP((LEFT(A370,6)),CUSTOMER_DETAILS,2,FALSE),"-")</f>
        <v>NJ RENEWABLE ENERGY PVT LIMITED </v>
      </c>
      <c r="C370" s="161" t="s">
        <v>89</v>
      </c>
      <c r="D370" s="191">
        <v>45628.0</v>
      </c>
      <c r="E370" s="161" t="s">
        <v>89</v>
      </c>
      <c r="F370" s="30" t="s">
        <v>89</v>
      </c>
      <c r="G370" s="30" t="s">
        <v>89</v>
      </c>
      <c r="H370" s="30" t="s">
        <v>89</v>
      </c>
      <c r="I370" s="48" t="s">
        <v>108</v>
      </c>
      <c r="J370" s="188">
        <f t="shared" si="15"/>
        <v>45628</v>
      </c>
      <c r="K370" s="48">
        <v>386.0</v>
      </c>
      <c r="L370" s="48" t="s">
        <v>108</v>
      </c>
      <c r="M370" s="48" t="s">
        <v>91</v>
      </c>
      <c r="N370" s="48" t="s">
        <v>135</v>
      </c>
      <c r="O370" s="30" t="s">
        <v>89</v>
      </c>
      <c r="P370" s="48" t="s">
        <v>709</v>
      </c>
      <c r="Q370" s="48" t="s">
        <v>405</v>
      </c>
      <c r="R370" s="161">
        <f>IFERROR(VLOOKUP(Q370,'PRODUCT TABLE'!$A$2:$B$26,2,FALSE),"-")</f>
        <v>44011010</v>
      </c>
      <c r="S370" s="48">
        <v>14680.0</v>
      </c>
      <c r="T370" s="48">
        <v>9.4</v>
      </c>
      <c r="U370" s="48" t="s">
        <v>95</v>
      </c>
      <c r="V370" s="161">
        <f t="shared" si="14"/>
        <v>137992</v>
      </c>
      <c r="W370" s="189">
        <v>0.025</v>
      </c>
      <c r="X370" s="189">
        <v>0.025</v>
      </c>
      <c r="Y370" s="30"/>
      <c r="Z370" s="169">
        <f t="shared" si="2"/>
        <v>144892</v>
      </c>
      <c r="AA370" s="167">
        <f t="shared" si="3"/>
        <v>0.4</v>
      </c>
      <c r="AB370" s="161"/>
      <c r="AC370" s="161">
        <f t="shared" si="4"/>
        <v>137992</v>
      </c>
      <c r="AD370" s="161">
        <f t="shared" si="5"/>
        <v>3449.8</v>
      </c>
      <c r="AE370" s="161">
        <f t="shared" si="6"/>
        <v>3449.8</v>
      </c>
      <c r="AF370" s="167">
        <f t="shared" si="7"/>
        <v>0</v>
      </c>
      <c r="AG370" s="167">
        <f t="shared" si="8"/>
        <v>6899.6</v>
      </c>
      <c r="AH370" s="158"/>
      <c r="AI370" s="158"/>
    </row>
    <row r="371" ht="12.75" customHeight="1">
      <c r="A371" s="48" t="s">
        <v>710</v>
      </c>
      <c r="B371" s="160" t="str">
        <f>iferror(VLOOKUP((LEFT(A371,6)),CUSTOMER_DETAILS,2,FALSE),"-")</f>
        <v>KRISHNA ENTERPRISES</v>
      </c>
      <c r="C371" s="161" t="s">
        <v>89</v>
      </c>
      <c r="D371" s="191">
        <v>45634.0</v>
      </c>
      <c r="E371" s="161" t="s">
        <v>89</v>
      </c>
      <c r="F371" s="164" t="s">
        <v>592</v>
      </c>
      <c r="G371" s="30" t="s">
        <v>89</v>
      </c>
      <c r="H371" s="30" t="s">
        <v>89</v>
      </c>
      <c r="I371" s="48" t="s">
        <v>108</v>
      </c>
      <c r="J371" s="188">
        <f t="shared" si="15"/>
        <v>45634</v>
      </c>
      <c r="K371" s="48">
        <v>387.0</v>
      </c>
      <c r="L371" s="48" t="s">
        <v>108</v>
      </c>
      <c r="M371" s="48" t="s">
        <v>91</v>
      </c>
      <c r="N371" s="48" t="s">
        <v>299</v>
      </c>
      <c r="O371" s="30" t="s">
        <v>89</v>
      </c>
      <c r="P371" s="48" t="s">
        <v>711</v>
      </c>
      <c r="Q371" s="48" t="s">
        <v>117</v>
      </c>
      <c r="R371" s="161">
        <f>IFERROR(VLOOKUP(Q371,'PRODUCT TABLE'!$A$2:$B$26,2,FALSE),"-")</f>
        <v>44011090</v>
      </c>
      <c r="S371" s="48">
        <v>25620.0</v>
      </c>
      <c r="T371" s="48">
        <v>10.5</v>
      </c>
      <c r="U371" s="48" t="s">
        <v>95</v>
      </c>
      <c r="V371" s="161">
        <f t="shared" si="14"/>
        <v>269010</v>
      </c>
      <c r="W371" s="189">
        <v>0.025</v>
      </c>
      <c r="X371" s="189">
        <v>0.025</v>
      </c>
      <c r="Y371" s="30"/>
      <c r="Z371" s="169">
        <f t="shared" si="2"/>
        <v>282460</v>
      </c>
      <c r="AA371" s="167">
        <f t="shared" si="3"/>
        <v>-0.5</v>
      </c>
      <c r="AB371" s="161"/>
      <c r="AC371" s="161">
        <f t="shared" si="4"/>
        <v>269010</v>
      </c>
      <c r="AD371" s="161">
        <f t="shared" si="5"/>
        <v>6725.25</v>
      </c>
      <c r="AE371" s="161">
        <f t="shared" si="6"/>
        <v>6725.25</v>
      </c>
      <c r="AF371" s="167">
        <f t="shared" si="7"/>
        <v>0</v>
      </c>
      <c r="AG371" s="167">
        <f t="shared" si="8"/>
        <v>13450.5</v>
      </c>
      <c r="AH371" s="158"/>
      <c r="AI371" s="158"/>
    </row>
    <row r="372" ht="12.75" customHeight="1">
      <c r="A372" s="48" t="s">
        <v>712</v>
      </c>
      <c r="B372" s="160" t="str">
        <f>iferror(VLOOKUP((LEFT(A372,6)),CUSTOMER_DETAILS,2,FALSE),"-")</f>
        <v>M/S BISEN BIO ENERGIES</v>
      </c>
      <c r="C372" s="161" t="s">
        <v>89</v>
      </c>
      <c r="D372" s="191">
        <v>45638.0</v>
      </c>
      <c r="E372" s="161" t="s">
        <v>89</v>
      </c>
      <c r="F372" s="30" t="s">
        <v>89</v>
      </c>
      <c r="G372" s="30" t="s">
        <v>89</v>
      </c>
      <c r="H372" s="30" t="s">
        <v>89</v>
      </c>
      <c r="I372" s="48" t="s">
        <v>108</v>
      </c>
      <c r="J372" s="188">
        <f t="shared" si="15"/>
        <v>45638</v>
      </c>
      <c r="K372" s="48">
        <v>388.0</v>
      </c>
      <c r="L372" s="48" t="s">
        <v>108</v>
      </c>
      <c r="M372" s="48" t="s">
        <v>91</v>
      </c>
      <c r="N372" s="48" t="s">
        <v>713</v>
      </c>
      <c r="O372" s="30" t="s">
        <v>89</v>
      </c>
      <c r="P372" s="48" t="s">
        <v>714</v>
      </c>
      <c r="Q372" s="48" t="s">
        <v>405</v>
      </c>
      <c r="R372" s="161">
        <f>IFERROR(VLOOKUP(Q372,'PRODUCT TABLE'!$A$2:$B$26,2,FALSE),"-")</f>
        <v>44011010</v>
      </c>
      <c r="S372" s="48">
        <v>10060.0</v>
      </c>
      <c r="T372" s="48">
        <v>11.0</v>
      </c>
      <c r="U372" s="48" t="s">
        <v>95</v>
      </c>
      <c r="V372" s="161">
        <f t="shared" si="14"/>
        <v>110660</v>
      </c>
      <c r="Y372" s="186">
        <v>0.05</v>
      </c>
      <c r="Z372" s="169">
        <f t="shared" si="2"/>
        <v>116193</v>
      </c>
      <c r="AA372" s="167">
        <f t="shared" si="3"/>
        <v>0</v>
      </c>
      <c r="AB372" s="161"/>
      <c r="AC372" s="161">
        <f t="shared" si="4"/>
        <v>110660</v>
      </c>
      <c r="AD372" s="161">
        <f t="shared" si="5"/>
        <v>0</v>
      </c>
      <c r="AE372" s="161">
        <f t="shared" si="6"/>
        <v>0</v>
      </c>
      <c r="AF372" s="167">
        <f t="shared" si="7"/>
        <v>5533</v>
      </c>
      <c r="AG372" s="167">
        <f t="shared" si="8"/>
        <v>5533</v>
      </c>
      <c r="AH372" s="158"/>
      <c r="AI372" s="158"/>
    </row>
    <row r="373" ht="12.75" customHeight="1">
      <c r="A373" s="48" t="s">
        <v>715</v>
      </c>
      <c r="B373" s="160" t="str">
        <f>iferror(VLOOKUP((LEFT(A373,6)),CUSTOMER_DETAILS,2,FALSE),"-")</f>
        <v>NJ RENEWABLE ENERGY PVT LIMITED </v>
      </c>
      <c r="C373" s="161" t="s">
        <v>89</v>
      </c>
      <c r="D373" s="191">
        <v>45648.0</v>
      </c>
      <c r="E373" s="161" t="s">
        <v>89</v>
      </c>
      <c r="F373" s="30" t="s">
        <v>89</v>
      </c>
      <c r="G373" s="30" t="s">
        <v>89</v>
      </c>
      <c r="H373" s="30" t="s">
        <v>89</v>
      </c>
      <c r="I373" s="48" t="s">
        <v>108</v>
      </c>
      <c r="J373" s="188">
        <f t="shared" si="15"/>
        <v>45648</v>
      </c>
      <c r="K373" s="48">
        <v>389.0</v>
      </c>
      <c r="L373" s="48" t="s">
        <v>108</v>
      </c>
      <c r="M373" s="48" t="s">
        <v>91</v>
      </c>
      <c r="N373" s="48" t="s">
        <v>716</v>
      </c>
      <c r="O373" s="30" t="s">
        <v>89</v>
      </c>
      <c r="P373" s="48" t="s">
        <v>706</v>
      </c>
      <c r="Q373" s="48" t="s">
        <v>405</v>
      </c>
      <c r="R373" s="161">
        <f>IFERROR(VLOOKUP(Q373,'PRODUCT TABLE'!$A$2:$B$26,2,FALSE),"-")</f>
        <v>44011010</v>
      </c>
      <c r="S373" s="48">
        <v>15160.0</v>
      </c>
      <c r="T373" s="48">
        <v>9.4</v>
      </c>
      <c r="U373" s="48" t="s">
        <v>95</v>
      </c>
      <c r="V373" s="161">
        <f t="shared" si="14"/>
        <v>142504</v>
      </c>
      <c r="W373" s="189">
        <v>0.025</v>
      </c>
      <c r="X373" s="189">
        <v>0.025</v>
      </c>
      <c r="Y373" s="186"/>
      <c r="Z373" s="169">
        <f t="shared" si="2"/>
        <v>149629</v>
      </c>
      <c r="AA373" s="167">
        <f t="shared" si="3"/>
        <v>-0.2</v>
      </c>
      <c r="AB373" s="161"/>
      <c r="AC373" s="161">
        <f t="shared" si="4"/>
        <v>142504</v>
      </c>
      <c r="AD373" s="161">
        <f t="shared" si="5"/>
        <v>3562.6</v>
      </c>
      <c r="AE373" s="161">
        <f t="shared" si="6"/>
        <v>3562.6</v>
      </c>
      <c r="AF373" s="167">
        <f t="shared" si="7"/>
        <v>0</v>
      </c>
      <c r="AG373" s="167">
        <f t="shared" si="8"/>
        <v>7125.2</v>
      </c>
      <c r="AH373" s="158"/>
      <c r="AI373" s="158"/>
    </row>
    <row r="374" ht="12.75" customHeight="1">
      <c r="A374" s="48" t="s">
        <v>717</v>
      </c>
      <c r="B374" s="160" t="str">
        <f>iferror(VLOOKUP((LEFT(A374,6)),CUSTOMER_DETAILS,2,FALSE),"-")</f>
        <v>NJ RENEWABLE ENERGY PVT LIMITED </v>
      </c>
      <c r="C374" s="161" t="s">
        <v>89</v>
      </c>
      <c r="D374" s="200">
        <v>45651.0</v>
      </c>
      <c r="E374" s="161" t="s">
        <v>89</v>
      </c>
      <c r="F374" s="30" t="s">
        <v>89</v>
      </c>
      <c r="G374" s="30" t="s">
        <v>89</v>
      </c>
      <c r="H374" s="30" t="s">
        <v>89</v>
      </c>
      <c r="I374" s="48" t="s">
        <v>108</v>
      </c>
      <c r="J374" s="201">
        <f t="shared" si="15"/>
        <v>45651</v>
      </c>
      <c r="K374" s="48">
        <v>390.0</v>
      </c>
      <c r="L374" s="48" t="s">
        <v>108</v>
      </c>
      <c r="M374" s="48" t="s">
        <v>91</v>
      </c>
      <c r="N374" s="48" t="s">
        <v>716</v>
      </c>
      <c r="O374" s="30" t="s">
        <v>89</v>
      </c>
      <c r="P374" s="48" t="s">
        <v>706</v>
      </c>
      <c r="Q374" s="48" t="s">
        <v>405</v>
      </c>
      <c r="R374" s="161">
        <f>IFERROR(VLOOKUP(Q374,'PRODUCT TABLE'!$A$2:$B$26,2,FALSE),"-")</f>
        <v>44011010</v>
      </c>
      <c r="S374" s="48">
        <v>12900.0</v>
      </c>
      <c r="T374" s="48">
        <v>9.4</v>
      </c>
      <c r="U374" s="48" t="s">
        <v>95</v>
      </c>
      <c r="V374" s="161">
        <f t="shared" si="14"/>
        <v>121260</v>
      </c>
      <c r="W374" s="189">
        <v>0.025</v>
      </c>
      <c r="X374" s="189">
        <v>0.025</v>
      </c>
      <c r="Y374" s="30"/>
      <c r="Z374" s="169">
        <f t="shared" si="2"/>
        <v>127323</v>
      </c>
      <c r="AA374" s="167">
        <f t="shared" si="3"/>
        <v>0</v>
      </c>
      <c r="AB374" s="161"/>
      <c r="AC374" s="161">
        <f t="shared" si="4"/>
        <v>121260</v>
      </c>
      <c r="AD374" s="161">
        <f t="shared" si="5"/>
        <v>3031.5</v>
      </c>
      <c r="AE374" s="161">
        <f t="shared" si="6"/>
        <v>3031.5</v>
      </c>
      <c r="AF374" s="167">
        <f t="shared" si="7"/>
        <v>0</v>
      </c>
      <c r="AG374" s="167">
        <f t="shared" si="8"/>
        <v>6063</v>
      </c>
      <c r="AH374" s="158"/>
      <c r="AI374" s="158"/>
    </row>
    <row r="375" ht="12.75" customHeight="1">
      <c r="A375" s="48" t="s">
        <v>718</v>
      </c>
      <c r="B375" s="160" t="str">
        <f>iferror(VLOOKUP((LEFT(A375,6)),CUSTOMER_DETAILS,2,FALSE),"-")</f>
        <v>KRISHNA ENTERPRISES</v>
      </c>
      <c r="C375" s="161" t="s">
        <v>89</v>
      </c>
      <c r="D375" s="191">
        <v>45659.0</v>
      </c>
      <c r="E375" s="161" t="s">
        <v>89</v>
      </c>
      <c r="F375" s="30" t="s">
        <v>89</v>
      </c>
      <c r="G375" s="30" t="s">
        <v>89</v>
      </c>
      <c r="H375" s="30" t="s">
        <v>89</v>
      </c>
      <c r="I375" s="48" t="s">
        <v>108</v>
      </c>
      <c r="J375" s="188">
        <f t="shared" si="15"/>
        <v>45659</v>
      </c>
      <c r="K375" s="48">
        <v>392.0</v>
      </c>
      <c r="L375" s="48" t="s">
        <v>108</v>
      </c>
      <c r="M375" s="48" t="s">
        <v>91</v>
      </c>
      <c r="N375" s="48" t="s">
        <v>299</v>
      </c>
      <c r="O375" s="30" t="s">
        <v>89</v>
      </c>
      <c r="P375" s="48" t="s">
        <v>719</v>
      </c>
      <c r="Q375" s="48" t="s">
        <v>117</v>
      </c>
      <c r="R375" s="161">
        <f>IFERROR(VLOOKUP(Q375,'PRODUCT TABLE'!$A$2:$B$26,2,FALSE),"-")</f>
        <v>44011090</v>
      </c>
      <c r="S375" s="48">
        <v>10370.0</v>
      </c>
      <c r="T375" s="48">
        <v>10.75</v>
      </c>
      <c r="U375" s="48" t="s">
        <v>95</v>
      </c>
      <c r="V375" s="161">
        <f t="shared" si="14"/>
        <v>111477.5</v>
      </c>
      <c r="W375" s="189">
        <v>0.025</v>
      </c>
      <c r="X375" s="189">
        <v>0.025</v>
      </c>
      <c r="Y375" s="30"/>
      <c r="Z375" s="169">
        <f t="shared" si="2"/>
        <v>117051</v>
      </c>
      <c r="AA375" s="167">
        <f t="shared" si="3"/>
        <v>-0.375</v>
      </c>
      <c r="AB375" s="161"/>
      <c r="AC375" s="161">
        <f t="shared" si="4"/>
        <v>111477.5</v>
      </c>
      <c r="AD375" s="161">
        <f t="shared" si="5"/>
        <v>2786.9375</v>
      </c>
      <c r="AE375" s="161">
        <f t="shared" si="6"/>
        <v>2786.9375</v>
      </c>
      <c r="AF375" s="167">
        <f t="shared" si="7"/>
        <v>0</v>
      </c>
      <c r="AG375" s="167">
        <f t="shared" si="8"/>
        <v>5573.875</v>
      </c>
      <c r="AH375" s="158"/>
      <c r="AI375" s="158"/>
    </row>
    <row r="376" ht="12.75" customHeight="1">
      <c r="A376" s="48" t="s">
        <v>720</v>
      </c>
      <c r="B376" s="160" t="str">
        <f>iferror(VLOOKUP((LEFT(A376,6)),CUSTOMER_DETAILS,2,FALSE),"-")</f>
        <v>NAGPUR FUELS</v>
      </c>
      <c r="C376" s="161" t="s">
        <v>89</v>
      </c>
      <c r="D376" s="191">
        <v>45661.0</v>
      </c>
      <c r="E376" s="161" t="s">
        <v>89</v>
      </c>
      <c r="F376" s="30" t="s">
        <v>89</v>
      </c>
      <c r="G376" s="30" t="s">
        <v>89</v>
      </c>
      <c r="H376" s="30" t="s">
        <v>89</v>
      </c>
      <c r="I376" s="48" t="s">
        <v>108</v>
      </c>
      <c r="J376" s="188">
        <f t="shared" si="15"/>
        <v>45661</v>
      </c>
      <c r="K376" s="48">
        <v>393.0</v>
      </c>
      <c r="L376" s="48" t="s">
        <v>108</v>
      </c>
      <c r="M376" s="48" t="s">
        <v>91</v>
      </c>
      <c r="N376" s="48" t="s">
        <v>299</v>
      </c>
      <c r="O376" s="30" t="s">
        <v>89</v>
      </c>
      <c r="P376" s="48" t="s">
        <v>721</v>
      </c>
      <c r="Q376" s="48" t="s">
        <v>117</v>
      </c>
      <c r="R376" s="161">
        <f>IFERROR(VLOOKUP(Q376,'PRODUCT TABLE'!$A$2:$B$26,2,FALSE),"-")</f>
        <v>44011090</v>
      </c>
      <c r="S376" s="48">
        <v>22110.0</v>
      </c>
      <c r="T376" s="48">
        <v>10.75</v>
      </c>
      <c r="U376" s="48" t="s">
        <v>95</v>
      </c>
      <c r="V376" s="161">
        <f t="shared" si="14"/>
        <v>237682.5</v>
      </c>
      <c r="W376" s="189">
        <v>0.025</v>
      </c>
      <c r="X376" s="189">
        <v>0.025</v>
      </c>
      <c r="Y376" s="30"/>
      <c r="Z376" s="169">
        <f t="shared" si="2"/>
        <v>249567</v>
      </c>
      <c r="AA376" s="167">
        <f t="shared" si="3"/>
        <v>0.375</v>
      </c>
      <c r="AB376" s="161"/>
      <c r="AC376" s="161">
        <f t="shared" si="4"/>
        <v>237682.5</v>
      </c>
      <c r="AD376" s="161">
        <f t="shared" si="5"/>
        <v>5942.0625</v>
      </c>
      <c r="AE376" s="161">
        <f t="shared" si="6"/>
        <v>5942.0625</v>
      </c>
      <c r="AF376" s="167">
        <f t="shared" si="7"/>
        <v>0</v>
      </c>
      <c r="AG376" s="167">
        <f t="shared" si="8"/>
        <v>11884.125</v>
      </c>
      <c r="AH376" s="158"/>
      <c r="AI376" s="158"/>
    </row>
    <row r="377" ht="12.75" customHeight="1">
      <c r="A377" s="48" t="s">
        <v>722</v>
      </c>
      <c r="B377" s="160" t="str">
        <f>iferror(VLOOKUP((LEFT(A377,6)),CUSTOMER_DETAILS,2,FALSE),"-")</f>
        <v>NAGPUR FUELS</v>
      </c>
      <c r="C377" s="161" t="s">
        <v>89</v>
      </c>
      <c r="D377" s="191">
        <v>45682.0</v>
      </c>
      <c r="E377" s="161" t="s">
        <v>89</v>
      </c>
      <c r="F377" s="30" t="s">
        <v>89</v>
      </c>
      <c r="G377" s="30" t="s">
        <v>89</v>
      </c>
      <c r="H377" s="30" t="s">
        <v>89</v>
      </c>
      <c r="I377" s="48" t="s">
        <v>108</v>
      </c>
      <c r="J377" s="188">
        <f t="shared" si="15"/>
        <v>45682</v>
      </c>
      <c r="K377" s="48">
        <v>394.0</v>
      </c>
      <c r="L377" s="48" t="s">
        <v>108</v>
      </c>
      <c r="M377" s="48" t="s">
        <v>91</v>
      </c>
      <c r="N377" s="48" t="s">
        <v>299</v>
      </c>
      <c r="O377" s="30" t="s">
        <v>89</v>
      </c>
      <c r="P377" s="48" t="s">
        <v>723</v>
      </c>
      <c r="Q377" s="48" t="s">
        <v>117</v>
      </c>
      <c r="R377" s="161">
        <f>IFERROR(VLOOKUP(Q377,'PRODUCT TABLE'!$A$2:$B$26,2,FALSE),"-")</f>
        <v>44011090</v>
      </c>
      <c r="S377" s="48">
        <v>7110.0</v>
      </c>
      <c r="T377" s="48">
        <v>10.75</v>
      </c>
      <c r="U377" s="48" t="s">
        <v>95</v>
      </c>
      <c r="V377" s="161">
        <f t="shared" si="14"/>
        <v>76432.5</v>
      </c>
      <c r="W377" s="189">
        <v>0.025</v>
      </c>
      <c r="X377" s="189">
        <v>0.025</v>
      </c>
      <c r="Y377" s="30"/>
      <c r="Z377" s="169">
        <f t="shared" si="2"/>
        <v>80254</v>
      </c>
      <c r="AA377" s="167">
        <f t="shared" si="3"/>
        <v>-0.125</v>
      </c>
      <c r="AB377" s="161"/>
      <c r="AC377" s="161">
        <f t="shared" si="4"/>
        <v>76432.5</v>
      </c>
      <c r="AD377" s="161">
        <f t="shared" si="5"/>
        <v>1910.8125</v>
      </c>
      <c r="AE377" s="161">
        <f t="shared" si="6"/>
        <v>1910.8125</v>
      </c>
      <c r="AF377" s="167">
        <f t="shared" si="7"/>
        <v>0</v>
      </c>
      <c r="AG377" s="167">
        <f t="shared" si="8"/>
        <v>3821.625</v>
      </c>
      <c r="AH377" s="158"/>
      <c r="AI377" s="158"/>
    </row>
    <row r="378" ht="12.75" customHeight="1">
      <c r="A378" s="48" t="s">
        <v>724</v>
      </c>
      <c r="B378" s="160" t="str">
        <f>iferror(VLOOKUP((LEFT(A378,6)),CUSTOMER_DETAILS,2,FALSE),"-")</f>
        <v>NAGPUR FUELS</v>
      </c>
      <c r="C378" s="161" t="s">
        <v>89</v>
      </c>
      <c r="D378" s="191">
        <v>45700.0</v>
      </c>
      <c r="E378" s="161" t="s">
        <v>89</v>
      </c>
      <c r="F378" s="30" t="s">
        <v>89</v>
      </c>
      <c r="G378" s="30" t="s">
        <v>89</v>
      </c>
      <c r="H378" s="30" t="s">
        <v>89</v>
      </c>
      <c r="I378" s="48" t="s">
        <v>108</v>
      </c>
      <c r="J378" s="188">
        <f t="shared" si="15"/>
        <v>45700</v>
      </c>
      <c r="K378" s="48">
        <v>395.0</v>
      </c>
      <c r="L378" s="48" t="s">
        <v>108</v>
      </c>
      <c r="M378" s="48" t="s">
        <v>91</v>
      </c>
      <c r="N378" s="48" t="s">
        <v>299</v>
      </c>
      <c r="O378" s="30" t="s">
        <v>89</v>
      </c>
      <c r="Q378" s="48" t="s">
        <v>117</v>
      </c>
      <c r="R378" s="161">
        <f>IFERROR(VLOOKUP(Q378,'PRODUCT TABLE'!$A$2:$B$26,2,FALSE),"-")</f>
        <v>44011090</v>
      </c>
      <c r="S378" s="48">
        <v>10000.0</v>
      </c>
      <c r="T378" s="48">
        <v>10.0</v>
      </c>
      <c r="U378" s="48" t="s">
        <v>95</v>
      </c>
      <c r="V378" s="161">
        <f t="shared" si="14"/>
        <v>100000</v>
      </c>
      <c r="W378" s="189">
        <v>0.025</v>
      </c>
      <c r="X378" s="189">
        <v>0.025</v>
      </c>
      <c r="Y378" s="30"/>
      <c r="Z378" s="169">
        <f t="shared" si="2"/>
        <v>105000</v>
      </c>
      <c r="AA378" s="167">
        <f t="shared" si="3"/>
        <v>0</v>
      </c>
      <c r="AB378" s="161"/>
      <c r="AC378" s="161">
        <f t="shared" si="4"/>
        <v>100000</v>
      </c>
      <c r="AD378" s="161">
        <f t="shared" si="5"/>
        <v>2500</v>
      </c>
      <c r="AE378" s="161">
        <f t="shared" si="6"/>
        <v>2500</v>
      </c>
      <c r="AF378" s="167">
        <f t="shared" si="7"/>
        <v>0</v>
      </c>
      <c r="AG378" s="167">
        <f t="shared" si="8"/>
        <v>5000</v>
      </c>
      <c r="AH378" s="158"/>
      <c r="AI378" s="158"/>
    </row>
    <row r="379" ht="12.75" customHeight="1">
      <c r="A379" s="48" t="s">
        <v>725</v>
      </c>
      <c r="B379" s="160" t="str">
        <f>iferror(VLOOKUP((LEFT(A379,6)),CUSTOMER_DETAILS,2,FALSE),"-")</f>
        <v>MAA BAGLA TRADERS</v>
      </c>
      <c r="C379" s="161" t="s">
        <v>89</v>
      </c>
      <c r="D379" s="191">
        <v>45711.0</v>
      </c>
      <c r="E379" s="161" t="s">
        <v>89</v>
      </c>
      <c r="F379" s="30" t="s">
        <v>89</v>
      </c>
      <c r="G379" s="30" t="s">
        <v>89</v>
      </c>
      <c r="H379" s="30" t="s">
        <v>89</v>
      </c>
      <c r="I379" s="48" t="s">
        <v>108</v>
      </c>
      <c r="J379" s="188">
        <f t="shared" si="15"/>
        <v>45711</v>
      </c>
      <c r="K379" s="48">
        <v>396.0</v>
      </c>
      <c r="L379" s="48" t="s">
        <v>108</v>
      </c>
      <c r="M379" s="48" t="s">
        <v>91</v>
      </c>
      <c r="N379" s="48" t="s">
        <v>726</v>
      </c>
      <c r="O379" s="30" t="s">
        <v>89</v>
      </c>
      <c r="P379" s="48" t="s">
        <v>727</v>
      </c>
      <c r="Q379" s="48" t="s">
        <v>233</v>
      </c>
      <c r="R379" s="161">
        <f>IFERROR(VLOOKUP(Q379,'PRODUCT TABLE'!$A$2:$B$26,2,FALSE),"-")</f>
        <v>44011090</v>
      </c>
      <c r="S379" s="48">
        <v>26200.0</v>
      </c>
      <c r="T379" s="48">
        <v>9.9</v>
      </c>
      <c r="U379" s="48" t="s">
        <v>95</v>
      </c>
      <c r="V379" s="161">
        <f t="shared" si="14"/>
        <v>259380</v>
      </c>
      <c r="Y379" s="186">
        <v>0.05</v>
      </c>
      <c r="Z379" s="169">
        <f t="shared" si="2"/>
        <v>272349</v>
      </c>
      <c r="AA379" s="167">
        <f t="shared" si="3"/>
        <v>0</v>
      </c>
      <c r="AB379" s="161"/>
      <c r="AC379" s="161">
        <f t="shared" si="4"/>
        <v>259380</v>
      </c>
      <c r="AD379" s="161">
        <f t="shared" si="5"/>
        <v>0</v>
      </c>
      <c r="AE379" s="161">
        <f t="shared" si="6"/>
        <v>0</v>
      </c>
      <c r="AF379" s="167">
        <f t="shared" si="7"/>
        <v>12969</v>
      </c>
      <c r="AG379" s="167">
        <f t="shared" si="8"/>
        <v>12969</v>
      </c>
      <c r="AH379" s="158"/>
      <c r="AI379" s="158"/>
    </row>
    <row r="380" ht="12.75" customHeight="1">
      <c r="A380" s="48" t="s">
        <v>728</v>
      </c>
      <c r="B380" s="160" t="str">
        <f>iferror(VLOOKUP((LEFT(A380,6)),CUSTOMER_DETAILS,2,FALSE),"-")</f>
        <v>NAGPUR FUELS</v>
      </c>
      <c r="C380" s="161" t="s">
        <v>89</v>
      </c>
      <c r="D380" s="191">
        <v>45711.0</v>
      </c>
      <c r="E380" s="161" t="s">
        <v>89</v>
      </c>
      <c r="F380" s="30" t="s">
        <v>89</v>
      </c>
      <c r="G380" s="30" t="s">
        <v>89</v>
      </c>
      <c r="H380" s="30" t="s">
        <v>89</v>
      </c>
      <c r="I380" s="48" t="s">
        <v>108</v>
      </c>
      <c r="J380" s="188">
        <f t="shared" si="15"/>
        <v>45711</v>
      </c>
      <c r="K380" s="48">
        <v>397.0</v>
      </c>
      <c r="L380" s="48" t="s">
        <v>108</v>
      </c>
      <c r="M380" s="48" t="s">
        <v>91</v>
      </c>
      <c r="N380" s="48" t="s">
        <v>299</v>
      </c>
      <c r="O380" s="30" t="s">
        <v>89</v>
      </c>
      <c r="P380" s="48" t="s">
        <v>729</v>
      </c>
      <c r="Q380" s="48" t="s">
        <v>117</v>
      </c>
      <c r="R380" s="161">
        <f>IFERROR(VLOOKUP(Q380,'PRODUCT TABLE'!$A$2:$B$26,2,FALSE),"-")</f>
        <v>44011090</v>
      </c>
      <c r="S380" s="48">
        <v>23530.0</v>
      </c>
      <c r="T380" s="48">
        <v>11.0</v>
      </c>
      <c r="U380" s="48" t="s">
        <v>95</v>
      </c>
      <c r="V380" s="161">
        <f t="shared" si="14"/>
        <v>258830</v>
      </c>
      <c r="W380" s="189">
        <v>0.025</v>
      </c>
      <c r="X380" s="189">
        <v>0.025</v>
      </c>
      <c r="Y380" s="30"/>
      <c r="Z380" s="169">
        <f t="shared" si="2"/>
        <v>271771</v>
      </c>
      <c r="AA380" s="167">
        <f t="shared" si="3"/>
        <v>-0.5</v>
      </c>
      <c r="AB380" s="161"/>
      <c r="AC380" s="161">
        <f t="shared" si="4"/>
        <v>258830</v>
      </c>
      <c r="AD380" s="161">
        <f t="shared" si="5"/>
        <v>6470.75</v>
      </c>
      <c r="AE380" s="161">
        <f t="shared" si="6"/>
        <v>6470.75</v>
      </c>
      <c r="AF380" s="167">
        <f t="shared" si="7"/>
        <v>0</v>
      </c>
      <c r="AG380" s="167">
        <f t="shared" si="8"/>
        <v>12941.5</v>
      </c>
      <c r="AH380" s="158"/>
      <c r="AI380" s="158"/>
    </row>
    <row r="381" ht="12.75" customHeight="1">
      <c r="A381" s="48" t="s">
        <v>730</v>
      </c>
      <c r="B381" s="160" t="str">
        <f>iferror(VLOOKUP((LEFT(A381,6)),CUSTOMER_DETAILS,2,FALSE),"-")</f>
        <v>NAGPUR FUELS</v>
      </c>
      <c r="C381" s="161" t="s">
        <v>89</v>
      </c>
      <c r="D381" s="191">
        <v>45729.0</v>
      </c>
      <c r="E381" s="161" t="s">
        <v>89</v>
      </c>
      <c r="F381" s="30" t="s">
        <v>89</v>
      </c>
      <c r="G381" s="30" t="s">
        <v>89</v>
      </c>
      <c r="H381" s="30" t="s">
        <v>89</v>
      </c>
      <c r="I381" s="48" t="s">
        <v>108</v>
      </c>
      <c r="J381" s="188">
        <f t="shared" si="15"/>
        <v>45729</v>
      </c>
      <c r="K381" s="48">
        <v>398.0</v>
      </c>
      <c r="L381" s="48" t="s">
        <v>108</v>
      </c>
      <c r="M381" s="48" t="s">
        <v>91</v>
      </c>
      <c r="N381" s="48" t="s">
        <v>299</v>
      </c>
      <c r="O381" s="30" t="s">
        <v>89</v>
      </c>
      <c r="P381" s="48" t="s">
        <v>731</v>
      </c>
      <c r="Q381" s="48" t="s">
        <v>117</v>
      </c>
      <c r="R381" s="161">
        <f>IFERROR(VLOOKUP(Q381,'PRODUCT TABLE'!$A$2:$B$26,2,FALSE),"-")</f>
        <v>44011090</v>
      </c>
      <c r="S381" s="48">
        <v>9240.0</v>
      </c>
      <c r="T381" s="48">
        <v>11.25</v>
      </c>
      <c r="U381" s="48" t="s">
        <v>95</v>
      </c>
      <c r="V381" s="161">
        <f t="shared" si="14"/>
        <v>103950</v>
      </c>
      <c r="W381" s="189">
        <v>0.025</v>
      </c>
      <c r="X381" s="189">
        <v>0.025</v>
      </c>
      <c r="Y381" s="30"/>
      <c r="Z381" s="169">
        <f t="shared" si="2"/>
        <v>109147</v>
      </c>
      <c r="AA381" s="167">
        <f t="shared" si="3"/>
        <v>-0.5</v>
      </c>
      <c r="AB381" s="161"/>
      <c r="AC381" s="161">
        <f t="shared" si="4"/>
        <v>103950</v>
      </c>
      <c r="AD381" s="161">
        <f t="shared" si="5"/>
        <v>2598.75</v>
      </c>
      <c r="AE381" s="161">
        <f t="shared" si="6"/>
        <v>2598.75</v>
      </c>
      <c r="AF381" s="167">
        <f t="shared" si="7"/>
        <v>0</v>
      </c>
      <c r="AG381" s="167">
        <f t="shared" si="8"/>
        <v>5197.5</v>
      </c>
      <c r="AH381" s="158"/>
      <c r="AI381" s="158"/>
    </row>
    <row r="382" ht="12.75" customHeight="1">
      <c r="A382" s="48" t="s">
        <v>732</v>
      </c>
      <c r="B382" s="160" t="str">
        <f>iferror(VLOOKUP((LEFT(A382,6)),CUSTOMER_DETAILS,2,FALSE),"-")</f>
        <v>KRISHNA ENTERPRISES</v>
      </c>
      <c r="C382" s="161" t="s">
        <v>89</v>
      </c>
      <c r="D382" s="191">
        <v>45756.0</v>
      </c>
      <c r="E382" s="161" t="s">
        <v>89</v>
      </c>
      <c r="F382" s="30" t="s">
        <v>89</v>
      </c>
      <c r="G382" s="30" t="s">
        <v>89</v>
      </c>
      <c r="H382" s="30" t="s">
        <v>89</v>
      </c>
      <c r="I382" s="48" t="s">
        <v>108</v>
      </c>
      <c r="J382" s="188">
        <f t="shared" si="15"/>
        <v>45756</v>
      </c>
      <c r="K382" s="48">
        <v>399.0</v>
      </c>
      <c r="L382" s="48" t="s">
        <v>108</v>
      </c>
      <c r="M382" s="48" t="s">
        <v>91</v>
      </c>
      <c r="N382" s="48" t="s">
        <v>299</v>
      </c>
      <c r="O382" s="30" t="s">
        <v>89</v>
      </c>
      <c r="P382" s="48" t="s">
        <v>729</v>
      </c>
      <c r="Q382" s="48" t="s">
        <v>117</v>
      </c>
      <c r="R382" s="161">
        <f>IFERROR(VLOOKUP(Q382,'PRODUCT TABLE'!$A$2:$B$26,2,FALSE),"-")</f>
        <v>44011090</v>
      </c>
      <c r="S382" s="48">
        <v>25440.0</v>
      </c>
      <c r="T382" s="48">
        <v>11.0</v>
      </c>
      <c r="U382" s="48" t="s">
        <v>95</v>
      </c>
      <c r="V382" s="161">
        <f t="shared" si="14"/>
        <v>279840</v>
      </c>
      <c r="W382" s="189">
        <v>0.025</v>
      </c>
      <c r="X382" s="189">
        <v>0.025</v>
      </c>
      <c r="Y382" s="30"/>
      <c r="Z382" s="169">
        <f t="shared" si="2"/>
        <v>293832</v>
      </c>
      <c r="AA382" s="167">
        <f t="shared" si="3"/>
        <v>0</v>
      </c>
      <c r="AB382" s="161"/>
      <c r="AC382" s="161">
        <f t="shared" si="4"/>
        <v>279840</v>
      </c>
      <c r="AD382" s="161">
        <f t="shared" si="5"/>
        <v>6996</v>
      </c>
      <c r="AE382" s="161">
        <f t="shared" si="6"/>
        <v>6996</v>
      </c>
      <c r="AF382" s="167">
        <f t="shared" si="7"/>
        <v>0</v>
      </c>
      <c r="AG382" s="167">
        <f t="shared" si="8"/>
        <v>13992</v>
      </c>
      <c r="AH382" s="158"/>
      <c r="AI382" s="158"/>
    </row>
    <row r="383" ht="12.75" customHeight="1">
      <c r="A383" s="48" t="s">
        <v>68</v>
      </c>
      <c r="B383" s="160" t="str">
        <f>iferror(VLOOKUP((LEFT(A383,6)),CUSTOMER_DETAILS,2,FALSE),"-")</f>
        <v>Sankalp Industries</v>
      </c>
      <c r="C383" s="161" t="s">
        <v>89</v>
      </c>
      <c r="D383" s="191">
        <v>45757.0</v>
      </c>
      <c r="E383" s="161" t="s">
        <v>89</v>
      </c>
      <c r="F383" s="30" t="s">
        <v>89</v>
      </c>
      <c r="G383" s="30" t="s">
        <v>89</v>
      </c>
      <c r="H383" s="164" t="s">
        <v>733</v>
      </c>
      <c r="I383" s="48" t="s">
        <v>108</v>
      </c>
      <c r="J383" s="188">
        <f t="shared" si="15"/>
        <v>45757</v>
      </c>
      <c r="L383" s="48" t="s">
        <v>108</v>
      </c>
      <c r="O383" s="30" t="s">
        <v>89</v>
      </c>
      <c r="Q383" s="48" t="s">
        <v>94</v>
      </c>
      <c r="R383" s="161">
        <f>IFERROR(VLOOKUP(Q383,'PRODUCT TABLE'!$A$2:$B$26,2,FALSE),"-")</f>
        <v>44011090</v>
      </c>
      <c r="S383" s="48">
        <v>50000.0</v>
      </c>
      <c r="T383" s="48">
        <v>6.1</v>
      </c>
      <c r="U383" s="48" t="s">
        <v>95</v>
      </c>
      <c r="V383" s="161">
        <f t="shared" si="14"/>
        <v>305000</v>
      </c>
      <c r="W383" s="189">
        <v>0.025</v>
      </c>
      <c r="X383" s="189">
        <v>0.025</v>
      </c>
      <c r="Y383" s="30"/>
      <c r="Z383" s="169">
        <f t="shared" si="2"/>
        <v>320250</v>
      </c>
      <c r="AA383" s="167">
        <f t="shared" si="3"/>
        <v>0</v>
      </c>
      <c r="AB383" s="161"/>
      <c r="AC383" s="161">
        <f t="shared" si="4"/>
        <v>305000</v>
      </c>
      <c r="AD383" s="161">
        <f t="shared" si="5"/>
        <v>7625</v>
      </c>
      <c r="AE383" s="161">
        <f t="shared" si="6"/>
        <v>7625</v>
      </c>
      <c r="AF383" s="167">
        <f t="shared" si="7"/>
        <v>0</v>
      </c>
      <c r="AG383" s="167">
        <f t="shared" si="8"/>
        <v>15250</v>
      </c>
      <c r="AH383" s="158"/>
      <c r="AI383" s="158"/>
    </row>
    <row r="384" ht="12.75" customHeight="1">
      <c r="A384" s="48" t="s">
        <v>734</v>
      </c>
      <c r="B384" s="160" t="str">
        <f>iferror(VLOOKUP((LEFT(A384,6)),CUSTOMER_DETAILS,2,FALSE),"-")</f>
        <v>SAI STEAM SERVICES</v>
      </c>
      <c r="C384" s="161" t="s">
        <v>89</v>
      </c>
      <c r="D384" s="191">
        <v>45758.0</v>
      </c>
      <c r="E384" s="161" t="s">
        <v>89</v>
      </c>
      <c r="F384" s="30" t="s">
        <v>89</v>
      </c>
      <c r="G384" s="30" t="s">
        <v>89</v>
      </c>
      <c r="H384" s="30" t="s">
        <v>89</v>
      </c>
      <c r="I384" s="48" t="s">
        <v>108</v>
      </c>
      <c r="J384" s="188">
        <f t="shared" si="15"/>
        <v>45758</v>
      </c>
      <c r="K384" s="48">
        <v>400.0</v>
      </c>
      <c r="L384" s="48" t="s">
        <v>108</v>
      </c>
      <c r="M384" s="48" t="s">
        <v>91</v>
      </c>
      <c r="N384" s="48" t="s">
        <v>735</v>
      </c>
      <c r="O384" s="30" t="s">
        <v>89</v>
      </c>
      <c r="P384" s="48" t="s">
        <v>736</v>
      </c>
      <c r="Q384" s="48" t="s">
        <v>94</v>
      </c>
      <c r="R384" s="161">
        <f>IFERROR(VLOOKUP(Q384,'PRODUCT TABLE'!$A$2:$B$26,2,FALSE),"-")</f>
        <v>44011090</v>
      </c>
      <c r="S384" s="48">
        <v>30520.0</v>
      </c>
      <c r="T384" s="48">
        <v>6.2</v>
      </c>
      <c r="U384" s="48" t="s">
        <v>95</v>
      </c>
      <c r="V384" s="161">
        <f t="shared" si="14"/>
        <v>189224</v>
      </c>
      <c r="W384" s="189">
        <v>0.025</v>
      </c>
      <c r="X384" s="189">
        <v>0.025</v>
      </c>
      <c r="Y384" s="30"/>
      <c r="Z384" s="169">
        <f t="shared" si="2"/>
        <v>198685</v>
      </c>
      <c r="AA384" s="167">
        <f t="shared" si="3"/>
        <v>-0.2</v>
      </c>
      <c r="AB384" s="161"/>
      <c r="AC384" s="161">
        <f t="shared" si="4"/>
        <v>189224</v>
      </c>
      <c r="AD384" s="161">
        <f t="shared" si="5"/>
        <v>4730.6</v>
      </c>
      <c r="AE384" s="161">
        <f t="shared" si="6"/>
        <v>4730.6</v>
      </c>
      <c r="AF384" s="167">
        <f t="shared" si="7"/>
        <v>0</v>
      </c>
      <c r="AG384" s="167">
        <f t="shared" si="8"/>
        <v>9461.2</v>
      </c>
      <c r="AH384" s="158"/>
      <c r="AI384" s="158"/>
    </row>
    <row r="385" ht="12.75" customHeight="1">
      <c r="A385" s="48" t="s">
        <v>737</v>
      </c>
      <c r="B385" s="160" t="str">
        <f>iferror(VLOOKUP((LEFT(A385,6)),CUSTOMER_DETAILS,2,FALSE),"-")</f>
        <v>SAI STEAM SERVICES</v>
      </c>
      <c r="C385" s="161" t="s">
        <v>89</v>
      </c>
      <c r="D385" s="191">
        <v>45822.0</v>
      </c>
      <c r="E385" s="161" t="s">
        <v>89</v>
      </c>
      <c r="F385" s="30" t="s">
        <v>89</v>
      </c>
      <c r="G385" s="30" t="s">
        <v>89</v>
      </c>
      <c r="H385" s="30" t="s">
        <v>89</v>
      </c>
      <c r="I385" s="48" t="s">
        <v>108</v>
      </c>
      <c r="J385" s="188">
        <f t="shared" si="15"/>
        <v>45822</v>
      </c>
      <c r="K385" s="48">
        <v>401.0</v>
      </c>
      <c r="L385" s="48" t="s">
        <v>108</v>
      </c>
      <c r="M385" s="48" t="s">
        <v>91</v>
      </c>
      <c r="N385" s="48" t="s">
        <v>735</v>
      </c>
      <c r="O385" s="30" t="s">
        <v>89</v>
      </c>
      <c r="P385" s="48" t="s">
        <v>738</v>
      </c>
      <c r="Q385" s="48" t="s">
        <v>94</v>
      </c>
      <c r="R385" s="161">
        <f>IFERROR(VLOOKUP(Q385,'PRODUCT TABLE'!$A$2:$B$26,2,FALSE),"-")</f>
        <v>44011090</v>
      </c>
      <c r="S385" s="48">
        <v>23300.0</v>
      </c>
      <c r="T385" s="48">
        <v>4.8</v>
      </c>
      <c r="U385" s="48" t="s">
        <v>95</v>
      </c>
      <c r="V385" s="161">
        <f t="shared" si="14"/>
        <v>111840</v>
      </c>
      <c r="W385" s="189">
        <v>0.025</v>
      </c>
      <c r="X385" s="189">
        <v>0.025</v>
      </c>
      <c r="Y385" s="30"/>
      <c r="Z385" s="169">
        <f t="shared" si="2"/>
        <v>117432</v>
      </c>
      <c r="AA385" s="167">
        <f t="shared" si="3"/>
        <v>0</v>
      </c>
      <c r="AB385" s="161"/>
      <c r="AC385" s="161">
        <f t="shared" si="4"/>
        <v>111840</v>
      </c>
      <c r="AD385" s="161">
        <f t="shared" si="5"/>
        <v>2796</v>
      </c>
      <c r="AE385" s="161">
        <f t="shared" si="6"/>
        <v>2796</v>
      </c>
      <c r="AF385" s="167">
        <f t="shared" si="7"/>
        <v>0</v>
      </c>
      <c r="AG385" s="167">
        <f t="shared" si="8"/>
        <v>5592</v>
      </c>
      <c r="AH385" s="158"/>
      <c r="AI385" s="158"/>
    </row>
    <row r="386" ht="12.75" customHeight="1">
      <c r="A386" s="48" t="s">
        <v>739</v>
      </c>
      <c r="B386" s="160" t="str">
        <f>iferror(VLOOKUP((LEFT(A386,6)),CUSTOMER_DETAILS,2,FALSE),"-")</f>
        <v>NJ RENEWABLE ENERGY PVT LIMITED </v>
      </c>
      <c r="C386" s="161" t="s">
        <v>89</v>
      </c>
      <c r="D386" s="191">
        <v>45887.0</v>
      </c>
      <c r="E386" s="161" t="s">
        <v>89</v>
      </c>
      <c r="F386" s="30" t="s">
        <v>89</v>
      </c>
      <c r="G386" s="30" t="s">
        <v>89</v>
      </c>
      <c r="H386" s="30" t="s">
        <v>89</v>
      </c>
      <c r="I386" s="48" t="s">
        <v>108</v>
      </c>
      <c r="J386" s="188">
        <f t="shared" si="15"/>
        <v>45887</v>
      </c>
      <c r="K386" s="48">
        <v>402.0</v>
      </c>
      <c r="L386" s="48" t="s">
        <v>108</v>
      </c>
      <c r="M386" s="48" t="s">
        <v>91</v>
      </c>
      <c r="N386" s="48" t="s">
        <v>740</v>
      </c>
      <c r="O386" s="30" t="s">
        <v>89</v>
      </c>
      <c r="P386" s="48" t="s">
        <v>741</v>
      </c>
      <c r="Q386" s="48" t="s">
        <v>405</v>
      </c>
      <c r="R386" s="161">
        <f>IFERROR(VLOOKUP(Q386,'PRODUCT TABLE'!$A$2:$B$26,2,FALSE),"-")</f>
        <v>44011010</v>
      </c>
      <c r="S386" s="48">
        <v>18800.0</v>
      </c>
      <c r="T386" s="48">
        <v>7.8</v>
      </c>
      <c r="U386" s="48" t="s">
        <v>95</v>
      </c>
      <c r="V386" s="161">
        <f t="shared" si="14"/>
        <v>146640</v>
      </c>
      <c r="W386" s="189">
        <v>0.025</v>
      </c>
      <c r="X386" s="189">
        <v>0.025</v>
      </c>
      <c r="Y386" s="30"/>
      <c r="Z386" s="169">
        <f t="shared" si="2"/>
        <v>153972</v>
      </c>
      <c r="AA386" s="167">
        <f t="shared" si="3"/>
        <v>0</v>
      </c>
      <c r="AB386" s="161"/>
      <c r="AC386" s="161">
        <f t="shared" si="4"/>
        <v>146640</v>
      </c>
      <c r="AD386" s="161">
        <f t="shared" si="5"/>
        <v>3666</v>
      </c>
      <c r="AE386" s="161">
        <f t="shared" si="6"/>
        <v>3666</v>
      </c>
      <c r="AF386" s="167">
        <f t="shared" si="7"/>
        <v>0</v>
      </c>
      <c r="AG386" s="167">
        <f t="shared" si="8"/>
        <v>7332</v>
      </c>
      <c r="AH386" s="158"/>
      <c r="AI386" s="158"/>
    </row>
    <row r="387" ht="12.75" customHeight="1">
      <c r="A387" s="48" t="s">
        <v>742</v>
      </c>
      <c r="B387" s="160" t="str">
        <f>iferror(VLOOKUP((LEFT(A387,6)),CUSTOMER_DETAILS,2,FALSE),"-")</f>
        <v>VITUS OIL SOLUTIONS PVT LTD</v>
      </c>
      <c r="C387" s="161" t="s">
        <v>89</v>
      </c>
      <c r="D387" s="191">
        <v>45887.0</v>
      </c>
      <c r="E387" s="161" t="s">
        <v>89</v>
      </c>
      <c r="F387" s="30" t="s">
        <v>89</v>
      </c>
      <c r="G387" s="30" t="s">
        <v>89</v>
      </c>
      <c r="H387" s="30" t="s">
        <v>89</v>
      </c>
      <c r="I387" s="48" t="s">
        <v>108</v>
      </c>
      <c r="J387" s="188">
        <f t="shared" si="15"/>
        <v>45887</v>
      </c>
      <c r="K387" s="48">
        <v>403.0</v>
      </c>
      <c r="L387" s="48" t="s">
        <v>108</v>
      </c>
      <c r="M387" s="48" t="s">
        <v>91</v>
      </c>
      <c r="N387" s="48" t="s">
        <v>743</v>
      </c>
      <c r="O387" s="30" t="s">
        <v>89</v>
      </c>
      <c r="P387" s="48" t="s">
        <v>744</v>
      </c>
      <c r="Q387" s="48" t="s">
        <v>694</v>
      </c>
      <c r="R387" s="161">
        <f>IFERROR(VLOOKUP(Q387,'PRODUCT TABLE'!$A$2:$B$26,2,FALSE),"-")</f>
        <v>4415</v>
      </c>
      <c r="S387" s="48">
        <v>39.0</v>
      </c>
      <c r="T387" s="48">
        <v>1197.0</v>
      </c>
      <c r="U387" s="48" t="s">
        <v>695</v>
      </c>
      <c r="V387" s="161">
        <f t="shared" si="14"/>
        <v>46683</v>
      </c>
      <c r="W387" s="189">
        <v>0.06</v>
      </c>
      <c r="X387" s="189">
        <v>0.06</v>
      </c>
      <c r="Y387" s="30"/>
      <c r="Z387" s="169">
        <f t="shared" si="2"/>
        <v>52285</v>
      </c>
      <c r="AA387" s="167">
        <f t="shared" si="3"/>
        <v>0.04</v>
      </c>
      <c r="AB387" s="161"/>
      <c r="AC387" s="161">
        <f t="shared" si="4"/>
        <v>46683</v>
      </c>
      <c r="AD387" s="161">
        <f t="shared" si="5"/>
        <v>2800.98</v>
      </c>
      <c r="AE387" s="161">
        <f t="shared" si="6"/>
        <v>2800.98</v>
      </c>
      <c r="AF387" s="167">
        <f t="shared" si="7"/>
        <v>0</v>
      </c>
      <c r="AG387" s="167">
        <f t="shared" si="8"/>
        <v>5601.96</v>
      </c>
      <c r="AH387" s="158"/>
      <c r="AI387" s="158"/>
    </row>
    <row r="388" ht="12.75" customHeight="1">
      <c r="A388" s="48" t="s">
        <v>745</v>
      </c>
      <c r="B388" s="160" t="str">
        <f>iferror(VLOOKUP((LEFT(A388,6)),CUSTOMER_DETAILS,2,FALSE),"-")</f>
        <v>NJ RENEWABLE ENERGY PVT LIMITED </v>
      </c>
      <c r="C388" s="161" t="s">
        <v>89</v>
      </c>
      <c r="D388" s="191">
        <v>45899.0</v>
      </c>
      <c r="E388" s="161" t="s">
        <v>89</v>
      </c>
      <c r="F388" s="30" t="s">
        <v>89</v>
      </c>
      <c r="G388" s="30" t="s">
        <v>89</v>
      </c>
      <c r="H388" s="30" t="s">
        <v>89</v>
      </c>
      <c r="I388" s="48" t="s">
        <v>108</v>
      </c>
      <c r="J388" s="188">
        <f t="shared" si="15"/>
        <v>45899</v>
      </c>
      <c r="K388" s="48">
        <v>404.0</v>
      </c>
      <c r="L388" s="48" t="s">
        <v>108</v>
      </c>
      <c r="M388" s="48" t="s">
        <v>91</v>
      </c>
      <c r="N388" s="48" t="s">
        <v>740</v>
      </c>
      <c r="O388" s="30" t="s">
        <v>89</v>
      </c>
      <c r="P388" s="48" t="s">
        <v>746</v>
      </c>
      <c r="Q388" s="48" t="s">
        <v>405</v>
      </c>
      <c r="R388" s="161">
        <f>IFERROR(VLOOKUP(Q388,'PRODUCT TABLE'!$A$2:$B$26,2,FALSE),"-")</f>
        <v>44011010</v>
      </c>
      <c r="S388" s="48">
        <v>21380.0</v>
      </c>
      <c r="T388" s="48">
        <v>7.8</v>
      </c>
      <c r="U388" s="48" t="s">
        <v>95</v>
      </c>
      <c r="V388" s="161">
        <f t="shared" si="14"/>
        <v>166764</v>
      </c>
      <c r="W388" s="189">
        <v>0.025</v>
      </c>
      <c r="X388" s="189">
        <v>0.025</v>
      </c>
      <c r="Y388" s="30"/>
      <c r="Z388" s="169">
        <f t="shared" si="2"/>
        <v>175102</v>
      </c>
      <c r="AA388" s="167">
        <f t="shared" si="3"/>
        <v>-0.2</v>
      </c>
      <c r="AB388" s="161"/>
      <c r="AC388" s="161">
        <f t="shared" si="4"/>
        <v>166764</v>
      </c>
      <c r="AD388" s="161">
        <f t="shared" si="5"/>
        <v>4169.1</v>
      </c>
      <c r="AE388" s="161">
        <f t="shared" si="6"/>
        <v>4169.1</v>
      </c>
      <c r="AF388" s="167">
        <f t="shared" si="7"/>
        <v>0</v>
      </c>
      <c r="AG388" s="167">
        <f t="shared" si="8"/>
        <v>8338.2</v>
      </c>
      <c r="AH388" s="158"/>
      <c r="AI388" s="158"/>
    </row>
    <row r="389" ht="12.75" customHeight="1">
      <c r="A389" s="48" t="s">
        <v>747</v>
      </c>
      <c r="B389" s="160" t="str">
        <f>iferror(VLOOKUP((LEFT(A389,6)),CUSTOMER_DETAILS,2,FALSE),"-")</f>
        <v>NJ RENEWABLE ENERGY PVT LIMITED </v>
      </c>
      <c r="C389" s="161" t="s">
        <v>89</v>
      </c>
      <c r="D389" s="191">
        <v>45930.0</v>
      </c>
      <c r="E389" s="161" t="s">
        <v>89</v>
      </c>
      <c r="F389" s="30" t="s">
        <v>89</v>
      </c>
      <c r="G389" s="30" t="s">
        <v>89</v>
      </c>
      <c r="H389" s="30" t="s">
        <v>89</v>
      </c>
      <c r="I389" s="48" t="s">
        <v>108</v>
      </c>
      <c r="J389" s="188">
        <f t="shared" si="15"/>
        <v>45930</v>
      </c>
      <c r="K389" s="48">
        <v>405.0</v>
      </c>
      <c r="L389" s="48" t="s">
        <v>108</v>
      </c>
      <c r="M389" s="48" t="s">
        <v>91</v>
      </c>
      <c r="N389" s="48" t="s">
        <v>740</v>
      </c>
      <c r="O389" s="30" t="s">
        <v>89</v>
      </c>
      <c r="P389" s="48" t="s">
        <v>748</v>
      </c>
      <c r="Q389" s="48" t="s">
        <v>405</v>
      </c>
      <c r="R389" s="161">
        <f>IFERROR(VLOOKUP(Q389,'PRODUCT TABLE'!$A$2:$B$26,2,FALSE),"-")</f>
        <v>44011010</v>
      </c>
      <c r="S389" s="48">
        <v>18400.0</v>
      </c>
      <c r="T389" s="48">
        <v>7.8</v>
      </c>
      <c r="U389" s="48" t="s">
        <v>95</v>
      </c>
      <c r="V389" s="161">
        <f t="shared" si="14"/>
        <v>143520</v>
      </c>
      <c r="W389" s="189">
        <v>0.025</v>
      </c>
      <c r="X389" s="189">
        <v>0.025</v>
      </c>
      <c r="Y389" s="30"/>
      <c r="Z389" s="169">
        <f t="shared" si="2"/>
        <v>150696</v>
      </c>
      <c r="AA389" s="167">
        <f t="shared" si="3"/>
        <v>0</v>
      </c>
      <c r="AB389" s="161"/>
      <c r="AC389" s="161">
        <f t="shared" si="4"/>
        <v>143520</v>
      </c>
      <c r="AD389" s="161">
        <f t="shared" si="5"/>
        <v>3588</v>
      </c>
      <c r="AE389" s="161">
        <f t="shared" si="6"/>
        <v>3588</v>
      </c>
      <c r="AF389" s="167">
        <f t="shared" si="7"/>
        <v>0</v>
      </c>
      <c r="AG389" s="167">
        <f t="shared" si="8"/>
        <v>7176</v>
      </c>
      <c r="AH389" s="158"/>
      <c r="AI389" s="158"/>
    </row>
    <row r="390" ht="12.75" customHeight="1">
      <c r="A390" s="48" t="s">
        <v>749</v>
      </c>
      <c r="B390" s="160" t="str">
        <f>iferror(VLOOKUP((LEFT(A390,6)),CUSTOMER_DETAILS,2,FALSE),"-")</f>
        <v>NJ RENEWABLE ENERGY PVT LIMITED </v>
      </c>
      <c r="C390" s="161" t="s">
        <v>89</v>
      </c>
      <c r="D390" s="191">
        <v>45936.0</v>
      </c>
      <c r="E390" s="161" t="s">
        <v>89</v>
      </c>
      <c r="F390" s="30" t="s">
        <v>89</v>
      </c>
      <c r="G390" s="30" t="s">
        <v>89</v>
      </c>
      <c r="H390" s="30" t="s">
        <v>89</v>
      </c>
      <c r="I390" s="48" t="s">
        <v>108</v>
      </c>
      <c r="J390" s="188">
        <f t="shared" si="15"/>
        <v>45936</v>
      </c>
      <c r="K390" s="48">
        <v>406.0</v>
      </c>
      <c r="L390" s="48" t="s">
        <v>108</v>
      </c>
      <c r="M390" s="48" t="s">
        <v>91</v>
      </c>
      <c r="N390" s="48" t="s">
        <v>740</v>
      </c>
      <c r="O390" s="30" t="s">
        <v>89</v>
      </c>
      <c r="P390" s="48" t="s">
        <v>750</v>
      </c>
      <c r="Q390" s="48" t="s">
        <v>405</v>
      </c>
      <c r="R390" s="161">
        <f>IFERROR(VLOOKUP(Q390,'PRODUCT TABLE'!$A$2:$B$26,2,FALSE),"-")</f>
        <v>44011010</v>
      </c>
      <c r="S390" s="48">
        <v>19720.0</v>
      </c>
      <c r="T390" s="48">
        <v>7.8</v>
      </c>
      <c r="U390" s="48" t="s">
        <v>95</v>
      </c>
      <c r="V390" s="161">
        <f t="shared" si="14"/>
        <v>153816</v>
      </c>
      <c r="W390" s="189">
        <v>0.025</v>
      </c>
      <c r="X390" s="189">
        <v>0.025</v>
      </c>
      <c r="Y390" s="30"/>
      <c r="Z390" s="169">
        <f t="shared" si="2"/>
        <v>161507</v>
      </c>
      <c r="AA390" s="167">
        <f t="shared" si="3"/>
        <v>0.2</v>
      </c>
      <c r="AB390" s="161"/>
      <c r="AC390" s="161">
        <f t="shared" si="4"/>
        <v>153816</v>
      </c>
      <c r="AD390" s="161">
        <f t="shared" si="5"/>
        <v>3845.4</v>
      </c>
      <c r="AE390" s="161">
        <f t="shared" si="6"/>
        <v>3845.4</v>
      </c>
      <c r="AF390" s="167">
        <f t="shared" si="7"/>
        <v>0</v>
      </c>
      <c r="AG390" s="167">
        <f t="shared" si="8"/>
        <v>7690.8</v>
      </c>
      <c r="AH390" s="158"/>
      <c r="AI390" s="158"/>
    </row>
    <row r="391" ht="12.75" customHeight="1">
      <c r="A391" s="48" t="s">
        <v>751</v>
      </c>
      <c r="B391" s="160" t="str">
        <f>iferror(VLOOKUP((LEFT(A391,6)),CUSTOMER_DETAILS,2,FALSE),"-")</f>
        <v>NJ RENEWABLE ENERGY PVT LIMITED </v>
      </c>
      <c r="C391" s="161" t="s">
        <v>89</v>
      </c>
      <c r="D391" s="191">
        <v>45939.0</v>
      </c>
      <c r="E391" s="161" t="s">
        <v>89</v>
      </c>
      <c r="F391" s="30" t="s">
        <v>89</v>
      </c>
      <c r="G391" s="30" t="s">
        <v>89</v>
      </c>
      <c r="H391" s="30" t="s">
        <v>89</v>
      </c>
      <c r="I391" s="48" t="s">
        <v>108</v>
      </c>
      <c r="J391" s="188">
        <f t="shared" si="15"/>
        <v>45939</v>
      </c>
      <c r="K391" s="48">
        <v>407.0</v>
      </c>
      <c r="L391" s="48" t="s">
        <v>108</v>
      </c>
      <c r="M391" s="48" t="s">
        <v>91</v>
      </c>
      <c r="N391" s="48" t="s">
        <v>740</v>
      </c>
      <c r="O391" s="30" t="s">
        <v>89</v>
      </c>
      <c r="P391" s="48" t="s">
        <v>752</v>
      </c>
      <c r="Q391" s="48" t="s">
        <v>405</v>
      </c>
      <c r="R391" s="161">
        <f>IFERROR(VLOOKUP(Q391,'PRODUCT TABLE'!$A$2:$B$26,2,FALSE),"-")</f>
        <v>44011010</v>
      </c>
      <c r="S391" s="48">
        <v>21100.0</v>
      </c>
      <c r="T391" s="48">
        <v>7.8</v>
      </c>
      <c r="U391" s="48" t="s">
        <v>95</v>
      </c>
      <c r="V391" s="161">
        <f t="shared" si="14"/>
        <v>164580</v>
      </c>
      <c r="W391" s="189">
        <v>0.025</v>
      </c>
      <c r="X391" s="189">
        <v>0.025</v>
      </c>
      <c r="Y391" s="30"/>
      <c r="Z391" s="169">
        <f t="shared" si="2"/>
        <v>172809</v>
      </c>
      <c r="AA391" s="167">
        <f t="shared" si="3"/>
        <v>0</v>
      </c>
      <c r="AB391" s="161"/>
      <c r="AC391" s="161">
        <f t="shared" si="4"/>
        <v>164580</v>
      </c>
      <c r="AD391" s="161">
        <f t="shared" si="5"/>
        <v>4114.5</v>
      </c>
      <c r="AE391" s="161">
        <f t="shared" si="6"/>
        <v>4114.5</v>
      </c>
      <c r="AF391" s="167">
        <f t="shared" si="7"/>
        <v>0</v>
      </c>
      <c r="AG391" s="167">
        <f t="shared" si="8"/>
        <v>8229</v>
      </c>
      <c r="AH391" s="158"/>
      <c r="AI391" s="158"/>
    </row>
    <row r="392" ht="12.75" customHeight="1">
      <c r="A392" s="48" t="s">
        <v>753</v>
      </c>
      <c r="B392" s="160" t="str">
        <f>iferror(VLOOKUP((LEFT(A392,6)),CUSTOMER_DETAILS,2,FALSE),"-")</f>
        <v>NJ RENEWABLE ENERGY PVT LIMITED </v>
      </c>
      <c r="C392" s="161" t="s">
        <v>89</v>
      </c>
      <c r="D392" s="191">
        <v>45941.0</v>
      </c>
      <c r="E392" s="161" t="s">
        <v>89</v>
      </c>
      <c r="F392" s="30" t="s">
        <v>89</v>
      </c>
      <c r="G392" s="30" t="s">
        <v>89</v>
      </c>
      <c r="H392" s="30" t="s">
        <v>89</v>
      </c>
      <c r="I392" s="48" t="s">
        <v>108</v>
      </c>
      <c r="J392" s="188">
        <f t="shared" si="15"/>
        <v>45941</v>
      </c>
      <c r="K392" s="48">
        <v>408.0</v>
      </c>
      <c r="L392" s="48" t="s">
        <v>108</v>
      </c>
      <c r="M392" s="48" t="s">
        <v>91</v>
      </c>
      <c r="N392" s="48" t="s">
        <v>740</v>
      </c>
      <c r="O392" s="30" t="s">
        <v>89</v>
      </c>
      <c r="P392" s="48" t="s">
        <v>529</v>
      </c>
      <c r="Q392" s="48" t="s">
        <v>405</v>
      </c>
      <c r="R392" s="161">
        <f>IFERROR(VLOOKUP(Q392,'PRODUCT TABLE'!$A$2:$B$26,2,FALSE),"-")</f>
        <v>44011010</v>
      </c>
      <c r="S392" s="48">
        <v>15900.0</v>
      </c>
      <c r="T392" s="48">
        <v>7.8</v>
      </c>
      <c r="U392" s="48" t="s">
        <v>95</v>
      </c>
      <c r="V392" s="161">
        <f t="shared" si="14"/>
        <v>124020</v>
      </c>
      <c r="W392" s="189">
        <v>0.025</v>
      </c>
      <c r="X392" s="189">
        <v>0.025</v>
      </c>
      <c r="Y392" s="30"/>
      <c r="Z392" s="169">
        <f t="shared" si="2"/>
        <v>130221</v>
      </c>
      <c r="AA392" s="167">
        <f t="shared" si="3"/>
        <v>0</v>
      </c>
      <c r="AB392" s="161"/>
      <c r="AC392" s="161">
        <f t="shared" si="4"/>
        <v>124020</v>
      </c>
      <c r="AD392" s="161">
        <f t="shared" si="5"/>
        <v>3100.5</v>
      </c>
      <c r="AE392" s="161">
        <f t="shared" si="6"/>
        <v>3100.5</v>
      </c>
      <c r="AF392" s="167">
        <f t="shared" si="7"/>
        <v>0</v>
      </c>
      <c r="AG392" s="167">
        <f t="shared" si="8"/>
        <v>6201</v>
      </c>
      <c r="AH392" s="158"/>
      <c r="AI392" s="158"/>
    </row>
    <row r="393" ht="12.75" customHeight="1">
      <c r="A393" s="48" t="s">
        <v>754</v>
      </c>
      <c r="B393" s="160" t="str">
        <f>iferror(VLOOKUP((LEFT(A393,6)),CUSTOMER_DETAILS,2,FALSE),"-")</f>
        <v>NJ RENEWABLE ENERGY PVT LIMITED </v>
      </c>
      <c r="C393" s="161" t="s">
        <v>89</v>
      </c>
      <c r="D393" s="191">
        <v>45942.0</v>
      </c>
      <c r="E393" s="161" t="s">
        <v>89</v>
      </c>
      <c r="F393" s="30" t="s">
        <v>89</v>
      </c>
      <c r="G393" s="30" t="s">
        <v>89</v>
      </c>
      <c r="H393" s="30" t="s">
        <v>89</v>
      </c>
      <c r="I393" s="48" t="s">
        <v>108</v>
      </c>
      <c r="J393" s="188">
        <f t="shared" si="15"/>
        <v>45942</v>
      </c>
      <c r="K393" s="48">
        <v>409.0</v>
      </c>
      <c r="L393" s="48" t="s">
        <v>108</v>
      </c>
      <c r="M393" s="48" t="s">
        <v>91</v>
      </c>
      <c r="N393" s="48" t="s">
        <v>740</v>
      </c>
      <c r="O393" s="30" t="s">
        <v>89</v>
      </c>
      <c r="P393" s="48" t="s">
        <v>748</v>
      </c>
      <c r="Q393" s="48" t="s">
        <v>405</v>
      </c>
      <c r="R393" s="161">
        <f>IFERROR(VLOOKUP(Q393,'PRODUCT TABLE'!$A$2:$B$26,2,FALSE),"-")</f>
        <v>44011010</v>
      </c>
      <c r="S393" s="48">
        <v>18290.0</v>
      </c>
      <c r="T393" s="48">
        <v>7.8</v>
      </c>
      <c r="U393" s="48" t="s">
        <v>95</v>
      </c>
      <c r="V393" s="161">
        <f t="shared" si="14"/>
        <v>142662</v>
      </c>
      <c r="W393" s="189">
        <v>0.025</v>
      </c>
      <c r="X393" s="189">
        <v>0.025</v>
      </c>
      <c r="Y393" s="30"/>
      <c r="Z393" s="169">
        <f t="shared" si="2"/>
        <v>149795</v>
      </c>
      <c r="AA393" s="167">
        <f t="shared" si="3"/>
        <v>-0.1</v>
      </c>
      <c r="AB393" s="161"/>
      <c r="AC393" s="161">
        <f t="shared" si="4"/>
        <v>142662</v>
      </c>
      <c r="AD393" s="161">
        <f t="shared" si="5"/>
        <v>3566.55</v>
      </c>
      <c r="AE393" s="161">
        <f t="shared" si="6"/>
        <v>3566.55</v>
      </c>
      <c r="AF393" s="167">
        <f t="shared" si="7"/>
        <v>0</v>
      </c>
      <c r="AG393" s="167">
        <f t="shared" si="8"/>
        <v>7133.1</v>
      </c>
      <c r="AH393" s="158"/>
      <c r="AI393" s="158"/>
    </row>
    <row r="394" ht="12.75" customHeight="1">
      <c r="A394" s="48" t="s">
        <v>755</v>
      </c>
      <c r="B394" s="160" t="str">
        <f>iferror(VLOOKUP((LEFT(A394,6)),CUSTOMER_DETAILS,2,FALSE),"-")</f>
        <v>GAUTAM ENTERPRISES</v>
      </c>
      <c r="C394" s="161" t="s">
        <v>89</v>
      </c>
      <c r="D394" s="191">
        <v>45945.0</v>
      </c>
      <c r="E394" s="161" t="s">
        <v>89</v>
      </c>
      <c r="F394" s="30" t="s">
        <v>89</v>
      </c>
      <c r="G394" s="30" t="s">
        <v>89</v>
      </c>
      <c r="H394" s="30" t="s">
        <v>89</v>
      </c>
      <c r="I394" s="48" t="s">
        <v>108</v>
      </c>
      <c r="J394" s="188">
        <f t="shared" si="15"/>
        <v>45945</v>
      </c>
      <c r="K394" s="48">
        <v>410.0</v>
      </c>
      <c r="L394" s="48" t="s">
        <v>108</v>
      </c>
      <c r="M394" s="48" t="s">
        <v>91</v>
      </c>
      <c r="N394" s="48" t="s">
        <v>756</v>
      </c>
      <c r="O394" s="30" t="s">
        <v>89</v>
      </c>
      <c r="P394" s="48" t="s">
        <v>757</v>
      </c>
      <c r="Q394" s="48" t="s">
        <v>117</v>
      </c>
      <c r="R394" s="161">
        <f>IFERROR(VLOOKUP(Q394,'PRODUCT TABLE'!$A$2:$B$26,2,FALSE),"-")</f>
        <v>44011090</v>
      </c>
      <c r="S394" s="48">
        <v>25180.0</v>
      </c>
      <c r="T394" s="48">
        <v>13.0</v>
      </c>
      <c r="U394" s="48" t="s">
        <v>95</v>
      </c>
      <c r="V394" s="161">
        <f t="shared" si="14"/>
        <v>327340</v>
      </c>
      <c r="W394" s="189">
        <v>0.025</v>
      </c>
      <c r="X394" s="189">
        <v>0.025</v>
      </c>
      <c r="Y394" s="30"/>
      <c r="Z394" s="169">
        <f t="shared" si="2"/>
        <v>343707</v>
      </c>
      <c r="AA394" s="167">
        <f t="shared" si="3"/>
        <v>0</v>
      </c>
      <c r="AB394" s="161"/>
      <c r="AC394" s="161">
        <f t="shared" si="4"/>
        <v>327340</v>
      </c>
      <c r="AD394" s="161">
        <f t="shared" si="5"/>
        <v>8183.5</v>
      </c>
      <c r="AE394" s="161">
        <f t="shared" si="6"/>
        <v>8183.5</v>
      </c>
      <c r="AF394" s="167">
        <f t="shared" si="7"/>
        <v>0</v>
      </c>
      <c r="AG394" s="167">
        <f t="shared" si="8"/>
        <v>16367</v>
      </c>
      <c r="AH394" s="158"/>
      <c r="AI394" s="158"/>
    </row>
    <row r="395" ht="12.75" customHeight="1">
      <c r="A395" s="48" t="s">
        <v>758</v>
      </c>
      <c r="B395" s="160" t="str">
        <f>iferror(VLOOKUP((LEFT(A395,6)),CUSTOMER_DETAILS,2,FALSE),"-")</f>
        <v>NJ RENEWABLE ENERGY PVT LIMITED </v>
      </c>
      <c r="C395" s="161" t="s">
        <v>89</v>
      </c>
      <c r="D395" s="191">
        <v>45960.0</v>
      </c>
      <c r="E395" s="161" t="s">
        <v>89</v>
      </c>
      <c r="F395" s="30" t="s">
        <v>89</v>
      </c>
      <c r="G395" s="30" t="s">
        <v>89</v>
      </c>
      <c r="H395" s="30" t="s">
        <v>89</v>
      </c>
      <c r="I395" s="48" t="s">
        <v>108</v>
      </c>
      <c r="J395" s="188">
        <f t="shared" si="15"/>
        <v>45960</v>
      </c>
      <c r="K395" s="48">
        <v>411.0</v>
      </c>
      <c r="L395" s="48" t="s">
        <v>108</v>
      </c>
      <c r="M395" s="48" t="s">
        <v>91</v>
      </c>
      <c r="N395" s="48" t="s">
        <v>740</v>
      </c>
      <c r="O395" s="30" t="s">
        <v>89</v>
      </c>
      <c r="P395" s="48" t="s">
        <v>748</v>
      </c>
      <c r="Q395" s="48" t="s">
        <v>405</v>
      </c>
      <c r="R395" s="161">
        <f>IFERROR(VLOOKUP(Q395,'PRODUCT TABLE'!$A$2:$B$26,2,FALSE),"-")</f>
        <v>44011010</v>
      </c>
      <c r="S395" s="48">
        <v>18460.0</v>
      </c>
      <c r="T395" s="48">
        <v>7.8</v>
      </c>
      <c r="U395" s="48" t="s">
        <v>95</v>
      </c>
      <c r="V395" s="161">
        <f t="shared" si="14"/>
        <v>143988</v>
      </c>
      <c r="W395" s="189">
        <v>0.025</v>
      </c>
      <c r="X395" s="189">
        <v>0.025</v>
      </c>
      <c r="Y395" s="30"/>
      <c r="Z395" s="169">
        <f t="shared" si="2"/>
        <v>151187</v>
      </c>
      <c r="AA395" s="167">
        <f t="shared" si="3"/>
        <v>-0.4</v>
      </c>
      <c r="AB395" s="161"/>
      <c r="AC395" s="161">
        <f t="shared" si="4"/>
        <v>143988</v>
      </c>
      <c r="AD395" s="161">
        <f t="shared" si="5"/>
        <v>3599.7</v>
      </c>
      <c r="AE395" s="161">
        <f t="shared" si="6"/>
        <v>3599.7</v>
      </c>
      <c r="AF395" s="167">
        <f t="shared" si="7"/>
        <v>0</v>
      </c>
      <c r="AG395" s="167">
        <f t="shared" si="8"/>
        <v>7199.4</v>
      </c>
      <c r="AH395" s="158"/>
      <c r="AI395" s="158"/>
    </row>
    <row r="396" ht="12.75" customHeight="1">
      <c r="A396" s="48" t="s">
        <v>759</v>
      </c>
      <c r="B396" s="160" t="str">
        <f>iferror(VLOOKUP((LEFT(A396,6)),CUSTOMER_DETAILS,2,FALSE),"-")</f>
        <v>NJ RENEWABLE ENERGY PVT LIMITED </v>
      </c>
      <c r="C396" s="161" t="s">
        <v>89</v>
      </c>
      <c r="D396" s="191">
        <v>45972.0</v>
      </c>
      <c r="E396" s="161" t="s">
        <v>89</v>
      </c>
      <c r="F396" s="30" t="s">
        <v>89</v>
      </c>
      <c r="G396" s="30" t="s">
        <v>89</v>
      </c>
      <c r="H396" s="30" t="s">
        <v>89</v>
      </c>
      <c r="I396" s="48" t="s">
        <v>108</v>
      </c>
      <c r="J396" s="188">
        <f t="shared" si="15"/>
        <v>45972</v>
      </c>
      <c r="K396" s="48">
        <v>412.0</v>
      </c>
      <c r="L396" s="48" t="s">
        <v>108</v>
      </c>
      <c r="M396" s="48" t="s">
        <v>91</v>
      </c>
      <c r="N396" s="48" t="s">
        <v>740</v>
      </c>
      <c r="O396" s="30" t="s">
        <v>89</v>
      </c>
      <c r="P396" s="48" t="s">
        <v>706</v>
      </c>
      <c r="Q396" s="48" t="s">
        <v>405</v>
      </c>
      <c r="R396" s="161">
        <f>IFERROR(VLOOKUP(Q396,'PRODUCT TABLE'!$A$2:$B$26,2,FALSE),"-")</f>
        <v>44011010</v>
      </c>
      <c r="S396" s="48">
        <v>11860.0</v>
      </c>
      <c r="T396" s="48">
        <v>7.8</v>
      </c>
      <c r="U396" s="48" t="s">
        <v>95</v>
      </c>
      <c r="V396" s="161">
        <f t="shared" si="14"/>
        <v>92508</v>
      </c>
      <c r="W396" s="189">
        <v>0.025</v>
      </c>
      <c r="X396" s="189">
        <v>0.025</v>
      </c>
      <c r="Y396" s="30"/>
      <c r="Z396" s="169">
        <f t="shared" si="2"/>
        <v>97133</v>
      </c>
      <c r="AA396" s="167">
        <f t="shared" si="3"/>
        <v>-0.4</v>
      </c>
      <c r="AB396" s="161"/>
      <c r="AC396" s="161">
        <f t="shared" si="4"/>
        <v>92508</v>
      </c>
      <c r="AD396" s="161">
        <f t="shared" si="5"/>
        <v>2312.7</v>
      </c>
      <c r="AE396" s="161">
        <f t="shared" si="6"/>
        <v>2312.7</v>
      </c>
      <c r="AF396" s="167">
        <f t="shared" si="7"/>
        <v>0</v>
      </c>
      <c r="AG396" s="167">
        <f t="shared" si="8"/>
        <v>4625.4</v>
      </c>
      <c r="AH396" s="158"/>
      <c r="AI396" s="158"/>
    </row>
    <row r="397" ht="12.75" customHeight="1">
      <c r="A397" s="48" t="s">
        <v>760</v>
      </c>
      <c r="B397" s="160" t="str">
        <f>iferror(VLOOKUP((LEFT(A397,6)),CUSTOMER_DETAILS,2,FALSE),"-")</f>
        <v>BHUTTATVA BIOTECH</v>
      </c>
      <c r="C397" s="161" t="s">
        <v>89</v>
      </c>
      <c r="D397" s="191">
        <v>45991.0</v>
      </c>
      <c r="E397" s="161" t="s">
        <v>89</v>
      </c>
      <c r="F397" s="30" t="s">
        <v>89</v>
      </c>
      <c r="G397" s="30" t="s">
        <v>89</v>
      </c>
      <c r="H397" s="30" t="s">
        <v>89</v>
      </c>
      <c r="I397" s="48" t="s">
        <v>108</v>
      </c>
      <c r="J397" s="188">
        <f t="shared" si="15"/>
        <v>45991</v>
      </c>
      <c r="K397" s="48">
        <v>413.0</v>
      </c>
      <c r="L397" s="48" t="s">
        <v>108</v>
      </c>
      <c r="M397" s="48" t="s">
        <v>91</v>
      </c>
      <c r="N397" s="48" t="s">
        <v>761</v>
      </c>
      <c r="O397" s="30" t="s">
        <v>89</v>
      </c>
      <c r="Q397" s="48" t="s">
        <v>117</v>
      </c>
      <c r="R397" s="161">
        <f>IFERROR(VLOOKUP(Q397,'PRODUCT TABLE'!$A$2:$B$26,2,FALSE),"-")</f>
        <v>44011090</v>
      </c>
      <c r="S397" s="48">
        <v>510.0</v>
      </c>
      <c r="T397" s="48">
        <v>14.0</v>
      </c>
      <c r="U397" s="48" t="s">
        <v>95</v>
      </c>
      <c r="V397" s="161">
        <f t="shared" si="14"/>
        <v>7140</v>
      </c>
      <c r="W397" s="189">
        <v>0.025</v>
      </c>
      <c r="X397" s="189">
        <v>0.025</v>
      </c>
      <c r="Y397" s="30"/>
      <c r="Z397" s="169">
        <f t="shared" si="2"/>
        <v>8497</v>
      </c>
      <c r="AA397" s="167">
        <f t="shared" si="3"/>
        <v>0</v>
      </c>
      <c r="AB397" s="175">
        <v>1000.0</v>
      </c>
      <c r="AC397" s="161">
        <f t="shared" si="4"/>
        <v>7140</v>
      </c>
      <c r="AD397" s="161">
        <f t="shared" si="5"/>
        <v>178.5</v>
      </c>
      <c r="AE397" s="161">
        <f t="shared" si="6"/>
        <v>178.5</v>
      </c>
      <c r="AF397" s="167">
        <f t="shared" si="7"/>
        <v>0</v>
      </c>
      <c r="AG397" s="167">
        <f t="shared" si="8"/>
        <v>357</v>
      </c>
      <c r="AH397" s="158"/>
      <c r="AI397" s="158"/>
    </row>
    <row r="398" ht="12.75" customHeight="1">
      <c r="A398" s="48" t="s">
        <v>762</v>
      </c>
      <c r="B398" s="160" t="str">
        <f>iferror(VLOOKUP((LEFT(A398,6)),CUSTOMER_DETAILS,2,FALSE),"-")</f>
        <v>PARMESHWAR KALE</v>
      </c>
      <c r="C398" s="161" t="s">
        <v>89</v>
      </c>
      <c r="D398" s="191">
        <v>46008.0</v>
      </c>
      <c r="E398" s="161" t="s">
        <v>89</v>
      </c>
      <c r="F398" s="30" t="s">
        <v>89</v>
      </c>
      <c r="G398" s="30" t="s">
        <v>89</v>
      </c>
      <c r="H398" s="30" t="s">
        <v>89</v>
      </c>
      <c r="I398" s="48" t="s">
        <v>108</v>
      </c>
      <c r="J398" s="188">
        <f t="shared" si="15"/>
        <v>46008</v>
      </c>
      <c r="K398" s="48">
        <v>414.0</v>
      </c>
      <c r="L398" s="48" t="s">
        <v>108</v>
      </c>
      <c r="M398" s="48" t="s">
        <v>763</v>
      </c>
      <c r="N398" s="48" t="s">
        <v>764</v>
      </c>
      <c r="O398" s="30" t="s">
        <v>89</v>
      </c>
      <c r="P398" s="48" t="s">
        <v>763</v>
      </c>
      <c r="Q398" s="48" t="s">
        <v>117</v>
      </c>
      <c r="R398" s="161">
        <f>IFERROR(VLOOKUP(Q398,'PRODUCT TABLE'!$A$2:$B$26,2,FALSE),"-")</f>
        <v>44011090</v>
      </c>
      <c r="S398" s="48">
        <v>25.0</v>
      </c>
      <c r="T398" s="48">
        <v>11.0</v>
      </c>
      <c r="U398" s="48" t="s">
        <v>95</v>
      </c>
      <c r="V398" s="161">
        <f t="shared" si="14"/>
        <v>275</v>
      </c>
      <c r="Y398" s="186">
        <v>0.05</v>
      </c>
      <c r="Z398" s="169">
        <f t="shared" si="2"/>
        <v>1132</v>
      </c>
      <c r="AA398" s="167">
        <f t="shared" si="3"/>
        <v>0.25</v>
      </c>
      <c r="AB398" s="175">
        <v>843.0</v>
      </c>
      <c r="AC398" s="161">
        <f t="shared" si="4"/>
        <v>275</v>
      </c>
      <c r="AD398" s="161">
        <f t="shared" si="5"/>
        <v>0</v>
      </c>
      <c r="AE398" s="161">
        <f t="shared" si="6"/>
        <v>0</v>
      </c>
      <c r="AF398" s="167">
        <f t="shared" si="7"/>
        <v>13.75</v>
      </c>
      <c r="AG398" s="167">
        <f t="shared" si="8"/>
        <v>13.75</v>
      </c>
      <c r="AH398" s="158"/>
      <c r="AI398" s="158"/>
    </row>
    <row r="399" ht="12.75" customHeight="1">
      <c r="A399" s="48" t="s">
        <v>765</v>
      </c>
      <c r="B399" s="160" t="str">
        <f>iferror(VLOOKUP((LEFT(A399,6)),CUSTOMER_DETAILS,2,FALSE),"-")</f>
        <v>GREENWAKE ENERGY SOLUTIONS</v>
      </c>
      <c r="C399" s="161" t="s">
        <v>89</v>
      </c>
      <c r="D399" s="191">
        <v>46008.0</v>
      </c>
      <c r="E399" s="161" t="s">
        <v>89</v>
      </c>
      <c r="F399" s="30" t="s">
        <v>89</v>
      </c>
      <c r="G399" s="30"/>
      <c r="H399" s="30" t="s">
        <v>89</v>
      </c>
      <c r="I399" s="48" t="s">
        <v>108</v>
      </c>
      <c r="J399" s="188">
        <f t="shared" si="15"/>
        <v>46008</v>
      </c>
      <c r="K399" s="48">
        <v>415.0</v>
      </c>
      <c r="L399" s="48" t="s">
        <v>108</v>
      </c>
      <c r="M399" s="48" t="s">
        <v>763</v>
      </c>
      <c r="N399" s="48" t="s">
        <v>766</v>
      </c>
      <c r="O399" s="30" t="s">
        <v>89</v>
      </c>
      <c r="P399" s="48" t="s">
        <v>763</v>
      </c>
      <c r="Q399" s="48" t="s">
        <v>117</v>
      </c>
      <c r="R399" s="161">
        <f>IFERROR(VLOOKUP(Q399,'PRODUCT TABLE'!$A$2:$B$26,2,FALSE),"-")</f>
        <v>44011090</v>
      </c>
      <c r="S399" s="48">
        <v>25.0</v>
      </c>
      <c r="T399" s="48">
        <v>11.0</v>
      </c>
      <c r="U399" s="48" t="s">
        <v>95</v>
      </c>
      <c r="V399" s="161">
        <f t="shared" si="14"/>
        <v>275</v>
      </c>
      <c r="W399" s="189">
        <v>0.025</v>
      </c>
      <c r="X399" s="189">
        <v>0.025</v>
      </c>
      <c r="Y399" s="30"/>
      <c r="Z399" s="169">
        <f t="shared" si="2"/>
        <v>1016</v>
      </c>
      <c r="AA399" s="167">
        <f t="shared" si="3"/>
        <v>0.25</v>
      </c>
      <c r="AB399" s="175">
        <v>727.0</v>
      </c>
      <c r="AC399" s="161">
        <f t="shared" si="4"/>
        <v>275</v>
      </c>
      <c r="AD399" s="161">
        <f t="shared" si="5"/>
        <v>6.875</v>
      </c>
      <c r="AE399" s="161">
        <f t="shared" si="6"/>
        <v>6.875</v>
      </c>
      <c r="AF399" s="167">
        <f t="shared" si="7"/>
        <v>0</v>
      </c>
      <c r="AG399" s="167">
        <f t="shared" si="8"/>
        <v>13.75</v>
      </c>
      <c r="AH399" s="158"/>
      <c r="AI399" s="158"/>
    </row>
    <row r="400" ht="12.75" customHeight="1">
      <c r="A400" s="48" t="s">
        <v>62</v>
      </c>
      <c r="B400" s="160" t="str">
        <f>iferror(VLOOKUP((LEFT(A400,6)),CUSTOMER_DETAILS,2,FALSE),"-")</f>
        <v>EXOTIC HOSPITALITY NAGPUR PVT LTD</v>
      </c>
      <c r="C400" s="161" t="s">
        <v>89</v>
      </c>
      <c r="D400" s="191">
        <v>46021.0</v>
      </c>
      <c r="E400" s="161" t="s">
        <v>89</v>
      </c>
      <c r="F400" s="30" t="s">
        <v>89</v>
      </c>
      <c r="G400" s="164" t="s">
        <v>767</v>
      </c>
      <c r="H400" s="30" t="s">
        <v>89</v>
      </c>
      <c r="I400" s="48" t="s">
        <v>108</v>
      </c>
      <c r="J400" s="188">
        <f t="shared" si="15"/>
        <v>46021</v>
      </c>
      <c r="K400" s="48">
        <v>416.0</v>
      </c>
      <c r="L400" s="48" t="s">
        <v>108</v>
      </c>
      <c r="M400" s="48" t="s">
        <v>768</v>
      </c>
      <c r="N400" s="48" t="s">
        <v>769</v>
      </c>
      <c r="O400" s="30" t="s">
        <v>89</v>
      </c>
      <c r="P400" s="48" t="s">
        <v>770</v>
      </c>
      <c r="Q400" s="48" t="s">
        <v>94</v>
      </c>
      <c r="R400" s="161">
        <f>IFERROR(VLOOKUP(Q400,'PRODUCT TABLE'!$A$2:$B$26,2,FALSE),"-")</f>
        <v>44011090</v>
      </c>
      <c r="S400" s="48">
        <v>2120.0</v>
      </c>
      <c r="T400" s="48">
        <v>8.15</v>
      </c>
      <c r="U400" s="48" t="s">
        <v>95</v>
      </c>
      <c r="V400" s="161">
        <f t="shared" si="14"/>
        <v>17278</v>
      </c>
      <c r="Y400" s="186">
        <v>0.05</v>
      </c>
      <c r="Z400" s="169">
        <f t="shared" si="2"/>
        <v>18142</v>
      </c>
      <c r="AA400" s="167">
        <f t="shared" si="3"/>
        <v>0.1</v>
      </c>
      <c r="AB400" s="161"/>
      <c r="AC400" s="161">
        <f t="shared" si="4"/>
        <v>17278</v>
      </c>
      <c r="AD400" s="161">
        <f t="shared" si="5"/>
        <v>0</v>
      </c>
      <c r="AE400" s="161">
        <f t="shared" si="6"/>
        <v>0</v>
      </c>
      <c r="AF400" s="167">
        <f t="shared" si="7"/>
        <v>863.9</v>
      </c>
      <c r="AG400" s="167">
        <f t="shared" si="8"/>
        <v>863.9</v>
      </c>
      <c r="AH400" s="158"/>
      <c r="AI400" s="158"/>
    </row>
    <row r="401" ht="12.75" customHeight="1">
      <c r="A401" s="48" t="s">
        <v>771</v>
      </c>
      <c r="B401" s="160" t="str">
        <f>iferror(VLOOKUP((LEFT(A401,6)),CUSTOMER_DETAILS,2,FALSE),"-")</f>
        <v>VITUS OIL SOLUTIONS PVT LTD</v>
      </c>
      <c r="C401" s="161" t="s">
        <v>89</v>
      </c>
      <c r="D401" s="191">
        <v>46033.0</v>
      </c>
      <c r="E401" s="161" t="s">
        <v>89</v>
      </c>
      <c r="F401" s="30" t="s">
        <v>89</v>
      </c>
      <c r="G401" s="30" t="s">
        <v>89</v>
      </c>
      <c r="H401" s="30" t="s">
        <v>89</v>
      </c>
      <c r="I401" s="48" t="s">
        <v>108</v>
      </c>
      <c r="J401" s="188">
        <f t="shared" si="15"/>
        <v>46033</v>
      </c>
      <c r="K401" s="48">
        <v>417.0</v>
      </c>
      <c r="L401" s="48" t="s">
        <v>108</v>
      </c>
      <c r="M401" s="48" t="s">
        <v>768</v>
      </c>
      <c r="N401" s="48" t="s">
        <v>743</v>
      </c>
      <c r="O401" s="30" t="s">
        <v>89</v>
      </c>
      <c r="Q401" s="48" t="s">
        <v>694</v>
      </c>
      <c r="R401" s="161">
        <f>IFERROR(VLOOKUP(Q401,'PRODUCT TABLE'!$A$2:$B$26,2,FALSE),"-")</f>
        <v>4415</v>
      </c>
      <c r="S401" s="48">
        <v>46.0</v>
      </c>
      <c r="T401" s="48">
        <v>1470.0</v>
      </c>
      <c r="U401" s="48" t="s">
        <v>695</v>
      </c>
      <c r="V401" s="161">
        <f t="shared" si="14"/>
        <v>67620</v>
      </c>
      <c r="W401" s="189">
        <v>0.025</v>
      </c>
      <c r="X401" s="189">
        <v>0.025</v>
      </c>
      <c r="Y401" s="30"/>
      <c r="Z401" s="169">
        <f t="shared" si="2"/>
        <v>71001</v>
      </c>
      <c r="AA401" s="167">
        <f t="shared" si="3"/>
        <v>0</v>
      </c>
      <c r="AB401" s="161"/>
      <c r="AC401" s="161">
        <f t="shared" si="4"/>
        <v>67620</v>
      </c>
      <c r="AD401" s="161">
        <f t="shared" si="5"/>
        <v>1690.5</v>
      </c>
      <c r="AE401" s="161">
        <f t="shared" si="6"/>
        <v>1690.5</v>
      </c>
      <c r="AF401" s="167">
        <f t="shared" si="7"/>
        <v>0</v>
      </c>
      <c r="AG401" s="167">
        <f t="shared" si="8"/>
        <v>3381</v>
      </c>
      <c r="AH401" s="158"/>
      <c r="AI401" s="158"/>
    </row>
    <row r="402" ht="12.75" customHeight="1">
      <c r="A402" s="48" t="s">
        <v>20</v>
      </c>
      <c r="B402" s="160" t="str">
        <f>iferror(VLOOKUP((LEFT(A402,6)),CUSTOMER_DETAILS,2,FALSE),"-")</f>
        <v>GAURI,S TAVA TADKA</v>
      </c>
      <c r="C402" s="161" t="s">
        <v>89</v>
      </c>
      <c r="D402" s="191">
        <v>46102.0</v>
      </c>
      <c r="E402" s="161" t="s">
        <v>89</v>
      </c>
      <c r="F402" s="30" t="s">
        <v>89</v>
      </c>
      <c r="G402" s="30" t="s">
        <v>89</v>
      </c>
      <c r="H402" s="30" t="s">
        <v>89</v>
      </c>
      <c r="I402" s="48" t="s">
        <v>108</v>
      </c>
      <c r="J402" s="188">
        <f t="shared" si="15"/>
        <v>46102</v>
      </c>
      <c r="K402" s="48">
        <v>418.0</v>
      </c>
      <c r="L402" s="48" t="s">
        <v>108</v>
      </c>
      <c r="M402" s="48" t="s">
        <v>768</v>
      </c>
      <c r="N402" s="48" t="s">
        <v>125</v>
      </c>
      <c r="O402" s="30" t="s">
        <v>89</v>
      </c>
      <c r="Q402" s="48" t="s">
        <v>772</v>
      </c>
      <c r="R402" s="161" t="str">
        <f>IFERROR(VLOOKUP(Q402,'PRODUCT TABLE'!$A$2:$B$26,2,FALSE),"-")</f>
        <v/>
      </c>
      <c r="S402" s="48">
        <v>1.0</v>
      </c>
      <c r="T402" s="48">
        <v>19000.0</v>
      </c>
      <c r="U402" s="48" t="s">
        <v>695</v>
      </c>
      <c r="V402" s="161">
        <f t="shared" si="14"/>
        <v>19000</v>
      </c>
      <c r="W402" s="189">
        <v>0.025</v>
      </c>
      <c r="X402" s="189">
        <v>0.025</v>
      </c>
      <c r="Y402" s="30"/>
      <c r="Z402" s="169">
        <f t="shared" si="2"/>
        <v>19950</v>
      </c>
      <c r="AA402" s="167">
        <f t="shared" si="3"/>
        <v>0</v>
      </c>
      <c r="AB402" s="161"/>
      <c r="AC402" s="161">
        <f t="shared" si="4"/>
        <v>19000</v>
      </c>
      <c r="AD402" s="161">
        <f t="shared" si="5"/>
        <v>475</v>
      </c>
      <c r="AE402" s="161">
        <f t="shared" si="6"/>
        <v>475</v>
      </c>
      <c r="AF402" s="167">
        <f t="shared" si="7"/>
        <v>0</v>
      </c>
      <c r="AG402" s="167">
        <f t="shared" si="8"/>
        <v>950</v>
      </c>
      <c r="AH402" s="158"/>
      <c r="AI402" s="158"/>
    </row>
    <row r="403" ht="12.75" customHeight="1">
      <c r="A403" s="48" t="s">
        <v>773</v>
      </c>
      <c r="B403" s="160" t="str">
        <f>iferror(VLOOKUP((LEFT(A403,6)),CUSTOMER_DETAILS,2,FALSE),"-")</f>
        <v>SGB AMRUT PRASAD CLEANING HOUSE</v>
      </c>
      <c r="C403" s="161" t="s">
        <v>89</v>
      </c>
      <c r="D403" s="191">
        <v>46102.0</v>
      </c>
      <c r="E403" s="161" t="s">
        <v>89</v>
      </c>
      <c r="F403" s="30" t="s">
        <v>89</v>
      </c>
      <c r="G403" s="30" t="s">
        <v>89</v>
      </c>
      <c r="H403" s="30" t="s">
        <v>89</v>
      </c>
      <c r="I403" s="48" t="s">
        <v>108</v>
      </c>
      <c r="J403" s="188">
        <f t="shared" si="15"/>
        <v>46102</v>
      </c>
      <c r="K403" s="48">
        <v>419.0</v>
      </c>
      <c r="L403" s="48" t="s">
        <v>108</v>
      </c>
      <c r="M403" s="48" t="s">
        <v>768</v>
      </c>
      <c r="N403" s="48" t="s">
        <v>125</v>
      </c>
      <c r="O403" s="30" t="s">
        <v>89</v>
      </c>
      <c r="Q403" s="48" t="s">
        <v>772</v>
      </c>
      <c r="R403" s="161" t="str">
        <f>IFERROR(VLOOKUP(Q403,'PRODUCT TABLE'!$A$2:$B$26,2,FALSE),"-")</f>
        <v/>
      </c>
      <c r="S403" s="48">
        <v>1.0</v>
      </c>
      <c r="T403" s="48">
        <v>20000.0</v>
      </c>
      <c r="U403" s="48" t="s">
        <v>695</v>
      </c>
      <c r="V403" s="161">
        <f t="shared" si="14"/>
        <v>20000</v>
      </c>
      <c r="W403" s="189">
        <v>0.025</v>
      </c>
      <c r="X403" s="189">
        <v>0.025</v>
      </c>
      <c r="Y403" s="30"/>
      <c r="Z403" s="169">
        <f t="shared" si="2"/>
        <v>21000</v>
      </c>
      <c r="AA403" s="167">
        <f t="shared" si="3"/>
        <v>0</v>
      </c>
      <c r="AB403" s="161"/>
      <c r="AC403" s="161">
        <f t="shared" si="4"/>
        <v>20000</v>
      </c>
      <c r="AD403" s="161">
        <f t="shared" si="5"/>
        <v>500</v>
      </c>
      <c r="AE403" s="161">
        <f t="shared" si="6"/>
        <v>500</v>
      </c>
      <c r="AF403" s="167">
        <f t="shared" si="7"/>
        <v>0</v>
      </c>
      <c r="AG403" s="167">
        <f t="shared" si="8"/>
        <v>1000</v>
      </c>
      <c r="AH403" s="158"/>
      <c r="AI403" s="158"/>
    </row>
    <row r="404" ht="12.75" customHeight="1">
      <c r="A404" s="48" t="s">
        <v>774</v>
      </c>
      <c r="B404" s="160" t="str">
        <f>iferror(VLOOKUP((LEFT(A404,6)),CUSTOMER_DETAILS,2,FALSE),"-")</f>
        <v>EXOTIC HOSPITALITY NAGPUR PVT LTD</v>
      </c>
      <c r="C404" s="161" t="s">
        <v>89</v>
      </c>
      <c r="D404" s="191">
        <v>46102.0</v>
      </c>
      <c r="E404" s="161" t="s">
        <v>89</v>
      </c>
      <c r="F404" s="30" t="s">
        <v>89</v>
      </c>
      <c r="G404" s="30" t="s">
        <v>89</v>
      </c>
      <c r="H404" s="30" t="s">
        <v>89</v>
      </c>
      <c r="I404" s="48" t="s">
        <v>108</v>
      </c>
      <c r="J404" s="188">
        <f t="shared" si="15"/>
        <v>46102</v>
      </c>
      <c r="K404" s="48">
        <v>420.0</v>
      </c>
      <c r="L404" s="48" t="s">
        <v>108</v>
      </c>
      <c r="M404" s="48" t="s">
        <v>768</v>
      </c>
      <c r="N404" s="48" t="s">
        <v>769</v>
      </c>
      <c r="O404" s="30" t="s">
        <v>89</v>
      </c>
      <c r="Q404" s="48" t="s">
        <v>772</v>
      </c>
      <c r="R404" s="161" t="str">
        <f>IFERROR(VLOOKUP(Q404,'PRODUCT TABLE'!$A$2:$B$26,2,FALSE),"-")</f>
        <v/>
      </c>
      <c r="S404" s="48">
        <v>1.0</v>
      </c>
      <c r="T404" s="48">
        <v>17500.0</v>
      </c>
      <c r="U404" s="48" t="s">
        <v>695</v>
      </c>
      <c r="V404" s="161">
        <f t="shared" si="14"/>
        <v>17500</v>
      </c>
      <c r="W404" s="189">
        <v>0.025</v>
      </c>
      <c r="X404" s="189">
        <v>0.025</v>
      </c>
      <c r="Y404" s="30"/>
      <c r="Z404" s="169">
        <f t="shared" si="2"/>
        <v>18375</v>
      </c>
      <c r="AA404" s="167">
        <f t="shared" si="3"/>
        <v>0</v>
      </c>
      <c r="AB404" s="161"/>
      <c r="AC404" s="161">
        <f t="shared" si="4"/>
        <v>17500</v>
      </c>
      <c r="AD404" s="161">
        <f t="shared" si="5"/>
        <v>437.5</v>
      </c>
      <c r="AE404" s="161">
        <f t="shared" si="6"/>
        <v>437.5</v>
      </c>
      <c r="AF404" s="167">
        <f t="shared" si="7"/>
        <v>0</v>
      </c>
      <c r="AG404" s="167">
        <f t="shared" si="8"/>
        <v>875</v>
      </c>
      <c r="AH404" s="158"/>
      <c r="AI404" s="158"/>
    </row>
    <row r="405" ht="12.75" customHeight="1">
      <c r="A405" s="48" t="s">
        <v>775</v>
      </c>
      <c r="B405" s="160" t="str">
        <f>iferror(VLOOKUP((LEFT(A405,6)),CUSTOMER_DETAILS,2,FALSE),"-")</f>
        <v>SGB AMRUT PRASAD CLEANING HOUSE</v>
      </c>
      <c r="C405" s="161" t="s">
        <v>89</v>
      </c>
      <c r="D405" s="191">
        <v>46102.0</v>
      </c>
      <c r="E405" s="161" t="s">
        <v>89</v>
      </c>
      <c r="F405" s="30" t="s">
        <v>89</v>
      </c>
      <c r="G405" s="30" t="s">
        <v>89</v>
      </c>
      <c r="H405" s="30" t="s">
        <v>89</v>
      </c>
      <c r="I405" s="48" t="s">
        <v>108</v>
      </c>
      <c r="J405" s="188">
        <f t="shared" si="15"/>
        <v>46102</v>
      </c>
      <c r="K405" s="48">
        <v>421.0</v>
      </c>
      <c r="L405" s="48" t="s">
        <v>108</v>
      </c>
      <c r="M405" s="48" t="s">
        <v>768</v>
      </c>
      <c r="N405" s="48" t="s">
        <v>776</v>
      </c>
      <c r="O405" s="30" t="s">
        <v>89</v>
      </c>
      <c r="Q405" s="48" t="s">
        <v>117</v>
      </c>
      <c r="R405" s="161">
        <f>IFERROR(VLOOKUP(Q405,'PRODUCT TABLE'!$A$2:$B$26,2,FALSE),"-")</f>
        <v>44011090</v>
      </c>
      <c r="S405" s="48">
        <v>360.0</v>
      </c>
      <c r="T405" s="48">
        <v>15.0</v>
      </c>
      <c r="U405" s="48" t="s">
        <v>95</v>
      </c>
      <c r="V405" s="161">
        <f t="shared" si="14"/>
        <v>5400</v>
      </c>
      <c r="W405" s="189">
        <v>0.025</v>
      </c>
      <c r="X405" s="189">
        <v>0.025</v>
      </c>
      <c r="Y405" s="30"/>
      <c r="Z405" s="169">
        <f t="shared" si="2"/>
        <v>5670</v>
      </c>
      <c r="AA405" s="167">
        <f t="shared" si="3"/>
        <v>0</v>
      </c>
      <c r="AB405" s="161"/>
      <c r="AC405" s="161">
        <f t="shared" si="4"/>
        <v>5400</v>
      </c>
      <c r="AD405" s="161">
        <f t="shared" si="5"/>
        <v>135</v>
      </c>
      <c r="AE405" s="161">
        <f t="shared" si="6"/>
        <v>135</v>
      </c>
      <c r="AF405" s="167">
        <f t="shared" si="7"/>
        <v>0</v>
      </c>
      <c r="AG405" s="167">
        <f t="shared" si="8"/>
        <v>270</v>
      </c>
      <c r="AH405" s="158"/>
      <c r="AI405" s="158"/>
    </row>
    <row r="406" ht="12.75" customHeight="1">
      <c r="A406" s="48" t="s">
        <v>777</v>
      </c>
      <c r="B406" s="160" t="str">
        <f>iferror(VLOOKUP((LEFT(A406,6)),CUSTOMER_DETAILS,2,FALSE),"-")</f>
        <v>EXOTIC HOSPITALITY NAGPUR PVT LTD</v>
      </c>
      <c r="C406" s="161" t="s">
        <v>89</v>
      </c>
      <c r="D406" s="191">
        <v>46102.0</v>
      </c>
      <c r="E406" s="161" t="s">
        <v>89</v>
      </c>
      <c r="F406" s="30" t="s">
        <v>89</v>
      </c>
      <c r="G406" s="30" t="s">
        <v>89</v>
      </c>
      <c r="H406" s="30" t="s">
        <v>89</v>
      </c>
      <c r="I406" s="48" t="s">
        <v>108</v>
      </c>
      <c r="J406" s="188">
        <f t="shared" si="15"/>
        <v>46102</v>
      </c>
      <c r="K406" s="48">
        <v>422.0</v>
      </c>
      <c r="L406" s="48" t="s">
        <v>108</v>
      </c>
      <c r="M406" s="48" t="s">
        <v>768</v>
      </c>
      <c r="N406" s="48" t="s">
        <v>769</v>
      </c>
      <c r="O406" s="30" t="s">
        <v>89</v>
      </c>
      <c r="Q406" s="48" t="s">
        <v>117</v>
      </c>
      <c r="R406" s="161">
        <f>IFERROR(VLOOKUP(Q406,'PRODUCT TABLE'!$A$2:$B$26,2,FALSE),"-")</f>
        <v>44011090</v>
      </c>
      <c r="S406" s="48">
        <v>510.0</v>
      </c>
      <c r="T406" s="48">
        <v>14.0</v>
      </c>
      <c r="U406" s="48" t="s">
        <v>95</v>
      </c>
      <c r="V406" s="161">
        <f t="shared" si="14"/>
        <v>7140</v>
      </c>
      <c r="W406" s="189">
        <v>0.025</v>
      </c>
      <c r="X406" s="189">
        <v>0.025</v>
      </c>
      <c r="Y406" s="30"/>
      <c r="Z406" s="169">
        <f t="shared" si="2"/>
        <v>7497</v>
      </c>
      <c r="AA406" s="167">
        <f t="shared" si="3"/>
        <v>0</v>
      </c>
      <c r="AB406" s="161"/>
      <c r="AC406" s="161">
        <f t="shared" si="4"/>
        <v>7140</v>
      </c>
      <c r="AD406" s="161">
        <f t="shared" si="5"/>
        <v>178.5</v>
      </c>
      <c r="AE406" s="161">
        <f t="shared" si="6"/>
        <v>178.5</v>
      </c>
      <c r="AF406" s="167">
        <f t="shared" si="7"/>
        <v>0</v>
      </c>
      <c r="AG406" s="167">
        <f t="shared" si="8"/>
        <v>357</v>
      </c>
      <c r="AH406" s="158"/>
      <c r="AI406" s="158"/>
    </row>
    <row r="407" ht="12.75" customHeight="1">
      <c r="A407" s="48" t="s">
        <v>778</v>
      </c>
      <c r="B407" s="160" t="str">
        <f>iferror(VLOOKUP((LEFT(A407,6)),CUSTOMER_DETAILS,2,FALSE),"-")</f>
        <v>GAURI,S TAVA TADKA</v>
      </c>
      <c r="C407" s="161" t="s">
        <v>89</v>
      </c>
      <c r="D407" s="191">
        <v>46102.0</v>
      </c>
      <c r="E407" s="161" t="s">
        <v>89</v>
      </c>
      <c r="F407" s="30" t="s">
        <v>89</v>
      </c>
      <c r="G407" s="30" t="s">
        <v>89</v>
      </c>
      <c r="H407" s="30" t="s">
        <v>89</v>
      </c>
      <c r="I407" s="48" t="s">
        <v>108</v>
      </c>
      <c r="J407" s="188">
        <f t="shared" si="15"/>
        <v>46102</v>
      </c>
      <c r="K407" s="48">
        <v>423.0</v>
      </c>
      <c r="L407" s="48" t="s">
        <v>108</v>
      </c>
      <c r="M407" s="48" t="s">
        <v>768</v>
      </c>
      <c r="N407" s="48" t="s">
        <v>125</v>
      </c>
      <c r="O407" s="30" t="s">
        <v>89</v>
      </c>
      <c r="Q407" s="48" t="s">
        <v>117</v>
      </c>
      <c r="R407" s="161">
        <f>IFERROR(VLOOKUP(Q407,'PRODUCT TABLE'!$A$2:$B$26,2,FALSE),"-")</f>
        <v>44011090</v>
      </c>
      <c r="S407" s="48">
        <v>510.0</v>
      </c>
      <c r="T407" s="48">
        <v>14.0</v>
      </c>
      <c r="U407" s="48" t="s">
        <v>95</v>
      </c>
      <c r="V407" s="161">
        <f t="shared" si="14"/>
        <v>7140</v>
      </c>
      <c r="W407" s="189">
        <v>0.025</v>
      </c>
      <c r="X407" s="189">
        <v>0.025</v>
      </c>
      <c r="Y407" s="30"/>
      <c r="Z407" s="169">
        <f t="shared" si="2"/>
        <v>7497</v>
      </c>
      <c r="AA407" s="167">
        <f t="shared" si="3"/>
        <v>0</v>
      </c>
      <c r="AB407" s="161"/>
      <c r="AC407" s="161">
        <f t="shared" si="4"/>
        <v>7140</v>
      </c>
      <c r="AD407" s="161">
        <f t="shared" si="5"/>
        <v>178.5</v>
      </c>
      <c r="AE407" s="161">
        <f t="shared" si="6"/>
        <v>178.5</v>
      </c>
      <c r="AF407" s="167">
        <f t="shared" si="7"/>
        <v>0</v>
      </c>
      <c r="AG407" s="167">
        <f t="shared" si="8"/>
        <v>357</v>
      </c>
      <c r="AH407" s="158"/>
      <c r="AI407" s="158"/>
    </row>
    <row r="408" ht="12.75" customHeight="1">
      <c r="B408" s="160" t="str">
        <f>iferror(VLOOKUP((LEFT(A408,6)),CUSTOMER_DETAILS,2,FALSE),"-")</f>
        <v>-</v>
      </c>
      <c r="C408" s="161" t="s">
        <v>89</v>
      </c>
      <c r="D408" s="162"/>
      <c r="E408" s="161" t="s">
        <v>89</v>
      </c>
      <c r="F408" s="30" t="s">
        <v>89</v>
      </c>
      <c r="G408" s="30" t="s">
        <v>89</v>
      </c>
      <c r="H408" s="30" t="s">
        <v>89</v>
      </c>
      <c r="I408" s="48" t="s">
        <v>108</v>
      </c>
      <c r="J408" s="188" t="str">
        <f t="shared" si="15"/>
        <v/>
      </c>
      <c r="L408" s="48" t="s">
        <v>108</v>
      </c>
      <c r="O408" s="30" t="s">
        <v>89</v>
      </c>
      <c r="Q408" s="192"/>
      <c r="R408" s="161" t="str">
        <f>IFERROR(VLOOKUP(Q408,'PRODUCT TABLE'!$A$2:$B$26,2,FALSE),"-")</f>
        <v>-</v>
      </c>
      <c r="V408" s="161">
        <f t="shared" si="14"/>
        <v>0</v>
      </c>
      <c r="Y408" s="30"/>
      <c r="Z408" s="169">
        <f t="shared" si="2"/>
        <v>0</v>
      </c>
      <c r="AA408" s="167">
        <f t="shared" si="3"/>
        <v>0</v>
      </c>
      <c r="AB408" s="161"/>
      <c r="AC408" s="161">
        <f t="shared" si="4"/>
        <v>0</v>
      </c>
      <c r="AD408" s="161">
        <f t="shared" si="5"/>
        <v>0</v>
      </c>
      <c r="AE408" s="161">
        <f t="shared" si="6"/>
        <v>0</v>
      </c>
      <c r="AF408" s="167">
        <f t="shared" si="7"/>
        <v>0</v>
      </c>
      <c r="AG408" s="167">
        <f t="shared" si="8"/>
        <v>0</v>
      </c>
      <c r="AH408" s="158"/>
      <c r="AI408" s="158"/>
    </row>
    <row r="409" ht="12.75" customHeight="1">
      <c r="B409" s="160" t="str">
        <f>iferror(VLOOKUP((LEFT(A409,6)),CUSTOMER_DETAILS,2,FALSE),"-")</f>
        <v>-</v>
      </c>
      <c r="C409" s="161" t="s">
        <v>89</v>
      </c>
      <c r="D409" s="162"/>
      <c r="E409" s="161" t="s">
        <v>89</v>
      </c>
      <c r="F409" s="30" t="s">
        <v>89</v>
      </c>
      <c r="G409" s="30" t="s">
        <v>89</v>
      </c>
      <c r="H409" s="30" t="s">
        <v>89</v>
      </c>
      <c r="I409" s="48" t="s">
        <v>108</v>
      </c>
      <c r="J409" s="188" t="str">
        <f t="shared" si="15"/>
        <v/>
      </c>
      <c r="L409" s="48" t="s">
        <v>108</v>
      </c>
      <c r="O409" s="30" t="s">
        <v>89</v>
      </c>
      <c r="Q409" s="192"/>
      <c r="R409" s="161" t="str">
        <f>IFERROR(VLOOKUP(Q409,'PRODUCT TABLE'!$A$2:$B$26,2,FALSE),"-")</f>
        <v>-</v>
      </c>
      <c r="V409" s="161">
        <f t="shared" si="14"/>
        <v>0</v>
      </c>
      <c r="Y409" s="30"/>
      <c r="Z409" s="169">
        <f t="shared" si="2"/>
        <v>0</v>
      </c>
      <c r="AA409" s="167">
        <f t="shared" si="3"/>
        <v>0</v>
      </c>
      <c r="AB409" s="161"/>
      <c r="AC409" s="161">
        <f t="shared" si="4"/>
        <v>0</v>
      </c>
      <c r="AD409" s="161">
        <f t="shared" si="5"/>
        <v>0</v>
      </c>
      <c r="AE409" s="161">
        <f t="shared" si="6"/>
        <v>0</v>
      </c>
      <c r="AF409" s="167">
        <f t="shared" si="7"/>
        <v>0</v>
      </c>
      <c r="AG409" s="167">
        <f t="shared" si="8"/>
        <v>0</v>
      </c>
      <c r="AH409" s="158"/>
      <c r="AI409" s="158"/>
    </row>
    <row r="410" ht="12.75" customHeight="1">
      <c r="B410" s="160" t="str">
        <f>iferror(VLOOKUP((LEFT(A410,6)),CUSTOMER_DETAILS,2,FALSE),"-")</f>
        <v>-</v>
      </c>
      <c r="C410" s="161" t="s">
        <v>89</v>
      </c>
      <c r="D410" s="162"/>
      <c r="E410" s="161" t="s">
        <v>89</v>
      </c>
      <c r="F410" s="30" t="s">
        <v>89</v>
      </c>
      <c r="G410" s="30" t="s">
        <v>89</v>
      </c>
      <c r="H410" s="30" t="s">
        <v>89</v>
      </c>
      <c r="I410" s="48" t="s">
        <v>108</v>
      </c>
      <c r="J410" s="188" t="str">
        <f t="shared" si="15"/>
        <v/>
      </c>
      <c r="L410" s="48" t="s">
        <v>108</v>
      </c>
      <c r="O410" s="30" t="s">
        <v>89</v>
      </c>
      <c r="Q410" s="192"/>
      <c r="R410" s="161" t="str">
        <f>IFERROR(VLOOKUP(Q410,'PRODUCT TABLE'!$A$2:$B$26,2,FALSE),"-")</f>
        <v>-</v>
      </c>
      <c r="V410" s="161">
        <f t="shared" si="14"/>
        <v>0</v>
      </c>
      <c r="Y410" s="30"/>
      <c r="Z410" s="169">
        <f t="shared" si="2"/>
        <v>0</v>
      </c>
      <c r="AA410" s="167">
        <f t="shared" si="3"/>
        <v>0</v>
      </c>
      <c r="AB410" s="161"/>
      <c r="AC410" s="161">
        <f t="shared" si="4"/>
        <v>0</v>
      </c>
      <c r="AD410" s="161">
        <f t="shared" si="5"/>
        <v>0</v>
      </c>
      <c r="AE410" s="161">
        <f t="shared" si="6"/>
        <v>0</v>
      </c>
      <c r="AF410" s="167">
        <f t="shared" si="7"/>
        <v>0</v>
      </c>
      <c r="AG410" s="167">
        <f t="shared" si="8"/>
        <v>0</v>
      </c>
      <c r="AH410" s="158"/>
      <c r="AI410" s="158"/>
    </row>
    <row r="411" ht="12.75" customHeight="1">
      <c r="B411" s="160" t="str">
        <f>iferror(VLOOKUP((LEFT(A411,6)),CUSTOMER_DETAILS,2,FALSE),"-")</f>
        <v>-</v>
      </c>
      <c r="C411" s="161" t="s">
        <v>89</v>
      </c>
      <c r="D411" s="162"/>
      <c r="E411" s="161" t="s">
        <v>89</v>
      </c>
      <c r="F411" s="30" t="s">
        <v>89</v>
      </c>
      <c r="G411" s="30" t="s">
        <v>89</v>
      </c>
      <c r="H411" s="30" t="s">
        <v>89</v>
      </c>
      <c r="I411" s="48" t="s">
        <v>108</v>
      </c>
      <c r="J411" s="188" t="str">
        <f t="shared" si="15"/>
        <v/>
      </c>
      <c r="L411" s="48" t="s">
        <v>108</v>
      </c>
      <c r="O411" s="30" t="s">
        <v>89</v>
      </c>
      <c r="Q411" s="192"/>
      <c r="R411" s="161" t="str">
        <f>IFERROR(VLOOKUP(Q411,'PRODUCT TABLE'!$A$2:$B$26,2,FALSE),"-")</f>
        <v>-</v>
      </c>
      <c r="V411" s="161">
        <f t="shared" si="14"/>
        <v>0</v>
      </c>
      <c r="Y411" s="30"/>
      <c r="Z411" s="169">
        <f t="shared" si="2"/>
        <v>0</v>
      </c>
      <c r="AA411" s="167">
        <f t="shared" si="3"/>
        <v>0</v>
      </c>
      <c r="AB411" s="161"/>
      <c r="AC411" s="161">
        <f t="shared" si="4"/>
        <v>0</v>
      </c>
      <c r="AD411" s="161">
        <f t="shared" si="5"/>
        <v>0</v>
      </c>
      <c r="AE411" s="161">
        <f t="shared" si="6"/>
        <v>0</v>
      </c>
      <c r="AF411" s="167">
        <f t="shared" si="7"/>
        <v>0</v>
      </c>
      <c r="AG411" s="167">
        <f t="shared" si="8"/>
        <v>0</v>
      </c>
      <c r="AH411" s="158"/>
      <c r="AI411" s="158"/>
    </row>
    <row r="412" ht="12.75" customHeight="1">
      <c r="B412" s="160" t="str">
        <f>iferror(VLOOKUP((LEFT(A412,6)),CUSTOMER_DETAILS,2,FALSE),"-")</f>
        <v>-</v>
      </c>
      <c r="C412" s="161" t="s">
        <v>89</v>
      </c>
      <c r="D412" s="162"/>
      <c r="E412" s="161" t="s">
        <v>89</v>
      </c>
      <c r="F412" s="30" t="s">
        <v>89</v>
      </c>
      <c r="G412" s="30" t="s">
        <v>89</v>
      </c>
      <c r="H412" s="30" t="s">
        <v>89</v>
      </c>
      <c r="I412" s="48" t="s">
        <v>108</v>
      </c>
      <c r="J412" s="188" t="str">
        <f t="shared" si="15"/>
        <v/>
      </c>
      <c r="L412" s="48" t="s">
        <v>108</v>
      </c>
      <c r="O412" s="30" t="s">
        <v>89</v>
      </c>
      <c r="Q412" s="192"/>
      <c r="R412" s="161" t="str">
        <f>IFERROR(VLOOKUP(Q412,'PRODUCT TABLE'!$A$2:$B$26,2,FALSE),"-")</f>
        <v>-</v>
      </c>
      <c r="V412" s="161">
        <f t="shared" si="14"/>
        <v>0</v>
      </c>
      <c r="Y412" s="30"/>
      <c r="Z412" s="169">
        <f t="shared" si="2"/>
        <v>0</v>
      </c>
      <c r="AA412" s="167">
        <f t="shared" si="3"/>
        <v>0</v>
      </c>
      <c r="AB412" s="161"/>
      <c r="AC412" s="161">
        <f t="shared" si="4"/>
        <v>0</v>
      </c>
      <c r="AD412" s="161">
        <f t="shared" si="5"/>
        <v>0</v>
      </c>
      <c r="AE412" s="161">
        <f t="shared" si="6"/>
        <v>0</v>
      </c>
      <c r="AF412" s="167">
        <f t="shared" si="7"/>
        <v>0</v>
      </c>
      <c r="AG412" s="167">
        <f t="shared" si="8"/>
        <v>0</v>
      </c>
      <c r="AH412" s="158"/>
      <c r="AI412" s="158"/>
    </row>
    <row r="413" ht="12.75" customHeight="1">
      <c r="B413" s="160" t="str">
        <f>iferror(VLOOKUP((LEFT(A413,6)),CUSTOMER_DETAILS,2,FALSE),"-")</f>
        <v>-</v>
      </c>
      <c r="C413" s="161" t="s">
        <v>89</v>
      </c>
      <c r="D413" s="162"/>
      <c r="E413" s="161" t="s">
        <v>89</v>
      </c>
      <c r="F413" s="30" t="s">
        <v>89</v>
      </c>
      <c r="G413" s="30" t="s">
        <v>89</v>
      </c>
      <c r="H413" s="30" t="s">
        <v>89</v>
      </c>
      <c r="I413" s="48" t="s">
        <v>108</v>
      </c>
      <c r="J413" s="188" t="str">
        <f t="shared" si="15"/>
        <v/>
      </c>
      <c r="L413" s="48" t="s">
        <v>108</v>
      </c>
      <c r="O413" s="30" t="s">
        <v>89</v>
      </c>
      <c r="Q413" s="192"/>
      <c r="R413" s="161" t="str">
        <f>IFERROR(VLOOKUP(Q413,'PRODUCT TABLE'!$A$2:$B$26,2,FALSE),"-")</f>
        <v>-</v>
      </c>
      <c r="V413" s="161">
        <f t="shared" si="14"/>
        <v>0</v>
      </c>
      <c r="Y413" s="30"/>
      <c r="Z413" s="169">
        <f t="shared" si="2"/>
        <v>0</v>
      </c>
      <c r="AA413" s="167">
        <f t="shared" si="3"/>
        <v>0</v>
      </c>
      <c r="AB413" s="161"/>
      <c r="AC413" s="161">
        <f t="shared" si="4"/>
        <v>0</v>
      </c>
      <c r="AD413" s="161">
        <f t="shared" si="5"/>
        <v>0</v>
      </c>
      <c r="AE413" s="161">
        <f t="shared" si="6"/>
        <v>0</v>
      </c>
      <c r="AF413" s="167">
        <f t="shared" si="7"/>
        <v>0</v>
      </c>
      <c r="AG413" s="167">
        <f t="shared" si="8"/>
        <v>0</v>
      </c>
      <c r="AH413" s="158"/>
      <c r="AI413" s="158"/>
    </row>
    <row r="414" ht="12.75" customHeight="1">
      <c r="B414" s="160" t="str">
        <f>iferror(VLOOKUP((LEFT(A414,6)),CUSTOMER_DETAILS,2,FALSE),"-")</f>
        <v>-</v>
      </c>
      <c r="C414" s="161" t="s">
        <v>89</v>
      </c>
      <c r="D414" s="162"/>
      <c r="E414" s="161" t="s">
        <v>89</v>
      </c>
      <c r="F414" s="30" t="s">
        <v>89</v>
      </c>
      <c r="G414" s="30" t="s">
        <v>89</v>
      </c>
      <c r="H414" s="30" t="s">
        <v>89</v>
      </c>
      <c r="I414" s="48" t="s">
        <v>108</v>
      </c>
      <c r="J414" s="188" t="str">
        <f t="shared" si="15"/>
        <v/>
      </c>
      <c r="L414" s="48" t="s">
        <v>108</v>
      </c>
      <c r="O414" s="30" t="s">
        <v>89</v>
      </c>
      <c r="Q414" s="192"/>
      <c r="R414" s="161" t="str">
        <f>IFERROR(VLOOKUP(Q414,'PRODUCT TABLE'!$A$2:$B$26,2,FALSE),"-")</f>
        <v>-</v>
      </c>
      <c r="V414" s="161">
        <f t="shared" si="14"/>
        <v>0</v>
      </c>
      <c r="Y414" s="30"/>
      <c r="Z414" s="169">
        <f t="shared" si="2"/>
        <v>0</v>
      </c>
      <c r="AA414" s="167">
        <f t="shared" si="3"/>
        <v>0</v>
      </c>
      <c r="AB414" s="161"/>
      <c r="AC414" s="161">
        <f t="shared" si="4"/>
        <v>0</v>
      </c>
      <c r="AD414" s="161">
        <f t="shared" si="5"/>
        <v>0</v>
      </c>
      <c r="AE414" s="161">
        <f t="shared" si="6"/>
        <v>0</v>
      </c>
      <c r="AF414" s="167">
        <f t="shared" si="7"/>
        <v>0</v>
      </c>
      <c r="AG414" s="167">
        <f t="shared" si="8"/>
        <v>0</v>
      </c>
      <c r="AH414" s="158"/>
      <c r="AI414" s="158"/>
    </row>
    <row r="415" ht="12.75" customHeight="1">
      <c r="B415" s="160" t="str">
        <f>iferror(VLOOKUP((LEFT(A415,6)),CUSTOMER_DETAILS,2,FALSE),"-")</f>
        <v>-</v>
      </c>
      <c r="C415" s="161" t="s">
        <v>89</v>
      </c>
      <c r="D415" s="162"/>
      <c r="E415" s="161" t="s">
        <v>89</v>
      </c>
      <c r="F415" s="30" t="s">
        <v>89</v>
      </c>
      <c r="G415" s="30" t="s">
        <v>89</v>
      </c>
      <c r="H415" s="30" t="s">
        <v>89</v>
      </c>
      <c r="I415" s="48" t="s">
        <v>108</v>
      </c>
      <c r="J415" s="188" t="str">
        <f t="shared" si="15"/>
        <v/>
      </c>
      <c r="L415" s="48" t="s">
        <v>108</v>
      </c>
      <c r="O415" s="30" t="s">
        <v>89</v>
      </c>
      <c r="Q415" s="192"/>
      <c r="R415" s="161" t="str">
        <f>IFERROR(VLOOKUP(Q415,'PRODUCT TABLE'!$A$2:$B$26,2,FALSE),"-")</f>
        <v>-</v>
      </c>
      <c r="V415" s="161">
        <f t="shared" si="14"/>
        <v>0</v>
      </c>
      <c r="Y415" s="30"/>
      <c r="Z415" s="169">
        <f t="shared" si="2"/>
        <v>0</v>
      </c>
      <c r="AA415" s="167">
        <f t="shared" si="3"/>
        <v>0</v>
      </c>
      <c r="AB415" s="161"/>
      <c r="AC415" s="161">
        <f t="shared" si="4"/>
        <v>0</v>
      </c>
      <c r="AD415" s="161">
        <f t="shared" si="5"/>
        <v>0</v>
      </c>
      <c r="AE415" s="161">
        <f t="shared" si="6"/>
        <v>0</v>
      </c>
      <c r="AF415" s="167">
        <f t="shared" si="7"/>
        <v>0</v>
      </c>
      <c r="AG415" s="167">
        <f t="shared" si="8"/>
        <v>0</v>
      </c>
      <c r="AH415" s="158"/>
      <c r="AI415" s="158"/>
    </row>
    <row r="416" ht="12.75" customHeight="1">
      <c r="B416" s="160" t="str">
        <f>iferror(VLOOKUP((LEFT(A416,6)),CUSTOMER_DETAILS,2,FALSE),"-")</f>
        <v>-</v>
      </c>
      <c r="C416" s="161" t="s">
        <v>89</v>
      </c>
      <c r="D416" s="162"/>
      <c r="E416" s="161" t="s">
        <v>89</v>
      </c>
      <c r="F416" s="30" t="s">
        <v>89</v>
      </c>
      <c r="G416" s="30" t="s">
        <v>89</v>
      </c>
      <c r="H416" s="30" t="s">
        <v>89</v>
      </c>
      <c r="I416" s="48" t="s">
        <v>108</v>
      </c>
      <c r="J416" s="188" t="str">
        <f t="shared" si="15"/>
        <v/>
      </c>
      <c r="L416" s="48" t="s">
        <v>108</v>
      </c>
      <c r="O416" s="30" t="s">
        <v>89</v>
      </c>
      <c r="Q416" s="192"/>
      <c r="R416" s="161" t="str">
        <f>IFERROR(VLOOKUP(Q416,'PRODUCT TABLE'!$A$2:$B$26,2,FALSE),"-")</f>
        <v>-</v>
      </c>
      <c r="V416" s="161">
        <f t="shared" si="14"/>
        <v>0</v>
      </c>
      <c r="Y416" s="30"/>
      <c r="Z416" s="169">
        <f t="shared" si="2"/>
        <v>0</v>
      </c>
      <c r="AA416" s="167">
        <f t="shared" si="3"/>
        <v>0</v>
      </c>
      <c r="AB416" s="161"/>
      <c r="AC416" s="161">
        <f t="shared" si="4"/>
        <v>0</v>
      </c>
      <c r="AD416" s="161">
        <f t="shared" si="5"/>
        <v>0</v>
      </c>
      <c r="AE416" s="161">
        <f t="shared" si="6"/>
        <v>0</v>
      </c>
      <c r="AF416" s="167">
        <f t="shared" si="7"/>
        <v>0</v>
      </c>
      <c r="AG416" s="167">
        <f t="shared" si="8"/>
        <v>0</v>
      </c>
      <c r="AH416" s="158"/>
      <c r="AI416" s="158"/>
    </row>
    <row r="417" ht="12.75" customHeight="1">
      <c r="B417" s="160" t="str">
        <f>iferror(VLOOKUP((LEFT(A417,6)),CUSTOMER_DETAILS,2,FALSE),"-")</f>
        <v>-</v>
      </c>
      <c r="C417" s="161" t="s">
        <v>89</v>
      </c>
      <c r="D417" s="162"/>
      <c r="E417" s="161" t="s">
        <v>89</v>
      </c>
      <c r="F417" s="30" t="s">
        <v>89</v>
      </c>
      <c r="G417" s="30" t="s">
        <v>89</v>
      </c>
      <c r="H417" s="30" t="s">
        <v>89</v>
      </c>
      <c r="I417" s="48" t="s">
        <v>108</v>
      </c>
      <c r="J417" s="188" t="str">
        <f t="shared" si="15"/>
        <v/>
      </c>
      <c r="L417" s="48" t="s">
        <v>108</v>
      </c>
      <c r="O417" s="30" t="s">
        <v>89</v>
      </c>
      <c r="Q417" s="192"/>
      <c r="R417" s="161" t="str">
        <f>IFERROR(VLOOKUP(Q417,'PRODUCT TABLE'!$A$2:$B$26,2,FALSE),"-")</f>
        <v>-</v>
      </c>
      <c r="V417" s="161">
        <f t="shared" si="14"/>
        <v>0</v>
      </c>
      <c r="Y417" s="30"/>
      <c r="Z417" s="169">
        <f t="shared" si="2"/>
        <v>0</v>
      </c>
      <c r="AA417" s="167">
        <f t="shared" si="3"/>
        <v>0</v>
      </c>
      <c r="AB417" s="161"/>
      <c r="AC417" s="161">
        <f t="shared" si="4"/>
        <v>0</v>
      </c>
      <c r="AD417" s="161">
        <f t="shared" si="5"/>
        <v>0</v>
      </c>
      <c r="AE417" s="161">
        <f t="shared" si="6"/>
        <v>0</v>
      </c>
      <c r="AF417" s="167">
        <f t="shared" si="7"/>
        <v>0</v>
      </c>
      <c r="AG417" s="167">
        <f t="shared" si="8"/>
        <v>0</v>
      </c>
      <c r="AH417" s="158"/>
      <c r="AI417" s="158"/>
    </row>
    <row r="418" ht="12.75" customHeight="1">
      <c r="B418" s="160" t="str">
        <f>iferror(VLOOKUP((LEFT(A418,6)),CUSTOMER_DETAILS,2,FALSE),"-")</f>
        <v>-</v>
      </c>
      <c r="C418" s="161" t="s">
        <v>89</v>
      </c>
      <c r="D418" s="162"/>
      <c r="E418" s="161" t="s">
        <v>89</v>
      </c>
      <c r="F418" s="30" t="s">
        <v>89</v>
      </c>
      <c r="G418" s="30" t="s">
        <v>89</v>
      </c>
      <c r="H418" s="30" t="s">
        <v>89</v>
      </c>
      <c r="I418" s="48" t="s">
        <v>108</v>
      </c>
      <c r="J418" s="188" t="str">
        <f t="shared" si="15"/>
        <v/>
      </c>
      <c r="L418" s="48" t="s">
        <v>108</v>
      </c>
      <c r="O418" s="30" t="s">
        <v>89</v>
      </c>
      <c r="Q418" s="192"/>
      <c r="R418" s="161" t="str">
        <f>IFERROR(VLOOKUP(Q418,'PRODUCT TABLE'!$A$2:$B$26,2,FALSE),"-")</f>
        <v>-</v>
      </c>
      <c r="V418" s="161">
        <f t="shared" si="14"/>
        <v>0</v>
      </c>
      <c r="Y418" s="30"/>
      <c r="Z418" s="169">
        <f t="shared" si="2"/>
        <v>0</v>
      </c>
      <c r="AA418" s="167">
        <f t="shared" si="3"/>
        <v>0</v>
      </c>
      <c r="AB418" s="161"/>
      <c r="AC418" s="161">
        <f t="shared" si="4"/>
        <v>0</v>
      </c>
      <c r="AD418" s="161">
        <f t="shared" si="5"/>
        <v>0</v>
      </c>
      <c r="AE418" s="161">
        <f t="shared" si="6"/>
        <v>0</v>
      </c>
      <c r="AF418" s="167">
        <f t="shared" si="7"/>
        <v>0</v>
      </c>
      <c r="AG418" s="167">
        <f t="shared" si="8"/>
        <v>0</v>
      </c>
      <c r="AH418" s="158"/>
      <c r="AI418" s="158"/>
    </row>
    <row r="419" ht="12.75" customHeight="1">
      <c r="B419" s="160" t="str">
        <f>iferror(VLOOKUP((LEFT(A419,6)),CUSTOMER_DETAILS,2,FALSE),"-")</f>
        <v>-</v>
      </c>
      <c r="C419" s="161" t="s">
        <v>89</v>
      </c>
      <c r="D419" s="162"/>
      <c r="E419" s="161" t="s">
        <v>89</v>
      </c>
      <c r="F419" s="30" t="s">
        <v>89</v>
      </c>
      <c r="G419" s="30" t="s">
        <v>89</v>
      </c>
      <c r="H419" s="30" t="s">
        <v>89</v>
      </c>
      <c r="I419" s="48" t="s">
        <v>108</v>
      </c>
      <c r="J419" s="188" t="str">
        <f t="shared" si="15"/>
        <v/>
      </c>
      <c r="L419" s="48" t="s">
        <v>108</v>
      </c>
      <c r="O419" s="30" t="s">
        <v>89</v>
      </c>
      <c r="Q419" s="192"/>
      <c r="R419" s="161" t="str">
        <f>IFERROR(VLOOKUP(Q419,'PRODUCT TABLE'!$A$2:$B$26,2,FALSE),"-")</f>
        <v>-</v>
      </c>
      <c r="V419" s="161">
        <f t="shared" si="14"/>
        <v>0</v>
      </c>
      <c r="Y419" s="30"/>
      <c r="Z419" s="169">
        <f t="shared" si="2"/>
        <v>0</v>
      </c>
      <c r="AA419" s="167">
        <f t="shared" si="3"/>
        <v>0</v>
      </c>
      <c r="AB419" s="161"/>
      <c r="AC419" s="161">
        <f t="shared" si="4"/>
        <v>0</v>
      </c>
      <c r="AD419" s="161">
        <f t="shared" si="5"/>
        <v>0</v>
      </c>
      <c r="AE419" s="161">
        <f t="shared" si="6"/>
        <v>0</v>
      </c>
      <c r="AF419" s="167">
        <f t="shared" si="7"/>
        <v>0</v>
      </c>
      <c r="AG419" s="167">
        <f t="shared" si="8"/>
        <v>0</v>
      </c>
      <c r="AH419" s="158"/>
      <c r="AI419" s="158"/>
    </row>
    <row r="420" ht="12.75" customHeight="1">
      <c r="B420" s="160" t="str">
        <f>iferror(VLOOKUP((LEFT(A420,6)),CUSTOMER_DETAILS,2,FALSE),"-")</f>
        <v>-</v>
      </c>
      <c r="C420" s="161" t="s">
        <v>89</v>
      </c>
      <c r="D420" s="162"/>
      <c r="E420" s="161" t="s">
        <v>89</v>
      </c>
      <c r="F420" s="30" t="s">
        <v>89</v>
      </c>
      <c r="G420" s="30" t="s">
        <v>89</v>
      </c>
      <c r="H420" s="30" t="s">
        <v>89</v>
      </c>
      <c r="I420" s="48" t="s">
        <v>108</v>
      </c>
      <c r="J420" s="188" t="str">
        <f t="shared" si="15"/>
        <v/>
      </c>
      <c r="L420" s="48" t="s">
        <v>108</v>
      </c>
      <c r="O420" s="30" t="s">
        <v>89</v>
      </c>
      <c r="Q420" s="192"/>
      <c r="R420" s="161" t="str">
        <f>IFERROR(VLOOKUP(Q420,'PRODUCT TABLE'!$A$2:$B$26,2,FALSE),"-")</f>
        <v>-</v>
      </c>
      <c r="V420" s="161">
        <f t="shared" si="14"/>
        <v>0</v>
      </c>
      <c r="Y420" s="30"/>
      <c r="Z420" s="169">
        <f t="shared" si="2"/>
        <v>0</v>
      </c>
      <c r="AA420" s="167">
        <f t="shared" si="3"/>
        <v>0</v>
      </c>
      <c r="AB420" s="161"/>
      <c r="AC420" s="161">
        <f t="shared" si="4"/>
        <v>0</v>
      </c>
      <c r="AD420" s="161">
        <f t="shared" si="5"/>
        <v>0</v>
      </c>
      <c r="AE420" s="161">
        <f t="shared" si="6"/>
        <v>0</v>
      </c>
      <c r="AF420" s="167">
        <f t="shared" si="7"/>
        <v>0</v>
      </c>
      <c r="AG420" s="167">
        <f t="shared" si="8"/>
        <v>0</v>
      </c>
      <c r="AH420" s="158"/>
      <c r="AI420" s="158"/>
    </row>
    <row r="421" ht="12.75" customHeight="1">
      <c r="B421" s="160" t="str">
        <f>iferror(VLOOKUP((LEFT(A421,6)),CUSTOMER_DETAILS,2,FALSE),"-")</f>
        <v>-</v>
      </c>
      <c r="C421" s="161" t="s">
        <v>89</v>
      </c>
      <c r="D421" s="162"/>
      <c r="E421" s="161" t="s">
        <v>89</v>
      </c>
      <c r="F421" s="30" t="s">
        <v>89</v>
      </c>
      <c r="G421" s="30" t="s">
        <v>89</v>
      </c>
      <c r="H421" s="30" t="s">
        <v>89</v>
      </c>
      <c r="I421" s="48" t="s">
        <v>108</v>
      </c>
      <c r="J421" s="188" t="str">
        <f t="shared" si="15"/>
        <v/>
      </c>
      <c r="L421" s="48" t="s">
        <v>108</v>
      </c>
      <c r="O421" s="30" t="s">
        <v>89</v>
      </c>
      <c r="Q421" s="192"/>
      <c r="R421" s="161" t="str">
        <f>IFERROR(VLOOKUP(Q421,'PRODUCT TABLE'!$A$2:$B$26,2,FALSE),"-")</f>
        <v>-</v>
      </c>
      <c r="V421" s="161">
        <f t="shared" si="14"/>
        <v>0</v>
      </c>
      <c r="Y421" s="30"/>
      <c r="Z421" s="169">
        <f t="shared" si="2"/>
        <v>0</v>
      </c>
      <c r="AA421" s="167">
        <f t="shared" si="3"/>
        <v>0</v>
      </c>
      <c r="AB421" s="161"/>
      <c r="AC421" s="161">
        <f t="shared" si="4"/>
        <v>0</v>
      </c>
      <c r="AD421" s="161">
        <f t="shared" si="5"/>
        <v>0</v>
      </c>
      <c r="AE421" s="161">
        <f t="shared" si="6"/>
        <v>0</v>
      </c>
      <c r="AF421" s="167">
        <f t="shared" si="7"/>
        <v>0</v>
      </c>
      <c r="AG421" s="167">
        <f t="shared" si="8"/>
        <v>0</v>
      </c>
      <c r="AH421" s="158"/>
      <c r="AI421" s="158"/>
    </row>
    <row r="422" ht="12.75" customHeight="1">
      <c r="B422" s="160" t="str">
        <f>iferror(VLOOKUP((LEFT(A422,6)),CUSTOMER_DETAILS,2,FALSE),"-")</f>
        <v>-</v>
      </c>
      <c r="C422" s="161" t="s">
        <v>89</v>
      </c>
      <c r="D422" s="162"/>
      <c r="E422" s="161" t="s">
        <v>89</v>
      </c>
      <c r="F422" s="30" t="s">
        <v>89</v>
      </c>
      <c r="G422" s="30" t="s">
        <v>89</v>
      </c>
      <c r="H422" s="30" t="s">
        <v>89</v>
      </c>
      <c r="I422" s="48" t="s">
        <v>108</v>
      </c>
      <c r="J422" s="188" t="str">
        <f t="shared" si="15"/>
        <v/>
      </c>
      <c r="L422" s="48" t="s">
        <v>108</v>
      </c>
      <c r="O422" s="30" t="s">
        <v>89</v>
      </c>
      <c r="Q422" s="192"/>
      <c r="R422" s="161" t="str">
        <f>IFERROR(VLOOKUP(Q422,'PRODUCT TABLE'!$A$2:$B$26,2,FALSE),"-")</f>
        <v>-</v>
      </c>
      <c r="V422" s="161">
        <f t="shared" si="14"/>
        <v>0</v>
      </c>
      <c r="Y422" s="30"/>
      <c r="Z422" s="169">
        <f t="shared" si="2"/>
        <v>0</v>
      </c>
      <c r="AA422" s="167">
        <f t="shared" si="3"/>
        <v>0</v>
      </c>
      <c r="AB422" s="161"/>
      <c r="AC422" s="161">
        <f t="shared" si="4"/>
        <v>0</v>
      </c>
      <c r="AD422" s="161">
        <f t="shared" si="5"/>
        <v>0</v>
      </c>
      <c r="AE422" s="161">
        <f t="shared" si="6"/>
        <v>0</v>
      </c>
      <c r="AF422" s="167">
        <f t="shared" si="7"/>
        <v>0</v>
      </c>
      <c r="AG422" s="167">
        <f t="shared" si="8"/>
        <v>0</v>
      </c>
      <c r="AH422" s="158"/>
      <c r="AI422" s="158"/>
    </row>
    <row r="423" ht="12.75" customHeight="1">
      <c r="B423" s="160" t="str">
        <f>iferror(VLOOKUP((LEFT(A423,6)),CUSTOMER_DETAILS,2,FALSE),"-")</f>
        <v>-</v>
      </c>
      <c r="C423" s="161" t="s">
        <v>89</v>
      </c>
      <c r="D423" s="162"/>
      <c r="E423" s="161" t="s">
        <v>89</v>
      </c>
      <c r="F423" s="30" t="s">
        <v>89</v>
      </c>
      <c r="G423" s="30" t="s">
        <v>89</v>
      </c>
      <c r="H423" s="30" t="s">
        <v>89</v>
      </c>
      <c r="I423" s="48" t="s">
        <v>108</v>
      </c>
      <c r="J423" s="188" t="str">
        <f t="shared" si="15"/>
        <v/>
      </c>
      <c r="L423" s="48" t="s">
        <v>108</v>
      </c>
      <c r="O423" s="30" t="s">
        <v>89</v>
      </c>
      <c r="Q423" s="192"/>
      <c r="R423" s="161" t="str">
        <f>IFERROR(VLOOKUP(Q423,'PRODUCT TABLE'!$A$2:$B$26,2,FALSE),"-")</f>
        <v>-</v>
      </c>
      <c r="V423" s="161">
        <f t="shared" si="14"/>
        <v>0</v>
      </c>
      <c r="Y423" s="30"/>
      <c r="Z423" s="169">
        <f t="shared" si="2"/>
        <v>0</v>
      </c>
      <c r="AA423" s="167">
        <f t="shared" si="3"/>
        <v>0</v>
      </c>
      <c r="AB423" s="161"/>
      <c r="AC423" s="161">
        <f t="shared" si="4"/>
        <v>0</v>
      </c>
      <c r="AD423" s="161">
        <f t="shared" si="5"/>
        <v>0</v>
      </c>
      <c r="AE423" s="161">
        <f t="shared" si="6"/>
        <v>0</v>
      </c>
      <c r="AF423" s="167">
        <f t="shared" si="7"/>
        <v>0</v>
      </c>
      <c r="AG423" s="167">
        <f t="shared" si="8"/>
        <v>0</v>
      </c>
      <c r="AH423" s="158"/>
      <c r="AI423" s="158"/>
    </row>
    <row r="424" ht="12.75" customHeight="1">
      <c r="B424" s="160" t="str">
        <f>iferror(VLOOKUP((LEFT(A424,6)),CUSTOMER_DETAILS,2,FALSE),"-")</f>
        <v>-</v>
      </c>
      <c r="C424" s="161" t="s">
        <v>89</v>
      </c>
      <c r="D424" s="162"/>
      <c r="E424" s="161" t="s">
        <v>89</v>
      </c>
      <c r="F424" s="30" t="s">
        <v>89</v>
      </c>
      <c r="G424" s="30" t="s">
        <v>89</v>
      </c>
      <c r="H424" s="30" t="s">
        <v>89</v>
      </c>
      <c r="I424" s="48" t="s">
        <v>108</v>
      </c>
      <c r="J424" s="188" t="str">
        <f t="shared" si="15"/>
        <v/>
      </c>
      <c r="L424" s="48" t="s">
        <v>108</v>
      </c>
      <c r="O424" s="30" t="s">
        <v>89</v>
      </c>
      <c r="Q424" s="192"/>
      <c r="R424" s="161" t="str">
        <f>IFERROR(VLOOKUP(Q424,'PRODUCT TABLE'!$A$2:$B$26,2,FALSE),"-")</f>
        <v>-</v>
      </c>
      <c r="V424" s="161">
        <f t="shared" si="14"/>
        <v>0</v>
      </c>
      <c r="Y424" s="30"/>
      <c r="Z424" s="169">
        <f t="shared" si="2"/>
        <v>0</v>
      </c>
      <c r="AA424" s="167">
        <f t="shared" si="3"/>
        <v>0</v>
      </c>
      <c r="AB424" s="161"/>
      <c r="AC424" s="161">
        <f t="shared" si="4"/>
        <v>0</v>
      </c>
      <c r="AD424" s="161">
        <f t="shared" si="5"/>
        <v>0</v>
      </c>
      <c r="AE424" s="161">
        <f t="shared" si="6"/>
        <v>0</v>
      </c>
      <c r="AF424" s="167">
        <f t="shared" si="7"/>
        <v>0</v>
      </c>
      <c r="AG424" s="167">
        <f t="shared" si="8"/>
        <v>0</v>
      </c>
      <c r="AH424" s="158"/>
      <c r="AI424" s="158"/>
    </row>
    <row r="425" ht="12.75" customHeight="1">
      <c r="B425" s="160" t="str">
        <f>iferror(VLOOKUP((LEFT(A425,6)),CUSTOMER_DETAILS,2,FALSE),"-")</f>
        <v>-</v>
      </c>
      <c r="C425" s="161" t="s">
        <v>89</v>
      </c>
      <c r="D425" s="162"/>
      <c r="E425" s="161" t="s">
        <v>89</v>
      </c>
      <c r="F425" s="30" t="s">
        <v>89</v>
      </c>
      <c r="G425" s="30" t="s">
        <v>89</v>
      </c>
      <c r="H425" s="30" t="s">
        <v>89</v>
      </c>
      <c r="I425" s="48" t="s">
        <v>108</v>
      </c>
      <c r="J425" s="188" t="str">
        <f t="shared" si="15"/>
        <v/>
      </c>
      <c r="L425" s="48" t="s">
        <v>108</v>
      </c>
      <c r="O425" s="30" t="s">
        <v>89</v>
      </c>
      <c r="Q425" s="192"/>
      <c r="R425" s="161" t="str">
        <f>IFERROR(VLOOKUP(Q425,'PRODUCT TABLE'!$A$2:$B$26,2,FALSE),"-")</f>
        <v>-</v>
      </c>
      <c r="V425" s="161">
        <f t="shared" si="14"/>
        <v>0</v>
      </c>
      <c r="Y425" s="30"/>
      <c r="Z425" s="169">
        <f t="shared" si="2"/>
        <v>0</v>
      </c>
      <c r="AA425" s="167">
        <f t="shared" si="3"/>
        <v>0</v>
      </c>
      <c r="AB425" s="161"/>
      <c r="AC425" s="161">
        <f t="shared" si="4"/>
        <v>0</v>
      </c>
      <c r="AD425" s="161">
        <f t="shared" si="5"/>
        <v>0</v>
      </c>
      <c r="AE425" s="161">
        <f t="shared" si="6"/>
        <v>0</v>
      </c>
      <c r="AF425" s="167">
        <f t="shared" si="7"/>
        <v>0</v>
      </c>
      <c r="AG425" s="167">
        <f t="shared" si="8"/>
        <v>0</v>
      </c>
      <c r="AH425" s="158"/>
      <c r="AI425" s="158"/>
    </row>
    <row r="426" ht="12.75" customHeight="1">
      <c r="B426" s="160" t="str">
        <f>iferror(VLOOKUP((LEFT(A426,6)),CUSTOMER_DETAILS,2,FALSE),"-")</f>
        <v>-</v>
      </c>
      <c r="C426" s="161" t="s">
        <v>89</v>
      </c>
      <c r="D426" s="162"/>
      <c r="E426" s="161" t="s">
        <v>89</v>
      </c>
      <c r="F426" s="30" t="s">
        <v>89</v>
      </c>
      <c r="G426" s="30" t="s">
        <v>89</v>
      </c>
      <c r="H426" s="30" t="s">
        <v>89</v>
      </c>
      <c r="I426" s="48" t="s">
        <v>108</v>
      </c>
      <c r="J426" s="188" t="str">
        <f t="shared" si="15"/>
        <v/>
      </c>
      <c r="L426" s="48" t="s">
        <v>108</v>
      </c>
      <c r="O426" s="30" t="s">
        <v>89</v>
      </c>
      <c r="Q426" s="192"/>
      <c r="R426" s="161" t="str">
        <f>IFERROR(VLOOKUP(Q426,'PRODUCT TABLE'!$A$2:$B$26,2,FALSE),"-")</f>
        <v>-</v>
      </c>
      <c r="V426" s="161">
        <f t="shared" si="14"/>
        <v>0</v>
      </c>
      <c r="Y426" s="30"/>
      <c r="Z426" s="169">
        <f t="shared" si="2"/>
        <v>0</v>
      </c>
      <c r="AA426" s="167">
        <f t="shared" si="3"/>
        <v>0</v>
      </c>
      <c r="AB426" s="161"/>
      <c r="AC426" s="161">
        <f t="shared" si="4"/>
        <v>0</v>
      </c>
      <c r="AD426" s="161">
        <f t="shared" si="5"/>
        <v>0</v>
      </c>
      <c r="AE426" s="161">
        <f t="shared" si="6"/>
        <v>0</v>
      </c>
      <c r="AF426" s="167">
        <f t="shared" si="7"/>
        <v>0</v>
      </c>
      <c r="AG426" s="167">
        <f t="shared" si="8"/>
        <v>0</v>
      </c>
      <c r="AH426" s="158"/>
      <c r="AI426" s="158"/>
    </row>
    <row r="427" ht="12.75" customHeight="1">
      <c r="B427" s="160" t="str">
        <f>iferror(VLOOKUP((LEFT(A427,6)),CUSTOMER_DETAILS,2,FALSE),"-")</f>
        <v>-</v>
      </c>
      <c r="C427" s="161" t="s">
        <v>89</v>
      </c>
      <c r="D427" s="162"/>
      <c r="E427" s="161" t="s">
        <v>89</v>
      </c>
      <c r="F427" s="30" t="s">
        <v>89</v>
      </c>
      <c r="G427" s="30" t="s">
        <v>89</v>
      </c>
      <c r="H427" s="30" t="s">
        <v>89</v>
      </c>
      <c r="I427" s="48" t="s">
        <v>108</v>
      </c>
      <c r="J427" s="188" t="str">
        <f t="shared" si="15"/>
        <v/>
      </c>
      <c r="L427" s="48" t="s">
        <v>108</v>
      </c>
      <c r="O427" s="30" t="s">
        <v>89</v>
      </c>
      <c r="Q427" s="192"/>
      <c r="R427" s="161" t="str">
        <f>IFERROR(VLOOKUP(Q427,'PRODUCT TABLE'!$A$2:$B$26,2,FALSE),"-")</f>
        <v>-</v>
      </c>
      <c r="V427" s="161">
        <f t="shared" si="14"/>
        <v>0</v>
      </c>
      <c r="Y427" s="30"/>
      <c r="Z427" s="169">
        <f t="shared" si="2"/>
        <v>0</v>
      </c>
      <c r="AA427" s="167">
        <f t="shared" si="3"/>
        <v>0</v>
      </c>
      <c r="AB427" s="161"/>
      <c r="AC427" s="161">
        <f t="shared" si="4"/>
        <v>0</v>
      </c>
      <c r="AD427" s="161">
        <f t="shared" si="5"/>
        <v>0</v>
      </c>
      <c r="AE427" s="161">
        <f t="shared" si="6"/>
        <v>0</v>
      </c>
      <c r="AF427" s="167">
        <f t="shared" si="7"/>
        <v>0</v>
      </c>
      <c r="AG427" s="167">
        <f t="shared" si="8"/>
        <v>0</v>
      </c>
      <c r="AH427" s="158"/>
      <c r="AI427" s="158"/>
    </row>
    <row r="428" ht="12.75" customHeight="1">
      <c r="B428" s="160" t="str">
        <f>iferror(VLOOKUP((LEFT(A428,6)),CUSTOMER_DETAILS,2,FALSE),"-")</f>
        <v>-</v>
      </c>
      <c r="C428" s="161" t="s">
        <v>89</v>
      </c>
      <c r="D428" s="162"/>
      <c r="E428" s="161" t="s">
        <v>89</v>
      </c>
      <c r="F428" s="30" t="s">
        <v>89</v>
      </c>
      <c r="G428" s="30" t="s">
        <v>89</v>
      </c>
      <c r="H428" s="30" t="s">
        <v>89</v>
      </c>
      <c r="I428" s="48" t="s">
        <v>108</v>
      </c>
      <c r="J428" s="188" t="str">
        <f t="shared" si="15"/>
        <v/>
      </c>
      <c r="L428" s="48" t="s">
        <v>108</v>
      </c>
      <c r="O428" s="30" t="s">
        <v>89</v>
      </c>
      <c r="Q428" s="192"/>
      <c r="R428" s="161" t="str">
        <f>IFERROR(VLOOKUP(Q428,'PRODUCT TABLE'!$A$2:$B$26,2,FALSE),"-")</f>
        <v>-</v>
      </c>
      <c r="V428" s="161">
        <f t="shared" si="14"/>
        <v>0</v>
      </c>
      <c r="Y428" s="30"/>
      <c r="Z428" s="169">
        <f t="shared" si="2"/>
        <v>0</v>
      </c>
      <c r="AA428" s="167">
        <f t="shared" si="3"/>
        <v>0</v>
      </c>
      <c r="AB428" s="161"/>
      <c r="AC428" s="161">
        <f t="shared" si="4"/>
        <v>0</v>
      </c>
      <c r="AD428" s="161">
        <f t="shared" si="5"/>
        <v>0</v>
      </c>
      <c r="AE428" s="161">
        <f t="shared" si="6"/>
        <v>0</v>
      </c>
      <c r="AF428" s="167">
        <f t="shared" si="7"/>
        <v>0</v>
      </c>
      <c r="AG428" s="167">
        <f t="shared" si="8"/>
        <v>0</v>
      </c>
      <c r="AH428" s="158"/>
      <c r="AI428" s="158"/>
    </row>
    <row r="429" ht="12.75" customHeight="1">
      <c r="B429" s="160" t="str">
        <f>iferror(VLOOKUP((LEFT(A429,6)),CUSTOMER_DETAILS,2,FALSE),"-")</f>
        <v>-</v>
      </c>
      <c r="C429" s="161" t="s">
        <v>89</v>
      </c>
      <c r="D429" s="162"/>
      <c r="E429" s="161" t="s">
        <v>89</v>
      </c>
      <c r="F429" s="30" t="s">
        <v>89</v>
      </c>
      <c r="G429" s="30" t="s">
        <v>89</v>
      </c>
      <c r="H429" s="30" t="s">
        <v>89</v>
      </c>
      <c r="I429" s="48" t="s">
        <v>108</v>
      </c>
      <c r="J429" s="188" t="str">
        <f t="shared" si="15"/>
        <v/>
      </c>
      <c r="L429" s="48" t="s">
        <v>108</v>
      </c>
      <c r="O429" s="30" t="s">
        <v>89</v>
      </c>
      <c r="Q429" s="192"/>
      <c r="R429" s="161" t="str">
        <f>IFERROR(VLOOKUP(Q429,'PRODUCT TABLE'!$A$2:$B$26,2,FALSE),"-")</f>
        <v>-</v>
      </c>
      <c r="V429" s="161">
        <f t="shared" si="14"/>
        <v>0</v>
      </c>
      <c r="Y429" s="30"/>
      <c r="Z429" s="169">
        <f t="shared" si="2"/>
        <v>0</v>
      </c>
      <c r="AA429" s="167">
        <f t="shared" si="3"/>
        <v>0</v>
      </c>
      <c r="AB429" s="161"/>
      <c r="AC429" s="161">
        <f t="shared" si="4"/>
        <v>0</v>
      </c>
      <c r="AD429" s="161">
        <f t="shared" si="5"/>
        <v>0</v>
      </c>
      <c r="AE429" s="161">
        <f t="shared" si="6"/>
        <v>0</v>
      </c>
      <c r="AF429" s="167">
        <f t="shared" si="7"/>
        <v>0</v>
      </c>
      <c r="AG429" s="167">
        <f t="shared" si="8"/>
        <v>0</v>
      </c>
      <c r="AH429" s="158"/>
      <c r="AI429" s="158"/>
    </row>
    <row r="430" ht="12.75" customHeight="1">
      <c r="B430" s="160" t="str">
        <f>iferror(VLOOKUP((LEFT(A430,6)),CUSTOMER_DETAILS,2,FALSE),"-")</f>
        <v>-</v>
      </c>
      <c r="C430" s="161" t="s">
        <v>89</v>
      </c>
      <c r="D430" s="162"/>
      <c r="E430" s="161" t="s">
        <v>89</v>
      </c>
      <c r="F430" s="30" t="s">
        <v>89</v>
      </c>
      <c r="G430" s="30" t="s">
        <v>89</v>
      </c>
      <c r="H430" s="30" t="s">
        <v>89</v>
      </c>
      <c r="I430" s="48" t="s">
        <v>108</v>
      </c>
      <c r="J430" s="188" t="str">
        <f t="shared" si="15"/>
        <v/>
      </c>
      <c r="L430" s="48" t="s">
        <v>108</v>
      </c>
      <c r="O430" s="30" t="s">
        <v>89</v>
      </c>
      <c r="Q430" s="192"/>
      <c r="R430" s="161" t="str">
        <f>IFERROR(VLOOKUP(Q430,'PRODUCT TABLE'!$A$2:$B$26,2,FALSE),"-")</f>
        <v>-</v>
      </c>
      <c r="V430" s="161">
        <f t="shared" si="14"/>
        <v>0</v>
      </c>
      <c r="Y430" s="30"/>
      <c r="Z430" s="169">
        <f t="shared" si="2"/>
        <v>0</v>
      </c>
      <c r="AA430" s="167">
        <f t="shared" si="3"/>
        <v>0</v>
      </c>
      <c r="AB430" s="161"/>
      <c r="AC430" s="161">
        <f t="shared" si="4"/>
        <v>0</v>
      </c>
      <c r="AD430" s="161">
        <f t="shared" si="5"/>
        <v>0</v>
      </c>
      <c r="AE430" s="161">
        <f t="shared" si="6"/>
        <v>0</v>
      </c>
      <c r="AF430" s="167">
        <f t="shared" si="7"/>
        <v>0</v>
      </c>
      <c r="AG430" s="167">
        <f t="shared" si="8"/>
        <v>0</v>
      </c>
      <c r="AH430" s="158"/>
      <c r="AI430" s="158"/>
    </row>
    <row r="431" ht="12.75" customHeight="1">
      <c r="B431" s="160" t="str">
        <f>iferror(VLOOKUP((LEFT(A431,6)),CUSTOMER_DETAILS,2,FALSE),"-")</f>
        <v>-</v>
      </c>
      <c r="C431" s="161" t="s">
        <v>89</v>
      </c>
      <c r="D431" s="162"/>
      <c r="E431" s="161" t="s">
        <v>89</v>
      </c>
      <c r="F431" s="30" t="s">
        <v>89</v>
      </c>
      <c r="G431" s="30" t="s">
        <v>89</v>
      </c>
      <c r="H431" s="30" t="s">
        <v>89</v>
      </c>
      <c r="I431" s="48" t="s">
        <v>108</v>
      </c>
      <c r="J431" s="188" t="str">
        <f t="shared" si="15"/>
        <v/>
      </c>
      <c r="L431" s="48" t="s">
        <v>108</v>
      </c>
      <c r="O431" s="30" t="s">
        <v>89</v>
      </c>
      <c r="Q431" s="192"/>
      <c r="R431" s="161" t="str">
        <f>IFERROR(VLOOKUP(Q431,'PRODUCT TABLE'!$A$2:$B$26,2,FALSE),"-")</f>
        <v>-</v>
      </c>
      <c r="V431" s="161">
        <f t="shared" si="14"/>
        <v>0</v>
      </c>
      <c r="Y431" s="30"/>
      <c r="Z431" s="169">
        <f t="shared" si="2"/>
        <v>0</v>
      </c>
      <c r="AA431" s="167">
        <f t="shared" si="3"/>
        <v>0</v>
      </c>
      <c r="AB431" s="161"/>
      <c r="AC431" s="161">
        <f t="shared" si="4"/>
        <v>0</v>
      </c>
      <c r="AD431" s="161">
        <f t="shared" si="5"/>
        <v>0</v>
      </c>
      <c r="AE431" s="161">
        <f t="shared" si="6"/>
        <v>0</v>
      </c>
      <c r="AF431" s="167">
        <f t="shared" si="7"/>
        <v>0</v>
      </c>
      <c r="AG431" s="167">
        <f t="shared" si="8"/>
        <v>0</v>
      </c>
      <c r="AH431" s="158"/>
      <c r="AI431" s="158"/>
    </row>
    <row r="432" ht="12.75" customHeight="1">
      <c r="B432" s="160" t="str">
        <f>iferror(VLOOKUP((LEFT(A432,6)),CUSTOMER_DETAILS,2,FALSE),"-")</f>
        <v>-</v>
      </c>
      <c r="C432" s="161" t="s">
        <v>89</v>
      </c>
      <c r="D432" s="162"/>
      <c r="E432" s="161" t="s">
        <v>89</v>
      </c>
      <c r="F432" s="30" t="s">
        <v>89</v>
      </c>
      <c r="G432" s="30" t="s">
        <v>89</v>
      </c>
      <c r="H432" s="30" t="s">
        <v>89</v>
      </c>
      <c r="I432" s="48" t="s">
        <v>108</v>
      </c>
      <c r="J432" s="188" t="str">
        <f t="shared" si="15"/>
        <v/>
      </c>
      <c r="L432" s="48" t="s">
        <v>108</v>
      </c>
      <c r="O432" s="30" t="s">
        <v>89</v>
      </c>
      <c r="Q432" s="192"/>
      <c r="R432" s="161" t="str">
        <f>IFERROR(VLOOKUP(Q432,'PRODUCT TABLE'!$A$2:$B$26,2,FALSE),"-")</f>
        <v>-</v>
      </c>
      <c r="V432" s="161">
        <f t="shared" si="14"/>
        <v>0</v>
      </c>
      <c r="Y432" s="30"/>
      <c r="Z432" s="169">
        <f t="shared" si="2"/>
        <v>0</v>
      </c>
      <c r="AA432" s="167">
        <f t="shared" si="3"/>
        <v>0</v>
      </c>
      <c r="AB432" s="161"/>
      <c r="AC432" s="161">
        <f t="shared" si="4"/>
        <v>0</v>
      </c>
      <c r="AD432" s="161">
        <f t="shared" si="5"/>
        <v>0</v>
      </c>
      <c r="AE432" s="161">
        <f t="shared" si="6"/>
        <v>0</v>
      </c>
      <c r="AF432" s="167">
        <f t="shared" si="7"/>
        <v>0</v>
      </c>
      <c r="AG432" s="167">
        <f t="shared" si="8"/>
        <v>0</v>
      </c>
      <c r="AH432" s="158"/>
      <c r="AI432" s="158"/>
    </row>
    <row r="433" ht="12.75" customHeight="1">
      <c r="B433" s="160" t="str">
        <f>iferror(VLOOKUP((LEFT(A433,6)),CUSTOMER_DETAILS,2,FALSE),"-")</f>
        <v>-</v>
      </c>
      <c r="C433" s="161" t="s">
        <v>89</v>
      </c>
      <c r="D433" s="162"/>
      <c r="E433" s="161" t="s">
        <v>89</v>
      </c>
      <c r="F433" s="30" t="s">
        <v>89</v>
      </c>
      <c r="G433" s="30" t="s">
        <v>89</v>
      </c>
      <c r="H433" s="30" t="s">
        <v>89</v>
      </c>
      <c r="I433" s="48" t="s">
        <v>108</v>
      </c>
      <c r="J433" s="188" t="str">
        <f t="shared" si="15"/>
        <v/>
      </c>
      <c r="L433" s="48" t="s">
        <v>108</v>
      </c>
      <c r="O433" s="30" t="s">
        <v>89</v>
      </c>
      <c r="Q433" s="192"/>
      <c r="R433" s="161" t="str">
        <f>IFERROR(VLOOKUP(Q433,'PRODUCT TABLE'!$A$2:$B$26,2,FALSE),"-")</f>
        <v>-</v>
      </c>
      <c r="V433" s="161">
        <f t="shared" si="14"/>
        <v>0</v>
      </c>
      <c r="Y433" s="30"/>
      <c r="Z433" s="169">
        <f t="shared" si="2"/>
        <v>0</v>
      </c>
      <c r="AA433" s="167">
        <f t="shared" si="3"/>
        <v>0</v>
      </c>
      <c r="AB433" s="161"/>
      <c r="AC433" s="161">
        <f t="shared" si="4"/>
        <v>0</v>
      </c>
      <c r="AD433" s="161">
        <f t="shared" si="5"/>
        <v>0</v>
      </c>
      <c r="AE433" s="161">
        <f t="shared" si="6"/>
        <v>0</v>
      </c>
      <c r="AF433" s="167">
        <f t="shared" si="7"/>
        <v>0</v>
      </c>
      <c r="AG433" s="167">
        <f t="shared" si="8"/>
        <v>0</v>
      </c>
      <c r="AH433" s="158"/>
      <c r="AI433" s="158"/>
    </row>
    <row r="434" ht="12.75" customHeight="1">
      <c r="B434" s="160" t="str">
        <f>iferror(VLOOKUP((LEFT(A434,6)),CUSTOMER_DETAILS,2,FALSE),"-")</f>
        <v>-</v>
      </c>
      <c r="C434" s="161" t="s">
        <v>89</v>
      </c>
      <c r="D434" s="162"/>
      <c r="E434" s="161" t="s">
        <v>89</v>
      </c>
      <c r="F434" s="30" t="s">
        <v>89</v>
      </c>
      <c r="G434" s="30" t="s">
        <v>89</v>
      </c>
      <c r="H434" s="30" t="s">
        <v>89</v>
      </c>
      <c r="I434" s="48" t="s">
        <v>108</v>
      </c>
      <c r="J434" s="188" t="str">
        <f t="shared" si="15"/>
        <v/>
      </c>
      <c r="L434" s="48" t="s">
        <v>108</v>
      </c>
      <c r="O434" s="30" t="s">
        <v>89</v>
      </c>
      <c r="Q434" s="192"/>
      <c r="R434" s="161" t="str">
        <f>IFERROR(VLOOKUP(Q434,'PRODUCT TABLE'!$A$2:$B$26,2,FALSE),"-")</f>
        <v>-</v>
      </c>
      <c r="V434" s="161">
        <f t="shared" si="14"/>
        <v>0</v>
      </c>
      <c r="Y434" s="30"/>
      <c r="Z434" s="169">
        <f t="shared" si="2"/>
        <v>0</v>
      </c>
      <c r="AA434" s="167">
        <f t="shared" si="3"/>
        <v>0</v>
      </c>
      <c r="AB434" s="161"/>
      <c r="AC434" s="161">
        <f t="shared" si="4"/>
        <v>0</v>
      </c>
      <c r="AD434" s="161">
        <f t="shared" si="5"/>
        <v>0</v>
      </c>
      <c r="AE434" s="161">
        <f t="shared" si="6"/>
        <v>0</v>
      </c>
      <c r="AF434" s="167">
        <f t="shared" si="7"/>
        <v>0</v>
      </c>
      <c r="AG434" s="167">
        <f t="shared" si="8"/>
        <v>0</v>
      </c>
      <c r="AH434" s="158"/>
      <c r="AI434" s="158"/>
    </row>
    <row r="435" ht="12.75" customHeight="1">
      <c r="B435" s="160" t="str">
        <f>iferror(VLOOKUP((LEFT(A435,6)),CUSTOMER_DETAILS,2,FALSE),"-")</f>
        <v>-</v>
      </c>
      <c r="C435" s="161" t="s">
        <v>89</v>
      </c>
      <c r="D435" s="162"/>
      <c r="E435" s="161" t="s">
        <v>89</v>
      </c>
      <c r="F435" s="30" t="s">
        <v>89</v>
      </c>
      <c r="G435" s="30" t="s">
        <v>89</v>
      </c>
      <c r="H435" s="30" t="s">
        <v>89</v>
      </c>
      <c r="I435" s="48" t="s">
        <v>108</v>
      </c>
      <c r="J435" s="188" t="str">
        <f t="shared" si="15"/>
        <v/>
      </c>
      <c r="L435" s="48" t="s">
        <v>108</v>
      </c>
      <c r="O435" s="30" t="s">
        <v>89</v>
      </c>
      <c r="Q435" s="192"/>
      <c r="R435" s="161" t="str">
        <f>IFERROR(VLOOKUP(Q435,'PRODUCT TABLE'!$A$2:$B$26,2,FALSE),"-")</f>
        <v>-</v>
      </c>
      <c r="V435" s="161">
        <f t="shared" si="14"/>
        <v>0</v>
      </c>
      <c r="Y435" s="30"/>
      <c r="Z435" s="169">
        <f t="shared" si="2"/>
        <v>0</v>
      </c>
      <c r="AA435" s="167">
        <f t="shared" si="3"/>
        <v>0</v>
      </c>
      <c r="AB435" s="161"/>
      <c r="AC435" s="161">
        <f t="shared" si="4"/>
        <v>0</v>
      </c>
      <c r="AD435" s="161">
        <f t="shared" si="5"/>
        <v>0</v>
      </c>
      <c r="AE435" s="161">
        <f t="shared" si="6"/>
        <v>0</v>
      </c>
      <c r="AF435" s="167">
        <f t="shared" si="7"/>
        <v>0</v>
      </c>
      <c r="AG435" s="167">
        <f t="shared" si="8"/>
        <v>0</v>
      </c>
      <c r="AH435" s="158"/>
      <c r="AI435" s="158"/>
    </row>
    <row r="436" ht="12.75" customHeight="1">
      <c r="B436" s="160" t="str">
        <f>iferror(VLOOKUP((LEFT(A436,6)),CUSTOMER_DETAILS,2,FALSE),"-")</f>
        <v>-</v>
      </c>
      <c r="C436" s="161" t="s">
        <v>89</v>
      </c>
      <c r="D436" s="162"/>
      <c r="E436" s="161" t="s">
        <v>89</v>
      </c>
      <c r="F436" s="30" t="s">
        <v>89</v>
      </c>
      <c r="G436" s="30" t="s">
        <v>89</v>
      </c>
      <c r="H436" s="30" t="s">
        <v>89</v>
      </c>
      <c r="I436" s="48" t="s">
        <v>108</v>
      </c>
      <c r="J436" s="188" t="str">
        <f t="shared" si="15"/>
        <v/>
      </c>
      <c r="L436" s="48" t="s">
        <v>108</v>
      </c>
      <c r="O436" s="30" t="s">
        <v>89</v>
      </c>
      <c r="Q436" s="192"/>
      <c r="R436" s="161" t="str">
        <f>IFERROR(VLOOKUP(Q436,'PRODUCT TABLE'!$A$2:$B$26,2,FALSE),"-")</f>
        <v>-</v>
      </c>
      <c r="V436" s="161">
        <f t="shared" si="14"/>
        <v>0</v>
      </c>
      <c r="Y436" s="30"/>
      <c r="Z436" s="169">
        <f t="shared" si="2"/>
        <v>0</v>
      </c>
      <c r="AA436" s="167">
        <f t="shared" si="3"/>
        <v>0</v>
      </c>
      <c r="AB436" s="161"/>
      <c r="AC436" s="161">
        <f t="shared" si="4"/>
        <v>0</v>
      </c>
      <c r="AD436" s="161">
        <f t="shared" si="5"/>
        <v>0</v>
      </c>
      <c r="AE436" s="161">
        <f t="shared" si="6"/>
        <v>0</v>
      </c>
      <c r="AF436" s="167">
        <f t="shared" si="7"/>
        <v>0</v>
      </c>
      <c r="AG436" s="167">
        <f t="shared" si="8"/>
        <v>0</v>
      </c>
      <c r="AH436" s="158"/>
      <c r="AI436" s="158"/>
    </row>
    <row r="437" ht="12.75" customHeight="1">
      <c r="B437" s="160" t="str">
        <f>iferror(VLOOKUP((LEFT(A437,6)),CUSTOMER_DETAILS,2,FALSE),"-")</f>
        <v>-</v>
      </c>
      <c r="C437" s="161" t="s">
        <v>89</v>
      </c>
      <c r="D437" s="162"/>
      <c r="E437" s="161" t="s">
        <v>89</v>
      </c>
      <c r="F437" s="30" t="s">
        <v>89</v>
      </c>
      <c r="G437" s="30" t="s">
        <v>89</v>
      </c>
      <c r="H437" s="30" t="s">
        <v>89</v>
      </c>
      <c r="I437" s="48" t="s">
        <v>108</v>
      </c>
      <c r="J437" s="188" t="str">
        <f t="shared" si="15"/>
        <v/>
      </c>
      <c r="L437" s="48" t="s">
        <v>108</v>
      </c>
      <c r="O437" s="30" t="s">
        <v>89</v>
      </c>
      <c r="Q437" s="192"/>
      <c r="R437" s="161" t="str">
        <f>IFERROR(VLOOKUP(Q437,'PRODUCT TABLE'!$A$2:$B$26,2,FALSE),"-")</f>
        <v>-</v>
      </c>
      <c r="V437" s="161">
        <f t="shared" si="14"/>
        <v>0</v>
      </c>
      <c r="Y437" s="30"/>
      <c r="Z437" s="169">
        <f t="shared" si="2"/>
        <v>0</v>
      </c>
      <c r="AA437" s="167">
        <f t="shared" si="3"/>
        <v>0</v>
      </c>
      <c r="AB437" s="161"/>
      <c r="AC437" s="161">
        <f t="shared" si="4"/>
        <v>0</v>
      </c>
      <c r="AD437" s="161">
        <f t="shared" si="5"/>
        <v>0</v>
      </c>
      <c r="AE437" s="161">
        <f t="shared" si="6"/>
        <v>0</v>
      </c>
      <c r="AF437" s="167">
        <f t="shared" si="7"/>
        <v>0</v>
      </c>
      <c r="AG437" s="167">
        <f t="shared" si="8"/>
        <v>0</v>
      </c>
      <c r="AH437" s="158"/>
      <c r="AI437" s="158"/>
    </row>
    <row r="438" ht="12.75" customHeight="1">
      <c r="B438" s="160" t="str">
        <f>iferror(VLOOKUP((LEFT(A438,6)),CUSTOMER_DETAILS,2,FALSE),"-")</f>
        <v>-</v>
      </c>
      <c r="C438" s="161" t="s">
        <v>89</v>
      </c>
      <c r="D438" s="162"/>
      <c r="E438" s="161" t="s">
        <v>89</v>
      </c>
      <c r="F438" s="30" t="s">
        <v>89</v>
      </c>
      <c r="G438" s="30" t="s">
        <v>89</v>
      </c>
      <c r="H438" s="30" t="s">
        <v>89</v>
      </c>
      <c r="I438" s="48" t="s">
        <v>108</v>
      </c>
      <c r="J438" s="188" t="str">
        <f t="shared" si="15"/>
        <v/>
      </c>
      <c r="L438" s="48" t="s">
        <v>108</v>
      </c>
      <c r="O438" s="30" t="s">
        <v>89</v>
      </c>
      <c r="Q438" s="192"/>
      <c r="R438" s="161" t="str">
        <f>IFERROR(VLOOKUP(Q438,'PRODUCT TABLE'!$A$2:$B$26,2,FALSE),"-")</f>
        <v>-</v>
      </c>
      <c r="V438" s="161">
        <f t="shared" si="14"/>
        <v>0</v>
      </c>
      <c r="Y438" s="30"/>
      <c r="Z438" s="169">
        <f t="shared" si="2"/>
        <v>0</v>
      </c>
      <c r="AA438" s="167">
        <f t="shared" si="3"/>
        <v>0</v>
      </c>
      <c r="AB438" s="161"/>
      <c r="AC438" s="161">
        <f t="shared" si="4"/>
        <v>0</v>
      </c>
      <c r="AD438" s="161">
        <f t="shared" si="5"/>
        <v>0</v>
      </c>
      <c r="AE438" s="161">
        <f t="shared" si="6"/>
        <v>0</v>
      </c>
      <c r="AF438" s="167">
        <f t="shared" si="7"/>
        <v>0</v>
      </c>
      <c r="AG438" s="167">
        <f t="shared" si="8"/>
        <v>0</v>
      </c>
      <c r="AH438" s="158"/>
      <c r="AI438" s="158"/>
    </row>
    <row r="439" ht="12.75" customHeight="1">
      <c r="B439" s="160" t="str">
        <f>iferror(VLOOKUP((LEFT(A439,6)),CUSTOMER_DETAILS,2,FALSE),"-")</f>
        <v>-</v>
      </c>
      <c r="C439" s="161" t="s">
        <v>89</v>
      </c>
      <c r="D439" s="162"/>
      <c r="E439" s="161" t="s">
        <v>89</v>
      </c>
      <c r="F439" s="30" t="s">
        <v>89</v>
      </c>
      <c r="G439" s="30" t="s">
        <v>89</v>
      </c>
      <c r="H439" s="30" t="s">
        <v>89</v>
      </c>
      <c r="I439" s="48" t="s">
        <v>108</v>
      </c>
      <c r="J439" s="188" t="str">
        <f t="shared" si="15"/>
        <v/>
      </c>
      <c r="L439" s="48" t="s">
        <v>108</v>
      </c>
      <c r="O439" s="30" t="s">
        <v>89</v>
      </c>
      <c r="Q439" s="192"/>
      <c r="R439" s="161" t="str">
        <f>IFERROR(VLOOKUP(Q439,'PRODUCT TABLE'!$A$2:$B$26,2,FALSE),"-")</f>
        <v>-</v>
      </c>
      <c r="V439" s="161">
        <f t="shared" si="14"/>
        <v>0</v>
      </c>
      <c r="Y439" s="30"/>
      <c r="Z439" s="169">
        <f t="shared" si="2"/>
        <v>0</v>
      </c>
      <c r="AA439" s="167">
        <f t="shared" si="3"/>
        <v>0</v>
      </c>
      <c r="AB439" s="161"/>
      <c r="AC439" s="161">
        <f t="shared" si="4"/>
        <v>0</v>
      </c>
      <c r="AD439" s="161">
        <f t="shared" si="5"/>
        <v>0</v>
      </c>
      <c r="AE439" s="161">
        <f t="shared" si="6"/>
        <v>0</v>
      </c>
      <c r="AF439" s="167">
        <f t="shared" si="7"/>
        <v>0</v>
      </c>
      <c r="AG439" s="167">
        <f t="shared" si="8"/>
        <v>0</v>
      </c>
      <c r="AH439" s="158"/>
      <c r="AI439" s="158"/>
    </row>
    <row r="440" ht="12.75" customHeight="1">
      <c r="B440" s="160" t="str">
        <f>iferror(VLOOKUP((LEFT(A440,6)),CUSTOMER_DETAILS,2,FALSE),"-")</f>
        <v>-</v>
      </c>
      <c r="C440" s="161" t="s">
        <v>89</v>
      </c>
      <c r="D440" s="162"/>
      <c r="E440" s="161" t="s">
        <v>89</v>
      </c>
      <c r="F440" s="30" t="s">
        <v>89</v>
      </c>
      <c r="G440" s="30" t="s">
        <v>89</v>
      </c>
      <c r="H440" s="30" t="s">
        <v>89</v>
      </c>
      <c r="I440" s="48" t="s">
        <v>108</v>
      </c>
      <c r="J440" s="188" t="str">
        <f t="shared" si="15"/>
        <v/>
      </c>
      <c r="L440" s="48" t="s">
        <v>108</v>
      </c>
      <c r="O440" s="30" t="s">
        <v>89</v>
      </c>
      <c r="Q440" s="192"/>
      <c r="R440" s="161" t="str">
        <f>IFERROR(VLOOKUP(Q440,'PRODUCT TABLE'!$A$2:$B$26,2,FALSE),"-")</f>
        <v>-</v>
      </c>
      <c r="V440" s="161">
        <f t="shared" si="14"/>
        <v>0</v>
      </c>
      <c r="Y440" s="30"/>
      <c r="Z440" s="169">
        <f t="shared" si="2"/>
        <v>0</v>
      </c>
      <c r="AA440" s="167">
        <f t="shared" si="3"/>
        <v>0</v>
      </c>
      <c r="AB440" s="161"/>
      <c r="AC440" s="161">
        <f t="shared" si="4"/>
        <v>0</v>
      </c>
      <c r="AD440" s="161">
        <f t="shared" si="5"/>
        <v>0</v>
      </c>
      <c r="AE440" s="161">
        <f t="shared" si="6"/>
        <v>0</v>
      </c>
      <c r="AF440" s="167">
        <f t="shared" si="7"/>
        <v>0</v>
      </c>
      <c r="AG440" s="167">
        <f t="shared" si="8"/>
        <v>0</v>
      </c>
      <c r="AH440" s="158"/>
      <c r="AI440" s="158"/>
    </row>
    <row r="441" ht="12.75" customHeight="1">
      <c r="B441" s="160" t="str">
        <f>iferror(VLOOKUP((LEFT(A441,6)),CUSTOMER_DETAILS,2,FALSE),"-")</f>
        <v>-</v>
      </c>
      <c r="C441" s="161" t="s">
        <v>89</v>
      </c>
      <c r="D441" s="162"/>
      <c r="E441" s="161" t="s">
        <v>89</v>
      </c>
      <c r="F441" s="30" t="s">
        <v>89</v>
      </c>
      <c r="G441" s="30" t="s">
        <v>89</v>
      </c>
      <c r="H441" s="30" t="s">
        <v>89</v>
      </c>
      <c r="I441" s="48" t="s">
        <v>108</v>
      </c>
      <c r="J441" s="188" t="str">
        <f t="shared" si="15"/>
        <v/>
      </c>
      <c r="L441" s="48" t="s">
        <v>108</v>
      </c>
      <c r="O441" s="30" t="s">
        <v>89</v>
      </c>
      <c r="Q441" s="192"/>
      <c r="R441" s="161" t="str">
        <f>IFERROR(VLOOKUP(Q441,'PRODUCT TABLE'!$A$2:$B$26,2,FALSE),"-")</f>
        <v>-</v>
      </c>
      <c r="V441" s="161">
        <f t="shared" si="14"/>
        <v>0</v>
      </c>
      <c r="Y441" s="30"/>
      <c r="Z441" s="169">
        <f t="shared" si="2"/>
        <v>0</v>
      </c>
      <c r="AA441" s="167">
        <f t="shared" si="3"/>
        <v>0</v>
      </c>
      <c r="AB441" s="161"/>
      <c r="AC441" s="161">
        <f t="shared" si="4"/>
        <v>0</v>
      </c>
      <c r="AD441" s="161">
        <f t="shared" si="5"/>
        <v>0</v>
      </c>
      <c r="AE441" s="161">
        <f t="shared" si="6"/>
        <v>0</v>
      </c>
      <c r="AF441" s="167">
        <f t="shared" si="7"/>
        <v>0</v>
      </c>
      <c r="AG441" s="167">
        <f t="shared" si="8"/>
        <v>0</v>
      </c>
      <c r="AH441" s="158"/>
      <c r="AI441" s="158"/>
    </row>
    <row r="442" ht="12.75" customHeight="1">
      <c r="B442" s="160" t="str">
        <f>iferror(VLOOKUP((LEFT(A442,6)),CUSTOMER_DETAILS,2,FALSE),"-")</f>
        <v>-</v>
      </c>
      <c r="C442" s="161" t="s">
        <v>89</v>
      </c>
      <c r="D442" s="162"/>
      <c r="E442" s="161" t="s">
        <v>89</v>
      </c>
      <c r="F442" s="30" t="s">
        <v>89</v>
      </c>
      <c r="G442" s="30" t="s">
        <v>89</v>
      </c>
      <c r="H442" s="30" t="s">
        <v>89</v>
      </c>
      <c r="I442" s="48" t="s">
        <v>108</v>
      </c>
      <c r="J442" s="188" t="str">
        <f t="shared" si="15"/>
        <v/>
      </c>
      <c r="L442" s="48" t="s">
        <v>108</v>
      </c>
      <c r="O442" s="30" t="s">
        <v>89</v>
      </c>
      <c r="Q442" s="192"/>
      <c r="R442" s="161" t="str">
        <f>IFERROR(VLOOKUP(Q442,'PRODUCT TABLE'!$A$2:$B$26,2,FALSE),"-")</f>
        <v>-</v>
      </c>
      <c r="V442" s="161">
        <f t="shared" si="14"/>
        <v>0</v>
      </c>
      <c r="Y442" s="30"/>
      <c r="Z442" s="169">
        <f t="shared" si="2"/>
        <v>0</v>
      </c>
      <c r="AA442" s="167">
        <f t="shared" si="3"/>
        <v>0</v>
      </c>
      <c r="AB442" s="161"/>
      <c r="AC442" s="161">
        <f t="shared" si="4"/>
        <v>0</v>
      </c>
      <c r="AD442" s="161">
        <f t="shared" si="5"/>
        <v>0</v>
      </c>
      <c r="AE442" s="161">
        <f t="shared" si="6"/>
        <v>0</v>
      </c>
      <c r="AF442" s="167">
        <f t="shared" si="7"/>
        <v>0</v>
      </c>
      <c r="AG442" s="167">
        <f t="shared" si="8"/>
        <v>0</v>
      </c>
      <c r="AH442" s="158"/>
      <c r="AI442" s="158"/>
    </row>
    <row r="443" ht="12.75" customHeight="1">
      <c r="B443" s="160" t="str">
        <f>iferror(VLOOKUP((LEFT(A443,6)),CUSTOMER_DETAILS,2,FALSE),"-")</f>
        <v>-</v>
      </c>
      <c r="C443" s="161" t="s">
        <v>89</v>
      </c>
      <c r="D443" s="162"/>
      <c r="E443" s="161" t="s">
        <v>89</v>
      </c>
      <c r="F443" s="30" t="s">
        <v>89</v>
      </c>
      <c r="G443" s="30" t="s">
        <v>89</v>
      </c>
      <c r="H443" s="30" t="s">
        <v>89</v>
      </c>
      <c r="I443" s="48" t="s">
        <v>108</v>
      </c>
      <c r="J443" s="188" t="str">
        <f t="shared" si="15"/>
        <v/>
      </c>
      <c r="L443" s="48" t="s">
        <v>108</v>
      </c>
      <c r="O443" s="30" t="s">
        <v>89</v>
      </c>
      <c r="Q443" s="192"/>
      <c r="R443" s="161" t="str">
        <f>IFERROR(VLOOKUP(Q443,'PRODUCT TABLE'!$A$2:$B$26,2,FALSE),"-")</f>
        <v>-</v>
      </c>
      <c r="V443" s="161">
        <f t="shared" si="14"/>
        <v>0</v>
      </c>
      <c r="Y443" s="30"/>
      <c r="Z443" s="169">
        <f t="shared" si="2"/>
        <v>0</v>
      </c>
      <c r="AA443" s="167">
        <f t="shared" si="3"/>
        <v>0</v>
      </c>
      <c r="AB443" s="161"/>
      <c r="AC443" s="161">
        <f t="shared" si="4"/>
        <v>0</v>
      </c>
      <c r="AD443" s="161">
        <f t="shared" si="5"/>
        <v>0</v>
      </c>
      <c r="AE443" s="161">
        <f t="shared" si="6"/>
        <v>0</v>
      </c>
      <c r="AF443" s="167">
        <f t="shared" si="7"/>
        <v>0</v>
      </c>
      <c r="AG443" s="167">
        <f t="shared" si="8"/>
        <v>0</v>
      </c>
      <c r="AH443" s="158"/>
      <c r="AI443" s="158"/>
    </row>
    <row r="444" ht="12.75" customHeight="1">
      <c r="B444" s="160" t="str">
        <f>iferror(VLOOKUP((LEFT(A444,6)),CUSTOMER_DETAILS,2,FALSE),"-")</f>
        <v>-</v>
      </c>
      <c r="C444" s="161" t="s">
        <v>89</v>
      </c>
      <c r="D444" s="162"/>
      <c r="E444" s="161" t="s">
        <v>89</v>
      </c>
      <c r="F444" s="30" t="s">
        <v>89</v>
      </c>
      <c r="G444" s="30" t="s">
        <v>89</v>
      </c>
      <c r="H444" s="30" t="s">
        <v>89</v>
      </c>
      <c r="I444" s="48" t="s">
        <v>108</v>
      </c>
      <c r="J444" s="188" t="str">
        <f t="shared" si="15"/>
        <v/>
      </c>
      <c r="L444" s="48" t="s">
        <v>108</v>
      </c>
      <c r="O444" s="30" t="s">
        <v>89</v>
      </c>
      <c r="Q444" s="192"/>
      <c r="R444" s="161" t="str">
        <f>IFERROR(VLOOKUP(Q444,'PRODUCT TABLE'!$A$2:$B$26,2,FALSE),"-")</f>
        <v>-</v>
      </c>
      <c r="V444" s="161">
        <f t="shared" si="14"/>
        <v>0</v>
      </c>
      <c r="Y444" s="30"/>
      <c r="Z444" s="169">
        <f t="shared" si="2"/>
        <v>0</v>
      </c>
      <c r="AA444" s="167">
        <f t="shared" si="3"/>
        <v>0</v>
      </c>
      <c r="AB444" s="161"/>
      <c r="AC444" s="161">
        <f t="shared" si="4"/>
        <v>0</v>
      </c>
      <c r="AD444" s="161">
        <f t="shared" si="5"/>
        <v>0</v>
      </c>
      <c r="AE444" s="161">
        <f t="shared" si="6"/>
        <v>0</v>
      </c>
      <c r="AF444" s="167">
        <f t="shared" si="7"/>
        <v>0</v>
      </c>
      <c r="AG444" s="167">
        <f t="shared" si="8"/>
        <v>0</v>
      </c>
      <c r="AH444" s="158"/>
      <c r="AI444" s="158"/>
    </row>
    <row r="445" ht="12.75" customHeight="1">
      <c r="B445" s="160" t="str">
        <f>iferror(VLOOKUP((LEFT(A445,6)),CUSTOMER_DETAILS,2,FALSE),"-")</f>
        <v>-</v>
      </c>
      <c r="C445" s="161" t="s">
        <v>89</v>
      </c>
      <c r="D445" s="162"/>
      <c r="E445" s="161" t="s">
        <v>89</v>
      </c>
      <c r="F445" s="30" t="s">
        <v>89</v>
      </c>
      <c r="G445" s="30" t="s">
        <v>89</v>
      </c>
      <c r="H445" s="30" t="s">
        <v>89</v>
      </c>
      <c r="I445" s="48" t="s">
        <v>108</v>
      </c>
      <c r="J445" s="188" t="str">
        <f t="shared" si="15"/>
        <v/>
      </c>
      <c r="L445" s="48" t="s">
        <v>108</v>
      </c>
      <c r="O445" s="30" t="s">
        <v>89</v>
      </c>
      <c r="Q445" s="192"/>
      <c r="R445" s="161" t="str">
        <f>IFERROR(VLOOKUP(Q445,'PRODUCT TABLE'!$A$2:$B$26,2,FALSE),"-")</f>
        <v>-</v>
      </c>
      <c r="V445" s="161">
        <f t="shared" si="14"/>
        <v>0</v>
      </c>
      <c r="Y445" s="30"/>
      <c r="Z445" s="169">
        <f t="shared" si="2"/>
        <v>0</v>
      </c>
      <c r="AA445" s="167">
        <f t="shared" si="3"/>
        <v>0</v>
      </c>
      <c r="AB445" s="161"/>
      <c r="AC445" s="161">
        <f t="shared" si="4"/>
        <v>0</v>
      </c>
      <c r="AD445" s="161">
        <f t="shared" si="5"/>
        <v>0</v>
      </c>
      <c r="AE445" s="161">
        <f t="shared" si="6"/>
        <v>0</v>
      </c>
      <c r="AF445" s="167">
        <f t="shared" si="7"/>
        <v>0</v>
      </c>
      <c r="AG445" s="167">
        <f t="shared" si="8"/>
        <v>0</v>
      </c>
      <c r="AH445" s="158"/>
      <c r="AI445" s="158"/>
    </row>
    <row r="446" ht="12.75" customHeight="1">
      <c r="B446" s="160" t="str">
        <f>iferror(VLOOKUP((LEFT(A446,6)),CUSTOMER_DETAILS,2,FALSE),"-")</f>
        <v>-</v>
      </c>
      <c r="C446" s="161" t="s">
        <v>89</v>
      </c>
      <c r="D446" s="162"/>
      <c r="E446" s="161" t="s">
        <v>89</v>
      </c>
      <c r="F446" s="30" t="s">
        <v>89</v>
      </c>
      <c r="G446" s="30" t="s">
        <v>89</v>
      </c>
      <c r="H446" s="30" t="s">
        <v>89</v>
      </c>
      <c r="I446" s="48" t="s">
        <v>108</v>
      </c>
      <c r="J446" s="188" t="str">
        <f t="shared" si="15"/>
        <v/>
      </c>
      <c r="L446" s="48" t="s">
        <v>108</v>
      </c>
      <c r="O446" s="30" t="s">
        <v>89</v>
      </c>
      <c r="Q446" s="192"/>
      <c r="R446" s="161" t="str">
        <f>IFERROR(VLOOKUP(Q446,'PRODUCT TABLE'!$A$2:$B$26,2,FALSE),"-")</f>
        <v>-</v>
      </c>
      <c r="V446" s="161">
        <f t="shared" si="14"/>
        <v>0</v>
      </c>
      <c r="Y446" s="30"/>
      <c r="Z446" s="169">
        <f t="shared" si="2"/>
        <v>0</v>
      </c>
      <c r="AA446" s="167">
        <f t="shared" si="3"/>
        <v>0</v>
      </c>
      <c r="AB446" s="161"/>
      <c r="AC446" s="161">
        <f t="shared" si="4"/>
        <v>0</v>
      </c>
      <c r="AD446" s="161">
        <f t="shared" si="5"/>
        <v>0</v>
      </c>
      <c r="AE446" s="161">
        <f t="shared" si="6"/>
        <v>0</v>
      </c>
      <c r="AF446" s="167">
        <f t="shared" si="7"/>
        <v>0</v>
      </c>
      <c r="AG446" s="167">
        <f t="shared" si="8"/>
        <v>0</v>
      </c>
      <c r="AH446" s="158"/>
      <c r="AI446" s="158"/>
    </row>
    <row r="447" ht="12.75" customHeight="1">
      <c r="B447" s="160" t="str">
        <f>iferror(VLOOKUP((LEFT(A447,6)),CUSTOMER_DETAILS,2,FALSE),"-")</f>
        <v>-</v>
      </c>
      <c r="C447" s="161" t="s">
        <v>89</v>
      </c>
      <c r="D447" s="162"/>
      <c r="E447" s="161" t="s">
        <v>89</v>
      </c>
      <c r="F447" s="30" t="s">
        <v>89</v>
      </c>
      <c r="G447" s="30" t="s">
        <v>89</v>
      </c>
      <c r="H447" s="30" t="s">
        <v>89</v>
      </c>
      <c r="I447" s="48" t="s">
        <v>108</v>
      </c>
      <c r="J447" s="188" t="str">
        <f t="shared" si="15"/>
        <v/>
      </c>
      <c r="L447" s="48" t="s">
        <v>108</v>
      </c>
      <c r="O447" s="30" t="s">
        <v>89</v>
      </c>
      <c r="Q447" s="192"/>
      <c r="R447" s="161" t="str">
        <f>IFERROR(VLOOKUP(Q447,'PRODUCT TABLE'!$A$2:$B$26,2,FALSE),"-")</f>
        <v>-</v>
      </c>
      <c r="V447" s="161">
        <f t="shared" si="14"/>
        <v>0</v>
      </c>
      <c r="Y447" s="30"/>
      <c r="Z447" s="169">
        <f t="shared" si="2"/>
        <v>0</v>
      </c>
      <c r="AA447" s="167">
        <f t="shared" si="3"/>
        <v>0</v>
      </c>
      <c r="AB447" s="161"/>
      <c r="AC447" s="161">
        <f t="shared" si="4"/>
        <v>0</v>
      </c>
      <c r="AD447" s="161">
        <f t="shared" si="5"/>
        <v>0</v>
      </c>
      <c r="AE447" s="161">
        <f t="shared" si="6"/>
        <v>0</v>
      </c>
      <c r="AF447" s="167">
        <f t="shared" si="7"/>
        <v>0</v>
      </c>
      <c r="AG447" s="167">
        <f t="shared" si="8"/>
        <v>0</v>
      </c>
      <c r="AH447" s="158"/>
      <c r="AI447" s="158"/>
    </row>
    <row r="448" ht="12.75" customHeight="1">
      <c r="B448" s="160" t="str">
        <f>iferror(VLOOKUP((LEFT(A448,6)),CUSTOMER_DETAILS,2,FALSE),"-")</f>
        <v>-</v>
      </c>
      <c r="C448" s="161" t="s">
        <v>89</v>
      </c>
      <c r="D448" s="162"/>
      <c r="E448" s="161" t="s">
        <v>89</v>
      </c>
      <c r="F448" s="30" t="s">
        <v>89</v>
      </c>
      <c r="G448" s="30" t="s">
        <v>89</v>
      </c>
      <c r="H448" s="30" t="s">
        <v>89</v>
      </c>
      <c r="I448" s="48" t="s">
        <v>108</v>
      </c>
      <c r="J448" s="188" t="str">
        <f t="shared" si="15"/>
        <v/>
      </c>
      <c r="L448" s="48" t="s">
        <v>108</v>
      </c>
      <c r="O448" s="30" t="s">
        <v>89</v>
      </c>
      <c r="Q448" s="192"/>
      <c r="R448" s="161" t="str">
        <f>IFERROR(VLOOKUP(Q448,'PRODUCT TABLE'!$A$2:$B$26,2,FALSE),"-")</f>
        <v>-</v>
      </c>
      <c r="V448" s="161">
        <f t="shared" si="14"/>
        <v>0</v>
      </c>
      <c r="Y448" s="30"/>
      <c r="Z448" s="169">
        <f t="shared" si="2"/>
        <v>0</v>
      </c>
      <c r="AA448" s="167">
        <f t="shared" si="3"/>
        <v>0</v>
      </c>
      <c r="AB448" s="161"/>
      <c r="AC448" s="161">
        <f t="shared" si="4"/>
        <v>0</v>
      </c>
      <c r="AD448" s="161">
        <f t="shared" si="5"/>
        <v>0</v>
      </c>
      <c r="AE448" s="161">
        <f t="shared" si="6"/>
        <v>0</v>
      </c>
      <c r="AF448" s="167">
        <f t="shared" si="7"/>
        <v>0</v>
      </c>
      <c r="AG448" s="167">
        <f t="shared" si="8"/>
        <v>0</v>
      </c>
      <c r="AH448" s="158"/>
      <c r="AI448" s="158"/>
    </row>
    <row r="449" ht="12.75" customHeight="1">
      <c r="B449" s="160" t="str">
        <f>iferror(VLOOKUP((LEFT(A449,6)),CUSTOMER_DETAILS,2,FALSE),"-")</f>
        <v>-</v>
      </c>
      <c r="C449" s="161" t="s">
        <v>89</v>
      </c>
      <c r="D449" s="162"/>
      <c r="E449" s="161" t="s">
        <v>89</v>
      </c>
      <c r="F449" s="30" t="s">
        <v>89</v>
      </c>
      <c r="G449" s="30" t="s">
        <v>89</v>
      </c>
      <c r="H449" s="30" t="s">
        <v>89</v>
      </c>
      <c r="I449" s="48" t="s">
        <v>108</v>
      </c>
      <c r="J449" s="188" t="str">
        <f t="shared" si="15"/>
        <v/>
      </c>
      <c r="L449" s="48" t="s">
        <v>108</v>
      </c>
      <c r="O449" s="30" t="s">
        <v>89</v>
      </c>
      <c r="Q449" s="192"/>
      <c r="R449" s="161" t="str">
        <f>IFERROR(VLOOKUP(Q449,'PRODUCT TABLE'!$A$2:$B$26,2,FALSE),"-")</f>
        <v>-</v>
      </c>
      <c r="V449" s="161">
        <f t="shared" si="14"/>
        <v>0</v>
      </c>
      <c r="Y449" s="30"/>
      <c r="Z449" s="169">
        <f t="shared" si="2"/>
        <v>0</v>
      </c>
      <c r="AA449" s="167">
        <f t="shared" si="3"/>
        <v>0</v>
      </c>
      <c r="AB449" s="161"/>
      <c r="AC449" s="161">
        <f t="shared" si="4"/>
        <v>0</v>
      </c>
      <c r="AD449" s="161">
        <f t="shared" si="5"/>
        <v>0</v>
      </c>
      <c r="AE449" s="161">
        <f t="shared" si="6"/>
        <v>0</v>
      </c>
      <c r="AF449" s="167">
        <f t="shared" si="7"/>
        <v>0</v>
      </c>
      <c r="AG449" s="167">
        <f t="shared" si="8"/>
        <v>0</v>
      </c>
      <c r="AH449" s="158"/>
      <c r="AI449" s="158"/>
    </row>
    <row r="450" ht="12.75" customHeight="1">
      <c r="B450" s="160" t="str">
        <f>iferror(VLOOKUP((LEFT(A450,6)),CUSTOMER_DETAILS,2,FALSE),"-")</f>
        <v>-</v>
      </c>
      <c r="C450" s="161" t="s">
        <v>89</v>
      </c>
      <c r="D450" s="162"/>
      <c r="E450" s="161" t="s">
        <v>89</v>
      </c>
      <c r="F450" s="30" t="s">
        <v>89</v>
      </c>
      <c r="G450" s="30" t="s">
        <v>89</v>
      </c>
      <c r="H450" s="30" t="s">
        <v>89</v>
      </c>
      <c r="I450" s="48" t="s">
        <v>108</v>
      </c>
      <c r="J450" s="188" t="str">
        <f t="shared" si="15"/>
        <v/>
      </c>
      <c r="L450" s="48" t="s">
        <v>108</v>
      </c>
      <c r="O450" s="30" t="s">
        <v>89</v>
      </c>
      <c r="Q450" s="192"/>
      <c r="R450" s="161" t="str">
        <f>IFERROR(VLOOKUP(Q450,'PRODUCT TABLE'!$A$2:$B$26,2,FALSE),"-")</f>
        <v>-</v>
      </c>
      <c r="V450" s="161">
        <f t="shared" si="14"/>
        <v>0</v>
      </c>
      <c r="Y450" s="30"/>
      <c r="Z450" s="169">
        <f t="shared" si="2"/>
        <v>0</v>
      </c>
      <c r="AA450" s="167">
        <f t="shared" si="3"/>
        <v>0</v>
      </c>
      <c r="AB450" s="161"/>
      <c r="AC450" s="161">
        <f t="shared" si="4"/>
        <v>0</v>
      </c>
      <c r="AD450" s="161">
        <f t="shared" si="5"/>
        <v>0</v>
      </c>
      <c r="AE450" s="161">
        <f t="shared" si="6"/>
        <v>0</v>
      </c>
      <c r="AF450" s="167">
        <f t="shared" si="7"/>
        <v>0</v>
      </c>
      <c r="AG450" s="167">
        <f t="shared" si="8"/>
        <v>0</v>
      </c>
      <c r="AH450" s="158"/>
      <c r="AI450" s="158"/>
    </row>
    <row r="451" ht="12.75" customHeight="1">
      <c r="B451" s="160" t="str">
        <f>iferror(VLOOKUP((LEFT(A451,6)),CUSTOMER_DETAILS,2,FALSE),"-")</f>
        <v>-</v>
      </c>
      <c r="C451" s="161" t="s">
        <v>89</v>
      </c>
      <c r="D451" s="162"/>
      <c r="E451" s="161" t="s">
        <v>89</v>
      </c>
      <c r="F451" s="30" t="s">
        <v>89</v>
      </c>
      <c r="G451" s="30" t="s">
        <v>89</v>
      </c>
      <c r="H451" s="30" t="s">
        <v>89</v>
      </c>
      <c r="I451" s="48" t="s">
        <v>108</v>
      </c>
      <c r="J451" s="188" t="str">
        <f t="shared" si="15"/>
        <v/>
      </c>
      <c r="L451" s="48" t="s">
        <v>108</v>
      </c>
      <c r="O451" s="30" t="s">
        <v>89</v>
      </c>
      <c r="Q451" s="192"/>
      <c r="R451" s="161" t="str">
        <f>IFERROR(VLOOKUP(Q451,'PRODUCT TABLE'!$A$2:$B$26,2,FALSE),"-")</f>
        <v>-</v>
      </c>
      <c r="V451" s="161">
        <f t="shared" si="14"/>
        <v>0</v>
      </c>
      <c r="Y451" s="30"/>
      <c r="Z451" s="169">
        <f t="shared" si="2"/>
        <v>0</v>
      </c>
      <c r="AA451" s="167">
        <f t="shared" si="3"/>
        <v>0</v>
      </c>
      <c r="AB451" s="161"/>
      <c r="AC451" s="161">
        <f t="shared" si="4"/>
        <v>0</v>
      </c>
      <c r="AD451" s="161">
        <f t="shared" si="5"/>
        <v>0</v>
      </c>
      <c r="AE451" s="161">
        <f t="shared" si="6"/>
        <v>0</v>
      </c>
      <c r="AF451" s="167">
        <f t="shared" si="7"/>
        <v>0</v>
      </c>
      <c r="AG451" s="167">
        <f t="shared" si="8"/>
        <v>0</v>
      </c>
      <c r="AH451" s="158"/>
      <c r="AI451" s="158"/>
    </row>
    <row r="452" ht="12.75" customHeight="1">
      <c r="B452" s="160" t="str">
        <f>iferror(VLOOKUP((LEFT(A452,6)),CUSTOMER_DETAILS,2,FALSE),"-")</f>
        <v>-</v>
      </c>
      <c r="C452" s="161" t="s">
        <v>89</v>
      </c>
      <c r="D452" s="162"/>
      <c r="E452" s="161" t="s">
        <v>89</v>
      </c>
      <c r="F452" s="30" t="s">
        <v>89</v>
      </c>
      <c r="G452" s="30" t="s">
        <v>89</v>
      </c>
      <c r="H452" s="30" t="s">
        <v>89</v>
      </c>
      <c r="I452" s="48" t="s">
        <v>108</v>
      </c>
      <c r="J452" s="188" t="str">
        <f t="shared" si="15"/>
        <v/>
      </c>
      <c r="L452" s="48" t="s">
        <v>108</v>
      </c>
      <c r="O452" s="30" t="s">
        <v>89</v>
      </c>
      <c r="Q452" s="192"/>
      <c r="R452" s="161" t="str">
        <f>IFERROR(VLOOKUP(Q452,'PRODUCT TABLE'!$A$2:$B$26,2,FALSE),"-")</f>
        <v>-</v>
      </c>
      <c r="V452" s="161">
        <f t="shared" si="14"/>
        <v>0</v>
      </c>
      <c r="Y452" s="30"/>
      <c r="Z452" s="169">
        <f t="shared" si="2"/>
        <v>0</v>
      </c>
      <c r="AA452" s="167">
        <f t="shared" si="3"/>
        <v>0</v>
      </c>
      <c r="AB452" s="161"/>
      <c r="AC452" s="161">
        <f t="shared" si="4"/>
        <v>0</v>
      </c>
      <c r="AD452" s="161">
        <f t="shared" si="5"/>
        <v>0</v>
      </c>
      <c r="AE452" s="161">
        <f t="shared" si="6"/>
        <v>0</v>
      </c>
      <c r="AF452" s="167">
        <f t="shared" si="7"/>
        <v>0</v>
      </c>
      <c r="AG452" s="167">
        <f t="shared" si="8"/>
        <v>0</v>
      </c>
      <c r="AH452" s="158"/>
      <c r="AI452" s="158"/>
    </row>
    <row r="453" ht="12.75" customHeight="1">
      <c r="B453" s="160" t="str">
        <f>iferror(VLOOKUP((LEFT(A453,6)),CUSTOMER_DETAILS,2,FALSE),"-")</f>
        <v>-</v>
      </c>
      <c r="C453" s="161" t="s">
        <v>89</v>
      </c>
      <c r="D453" s="162"/>
      <c r="E453" s="161" t="s">
        <v>89</v>
      </c>
      <c r="F453" s="30" t="s">
        <v>89</v>
      </c>
      <c r="G453" s="30" t="s">
        <v>89</v>
      </c>
      <c r="H453" s="30" t="s">
        <v>89</v>
      </c>
      <c r="I453" s="48" t="s">
        <v>108</v>
      </c>
      <c r="J453" s="188" t="str">
        <f t="shared" si="15"/>
        <v/>
      </c>
      <c r="L453" s="48" t="s">
        <v>108</v>
      </c>
      <c r="O453" s="30" t="s">
        <v>89</v>
      </c>
      <c r="Q453" s="192"/>
      <c r="R453" s="161" t="str">
        <f>IFERROR(VLOOKUP(Q453,'PRODUCT TABLE'!$A$2:$B$26,2,FALSE),"-")</f>
        <v>-</v>
      </c>
      <c r="V453" s="161">
        <f t="shared" si="14"/>
        <v>0</v>
      </c>
      <c r="Y453" s="30"/>
      <c r="Z453" s="169">
        <f t="shared" si="2"/>
        <v>0</v>
      </c>
      <c r="AA453" s="167">
        <f t="shared" si="3"/>
        <v>0</v>
      </c>
      <c r="AB453" s="161"/>
      <c r="AC453" s="161">
        <f t="shared" si="4"/>
        <v>0</v>
      </c>
      <c r="AD453" s="161">
        <f t="shared" si="5"/>
        <v>0</v>
      </c>
      <c r="AE453" s="161">
        <f t="shared" si="6"/>
        <v>0</v>
      </c>
      <c r="AF453" s="167">
        <f t="shared" si="7"/>
        <v>0</v>
      </c>
      <c r="AG453" s="167">
        <f t="shared" si="8"/>
        <v>0</v>
      </c>
      <c r="AH453" s="158"/>
      <c r="AI453" s="158"/>
    </row>
    <row r="454" ht="12.75" customHeight="1">
      <c r="B454" s="160" t="str">
        <f>iferror(VLOOKUP((LEFT(A454,6)),CUSTOMER_DETAILS,2,FALSE),"-")</f>
        <v>-</v>
      </c>
      <c r="C454" s="161" t="s">
        <v>89</v>
      </c>
      <c r="D454" s="162"/>
      <c r="E454" s="161" t="s">
        <v>89</v>
      </c>
      <c r="F454" s="30" t="s">
        <v>89</v>
      </c>
      <c r="G454" s="30" t="s">
        <v>89</v>
      </c>
      <c r="H454" s="30" t="s">
        <v>89</v>
      </c>
      <c r="I454" s="48" t="s">
        <v>108</v>
      </c>
      <c r="J454" s="188" t="str">
        <f t="shared" si="15"/>
        <v/>
      </c>
      <c r="L454" s="48" t="s">
        <v>108</v>
      </c>
      <c r="O454" s="30" t="s">
        <v>89</v>
      </c>
      <c r="Q454" s="192"/>
      <c r="R454" s="161" t="str">
        <f>IFERROR(VLOOKUP(Q454,'PRODUCT TABLE'!$A$2:$B$26,2,FALSE),"-")</f>
        <v>-</v>
      </c>
      <c r="V454" s="161">
        <f t="shared" si="14"/>
        <v>0</v>
      </c>
      <c r="Y454" s="30"/>
      <c r="Z454" s="169">
        <f t="shared" si="2"/>
        <v>0</v>
      </c>
      <c r="AA454" s="167">
        <f t="shared" si="3"/>
        <v>0</v>
      </c>
      <c r="AB454" s="161"/>
      <c r="AC454" s="161">
        <f t="shared" si="4"/>
        <v>0</v>
      </c>
      <c r="AD454" s="161">
        <f t="shared" si="5"/>
        <v>0</v>
      </c>
      <c r="AE454" s="161">
        <f t="shared" si="6"/>
        <v>0</v>
      </c>
      <c r="AF454" s="167">
        <f t="shared" si="7"/>
        <v>0</v>
      </c>
      <c r="AG454" s="167">
        <f t="shared" si="8"/>
        <v>0</v>
      </c>
      <c r="AH454" s="158"/>
      <c r="AI454" s="158"/>
    </row>
    <row r="455" ht="12.75" customHeight="1">
      <c r="B455" s="160" t="str">
        <f>iferror(VLOOKUP((LEFT(A455,6)),CUSTOMER_DETAILS,2,FALSE),"-")</f>
        <v>-</v>
      </c>
      <c r="C455" s="161" t="s">
        <v>89</v>
      </c>
      <c r="D455" s="162"/>
      <c r="E455" s="161" t="s">
        <v>89</v>
      </c>
      <c r="F455" s="30" t="s">
        <v>89</v>
      </c>
      <c r="G455" s="30" t="s">
        <v>89</v>
      </c>
      <c r="H455" s="30" t="s">
        <v>89</v>
      </c>
      <c r="I455" s="48" t="s">
        <v>108</v>
      </c>
      <c r="J455" s="188" t="str">
        <f t="shared" si="15"/>
        <v/>
      </c>
      <c r="L455" s="48" t="s">
        <v>108</v>
      </c>
      <c r="O455" s="30" t="s">
        <v>89</v>
      </c>
      <c r="Q455" s="192"/>
      <c r="R455" s="161" t="str">
        <f>IFERROR(VLOOKUP(Q455,'PRODUCT TABLE'!$A$2:$B$26,2,FALSE),"-")</f>
        <v>-</v>
      </c>
      <c r="V455" s="161">
        <f t="shared" si="14"/>
        <v>0</v>
      </c>
      <c r="Y455" s="30"/>
      <c r="Z455" s="169">
        <f t="shared" si="2"/>
        <v>0</v>
      </c>
      <c r="AA455" s="167">
        <f t="shared" si="3"/>
        <v>0</v>
      </c>
      <c r="AB455" s="161"/>
      <c r="AC455" s="161">
        <f t="shared" si="4"/>
        <v>0</v>
      </c>
      <c r="AD455" s="161">
        <f t="shared" si="5"/>
        <v>0</v>
      </c>
      <c r="AE455" s="161">
        <f t="shared" si="6"/>
        <v>0</v>
      </c>
      <c r="AF455" s="167">
        <f t="shared" si="7"/>
        <v>0</v>
      </c>
      <c r="AG455" s="167">
        <f t="shared" si="8"/>
        <v>0</v>
      </c>
      <c r="AH455" s="158"/>
      <c r="AI455" s="158"/>
    </row>
    <row r="456" ht="12.75" customHeight="1">
      <c r="B456" s="160" t="str">
        <f>iferror(VLOOKUP((LEFT(A456,6)),CUSTOMER_DETAILS,2,FALSE),"-")</f>
        <v>-</v>
      </c>
      <c r="C456" s="161" t="s">
        <v>89</v>
      </c>
      <c r="D456" s="162"/>
      <c r="E456" s="161" t="s">
        <v>89</v>
      </c>
      <c r="F456" s="30" t="s">
        <v>89</v>
      </c>
      <c r="G456" s="30" t="s">
        <v>89</v>
      </c>
      <c r="H456" s="30" t="s">
        <v>89</v>
      </c>
      <c r="I456" s="48" t="s">
        <v>108</v>
      </c>
      <c r="J456" s="188" t="str">
        <f t="shared" si="15"/>
        <v/>
      </c>
      <c r="L456" s="48" t="s">
        <v>108</v>
      </c>
      <c r="O456" s="30" t="s">
        <v>89</v>
      </c>
      <c r="Q456" s="192"/>
      <c r="R456" s="161" t="str">
        <f>IFERROR(VLOOKUP(Q456,'PRODUCT TABLE'!$A$2:$B$26,2,FALSE),"-")</f>
        <v>-</v>
      </c>
      <c r="V456" s="161">
        <f t="shared" si="14"/>
        <v>0</v>
      </c>
      <c r="Y456" s="30"/>
      <c r="Z456" s="169">
        <f t="shared" si="2"/>
        <v>0</v>
      </c>
      <c r="AA456" s="167">
        <f t="shared" si="3"/>
        <v>0</v>
      </c>
      <c r="AB456" s="161"/>
      <c r="AC456" s="161">
        <f t="shared" si="4"/>
        <v>0</v>
      </c>
      <c r="AD456" s="161">
        <f t="shared" si="5"/>
        <v>0</v>
      </c>
      <c r="AE456" s="161">
        <f t="shared" si="6"/>
        <v>0</v>
      </c>
      <c r="AF456" s="167">
        <f t="shared" si="7"/>
        <v>0</v>
      </c>
      <c r="AG456" s="167">
        <f t="shared" si="8"/>
        <v>0</v>
      </c>
      <c r="AH456" s="158"/>
      <c r="AI456" s="158"/>
    </row>
    <row r="457" ht="12.75" customHeight="1">
      <c r="B457" s="160" t="str">
        <f>iferror(VLOOKUP((LEFT(A457,6)),CUSTOMER_DETAILS,2,FALSE),"-")</f>
        <v>-</v>
      </c>
      <c r="C457" s="161" t="s">
        <v>89</v>
      </c>
      <c r="D457" s="162"/>
      <c r="E457" s="161" t="s">
        <v>89</v>
      </c>
      <c r="F457" s="30" t="s">
        <v>89</v>
      </c>
      <c r="G457" s="30" t="s">
        <v>89</v>
      </c>
      <c r="H457" s="30" t="s">
        <v>89</v>
      </c>
      <c r="I457" s="48" t="s">
        <v>108</v>
      </c>
      <c r="J457" s="188" t="str">
        <f t="shared" si="15"/>
        <v/>
      </c>
      <c r="L457" s="48" t="s">
        <v>108</v>
      </c>
      <c r="O457" s="30" t="s">
        <v>89</v>
      </c>
      <c r="Q457" s="192"/>
      <c r="R457" s="161" t="str">
        <f>IFERROR(VLOOKUP(Q457,'PRODUCT TABLE'!$A$2:$B$26,2,FALSE),"-")</f>
        <v>-</v>
      </c>
      <c r="V457" s="161">
        <f t="shared" si="14"/>
        <v>0</v>
      </c>
      <c r="Y457" s="30"/>
      <c r="Z457" s="169">
        <f t="shared" si="2"/>
        <v>0</v>
      </c>
      <c r="AA457" s="167">
        <f t="shared" si="3"/>
        <v>0</v>
      </c>
      <c r="AB457" s="161"/>
      <c r="AC457" s="161">
        <f t="shared" si="4"/>
        <v>0</v>
      </c>
      <c r="AD457" s="161">
        <f t="shared" si="5"/>
        <v>0</v>
      </c>
      <c r="AE457" s="161">
        <f t="shared" si="6"/>
        <v>0</v>
      </c>
      <c r="AF457" s="167">
        <f t="shared" si="7"/>
        <v>0</v>
      </c>
      <c r="AG457" s="167">
        <f t="shared" si="8"/>
        <v>0</v>
      </c>
      <c r="AH457" s="158"/>
      <c r="AI457" s="158"/>
    </row>
    <row r="458" ht="12.75" customHeight="1">
      <c r="B458" s="160" t="str">
        <f>iferror(VLOOKUP((LEFT(A458,6)),CUSTOMER_DETAILS,2,FALSE),"-")</f>
        <v>-</v>
      </c>
      <c r="C458" s="161" t="s">
        <v>89</v>
      </c>
      <c r="D458" s="162"/>
      <c r="E458" s="161" t="s">
        <v>89</v>
      </c>
      <c r="F458" s="30" t="s">
        <v>89</v>
      </c>
      <c r="G458" s="30" t="s">
        <v>89</v>
      </c>
      <c r="H458" s="30" t="s">
        <v>89</v>
      </c>
      <c r="I458" s="48" t="s">
        <v>108</v>
      </c>
      <c r="J458" s="188" t="str">
        <f t="shared" si="15"/>
        <v/>
      </c>
      <c r="L458" s="48" t="s">
        <v>108</v>
      </c>
      <c r="O458" s="30" t="s">
        <v>89</v>
      </c>
      <c r="Q458" s="192"/>
      <c r="R458" s="161" t="str">
        <f>IFERROR(VLOOKUP(Q458,'PRODUCT TABLE'!$A$2:$B$26,2,FALSE),"-")</f>
        <v>-</v>
      </c>
      <c r="V458" s="161">
        <f t="shared" si="14"/>
        <v>0</v>
      </c>
      <c r="Y458" s="30"/>
      <c r="Z458" s="169">
        <f t="shared" si="2"/>
        <v>0</v>
      </c>
      <c r="AA458" s="167">
        <f t="shared" si="3"/>
        <v>0</v>
      </c>
      <c r="AB458" s="161"/>
      <c r="AC458" s="161">
        <f t="shared" si="4"/>
        <v>0</v>
      </c>
      <c r="AD458" s="161">
        <f t="shared" si="5"/>
        <v>0</v>
      </c>
      <c r="AE458" s="161">
        <f t="shared" si="6"/>
        <v>0</v>
      </c>
      <c r="AF458" s="167">
        <f t="shared" si="7"/>
        <v>0</v>
      </c>
      <c r="AG458" s="167">
        <f t="shared" si="8"/>
        <v>0</v>
      </c>
      <c r="AH458" s="158"/>
      <c r="AI458" s="158"/>
    </row>
    <row r="459" ht="12.75" customHeight="1">
      <c r="B459" s="160" t="str">
        <f>iferror(VLOOKUP((LEFT(A459,6)),CUSTOMER_DETAILS,2,FALSE),"-")</f>
        <v>-</v>
      </c>
      <c r="C459" s="161" t="s">
        <v>89</v>
      </c>
      <c r="D459" s="162"/>
      <c r="E459" s="161" t="s">
        <v>89</v>
      </c>
      <c r="F459" s="30" t="s">
        <v>89</v>
      </c>
      <c r="G459" s="30" t="s">
        <v>89</v>
      </c>
      <c r="H459" s="30" t="s">
        <v>89</v>
      </c>
      <c r="I459" s="48" t="s">
        <v>108</v>
      </c>
      <c r="J459" s="188" t="str">
        <f t="shared" si="15"/>
        <v/>
      </c>
      <c r="L459" s="48" t="s">
        <v>108</v>
      </c>
      <c r="O459" s="30" t="s">
        <v>89</v>
      </c>
      <c r="Q459" s="192"/>
      <c r="R459" s="161" t="str">
        <f>IFERROR(VLOOKUP(Q459,'PRODUCT TABLE'!$A$2:$B$26,2,FALSE),"-")</f>
        <v>-</v>
      </c>
      <c r="V459" s="161">
        <f t="shared" si="14"/>
        <v>0</v>
      </c>
      <c r="Y459" s="30"/>
      <c r="Z459" s="169">
        <f t="shared" si="2"/>
        <v>0</v>
      </c>
      <c r="AA459" s="167">
        <f t="shared" si="3"/>
        <v>0</v>
      </c>
      <c r="AB459" s="161"/>
      <c r="AC459" s="161">
        <f t="shared" si="4"/>
        <v>0</v>
      </c>
      <c r="AD459" s="161">
        <f t="shared" si="5"/>
        <v>0</v>
      </c>
      <c r="AE459" s="161">
        <f t="shared" si="6"/>
        <v>0</v>
      </c>
      <c r="AF459" s="167">
        <f t="shared" si="7"/>
        <v>0</v>
      </c>
      <c r="AG459" s="167">
        <f t="shared" si="8"/>
        <v>0</v>
      </c>
      <c r="AH459" s="158"/>
      <c r="AI459" s="158"/>
    </row>
    <row r="460" ht="12.75" customHeight="1">
      <c r="B460" s="160" t="str">
        <f>iferror(VLOOKUP((LEFT(A460,6)),CUSTOMER_DETAILS,2,FALSE),"-")</f>
        <v>-</v>
      </c>
      <c r="C460" s="161" t="s">
        <v>89</v>
      </c>
      <c r="D460" s="162"/>
      <c r="E460" s="161" t="s">
        <v>89</v>
      </c>
      <c r="F460" s="30" t="s">
        <v>89</v>
      </c>
      <c r="G460" s="30" t="s">
        <v>89</v>
      </c>
      <c r="H460" s="30" t="s">
        <v>89</v>
      </c>
      <c r="I460" s="48" t="s">
        <v>108</v>
      </c>
      <c r="J460" s="188" t="str">
        <f t="shared" si="15"/>
        <v/>
      </c>
      <c r="L460" s="48" t="s">
        <v>108</v>
      </c>
      <c r="O460" s="30" t="s">
        <v>89</v>
      </c>
      <c r="Q460" s="192"/>
      <c r="R460" s="161" t="str">
        <f>IFERROR(VLOOKUP(Q460,'PRODUCT TABLE'!$A$2:$B$26,2,FALSE),"-")</f>
        <v>-</v>
      </c>
      <c r="V460" s="161">
        <f t="shared" si="14"/>
        <v>0</v>
      </c>
      <c r="Y460" s="30"/>
      <c r="Z460" s="169">
        <f t="shared" si="2"/>
        <v>0</v>
      </c>
      <c r="AA460" s="167">
        <f t="shared" si="3"/>
        <v>0</v>
      </c>
      <c r="AB460" s="161"/>
      <c r="AC460" s="161">
        <f t="shared" si="4"/>
        <v>0</v>
      </c>
      <c r="AD460" s="161">
        <f t="shared" si="5"/>
        <v>0</v>
      </c>
      <c r="AE460" s="161">
        <f t="shared" si="6"/>
        <v>0</v>
      </c>
      <c r="AF460" s="167">
        <f t="shared" si="7"/>
        <v>0</v>
      </c>
      <c r="AG460" s="167">
        <f t="shared" si="8"/>
        <v>0</v>
      </c>
      <c r="AH460" s="158"/>
      <c r="AI460" s="158"/>
    </row>
    <row r="461" ht="12.75" customHeight="1">
      <c r="B461" s="160" t="str">
        <f>iferror(VLOOKUP((LEFT(A461,6)),CUSTOMER_DETAILS,2,FALSE),"-")</f>
        <v>-</v>
      </c>
      <c r="C461" s="161" t="s">
        <v>89</v>
      </c>
      <c r="D461" s="162"/>
      <c r="E461" s="161" t="s">
        <v>89</v>
      </c>
      <c r="F461" s="30" t="s">
        <v>89</v>
      </c>
      <c r="G461" s="30" t="s">
        <v>89</v>
      </c>
      <c r="H461" s="30" t="s">
        <v>89</v>
      </c>
      <c r="I461" s="48" t="s">
        <v>108</v>
      </c>
      <c r="J461" s="188" t="str">
        <f t="shared" si="15"/>
        <v/>
      </c>
      <c r="L461" s="48" t="s">
        <v>108</v>
      </c>
      <c r="O461" s="30" t="s">
        <v>89</v>
      </c>
      <c r="Q461" s="192"/>
      <c r="R461" s="161" t="str">
        <f>IFERROR(VLOOKUP(Q461,'PRODUCT TABLE'!$A$2:$B$26,2,FALSE),"-")</f>
        <v>-</v>
      </c>
      <c r="V461" s="161">
        <f t="shared" si="14"/>
        <v>0</v>
      </c>
      <c r="Y461" s="30"/>
      <c r="Z461" s="169">
        <f t="shared" si="2"/>
        <v>0</v>
      </c>
      <c r="AA461" s="167">
        <f t="shared" si="3"/>
        <v>0</v>
      </c>
      <c r="AB461" s="161"/>
      <c r="AC461" s="161">
        <f t="shared" si="4"/>
        <v>0</v>
      </c>
      <c r="AD461" s="161">
        <f t="shared" si="5"/>
        <v>0</v>
      </c>
      <c r="AE461" s="161">
        <f t="shared" si="6"/>
        <v>0</v>
      </c>
      <c r="AF461" s="167">
        <f t="shared" si="7"/>
        <v>0</v>
      </c>
      <c r="AG461" s="167">
        <f t="shared" si="8"/>
        <v>0</v>
      </c>
      <c r="AH461" s="158"/>
      <c r="AI461" s="158"/>
    </row>
    <row r="462" ht="12.75" customHeight="1">
      <c r="B462" s="160" t="str">
        <f>iferror(VLOOKUP((LEFT(A462,6)),CUSTOMER_DETAILS,2,FALSE),"-")</f>
        <v>-</v>
      </c>
      <c r="C462" s="161" t="s">
        <v>89</v>
      </c>
      <c r="D462" s="162"/>
      <c r="E462" s="161" t="s">
        <v>89</v>
      </c>
      <c r="F462" s="30" t="s">
        <v>89</v>
      </c>
      <c r="G462" s="30" t="s">
        <v>89</v>
      </c>
      <c r="H462" s="30" t="s">
        <v>89</v>
      </c>
      <c r="I462" s="48" t="s">
        <v>108</v>
      </c>
      <c r="J462" s="188" t="str">
        <f t="shared" si="15"/>
        <v/>
      </c>
      <c r="L462" s="48" t="s">
        <v>108</v>
      </c>
      <c r="O462" s="30" t="s">
        <v>89</v>
      </c>
      <c r="Q462" s="192"/>
      <c r="R462" s="161" t="str">
        <f>IFERROR(VLOOKUP(Q462,'PRODUCT TABLE'!$A$2:$B$26,2,FALSE),"-")</f>
        <v>-</v>
      </c>
      <c r="V462" s="161">
        <f t="shared" si="14"/>
        <v>0</v>
      </c>
      <c r="Y462" s="30"/>
      <c r="Z462" s="169">
        <f t="shared" si="2"/>
        <v>0</v>
      </c>
      <c r="AA462" s="167">
        <f t="shared" si="3"/>
        <v>0</v>
      </c>
      <c r="AB462" s="161"/>
      <c r="AC462" s="161">
        <f t="shared" si="4"/>
        <v>0</v>
      </c>
      <c r="AD462" s="161">
        <f t="shared" si="5"/>
        <v>0</v>
      </c>
      <c r="AE462" s="161">
        <f t="shared" si="6"/>
        <v>0</v>
      </c>
      <c r="AF462" s="167">
        <f t="shared" si="7"/>
        <v>0</v>
      </c>
      <c r="AG462" s="167">
        <f t="shared" si="8"/>
        <v>0</v>
      </c>
      <c r="AH462" s="158"/>
      <c r="AI462" s="158"/>
    </row>
    <row r="463" ht="12.75" customHeight="1">
      <c r="B463" s="160" t="str">
        <f>iferror(VLOOKUP((LEFT(A463,6)),CUSTOMER_DETAILS,2,FALSE),"-")</f>
        <v>-</v>
      </c>
      <c r="C463" s="161" t="s">
        <v>89</v>
      </c>
      <c r="D463" s="162"/>
      <c r="E463" s="161" t="s">
        <v>89</v>
      </c>
      <c r="F463" s="30" t="s">
        <v>89</v>
      </c>
      <c r="G463" s="30" t="s">
        <v>89</v>
      </c>
      <c r="H463" s="30" t="s">
        <v>89</v>
      </c>
      <c r="I463" s="48" t="s">
        <v>108</v>
      </c>
      <c r="J463" s="188" t="str">
        <f t="shared" si="15"/>
        <v/>
      </c>
      <c r="L463" s="48" t="s">
        <v>108</v>
      </c>
      <c r="O463" s="30" t="s">
        <v>89</v>
      </c>
      <c r="Q463" s="192"/>
      <c r="R463" s="161" t="str">
        <f>IFERROR(VLOOKUP(Q463,'PRODUCT TABLE'!$A$2:$B$26,2,FALSE),"-")</f>
        <v>-</v>
      </c>
      <c r="V463" s="161">
        <f t="shared" si="14"/>
        <v>0</v>
      </c>
      <c r="Y463" s="30"/>
      <c r="Z463" s="169">
        <f t="shared" si="2"/>
        <v>0</v>
      </c>
      <c r="AA463" s="167">
        <f t="shared" si="3"/>
        <v>0</v>
      </c>
      <c r="AB463" s="161"/>
      <c r="AC463" s="161">
        <f t="shared" si="4"/>
        <v>0</v>
      </c>
      <c r="AD463" s="161">
        <f t="shared" si="5"/>
        <v>0</v>
      </c>
      <c r="AE463" s="161">
        <f t="shared" si="6"/>
        <v>0</v>
      </c>
      <c r="AF463" s="167">
        <f t="shared" si="7"/>
        <v>0</v>
      </c>
      <c r="AG463" s="167">
        <f t="shared" si="8"/>
        <v>0</v>
      </c>
      <c r="AH463" s="158"/>
      <c r="AI463" s="158"/>
    </row>
    <row r="464" ht="12.75" customHeight="1">
      <c r="B464" s="160" t="str">
        <f>iferror(VLOOKUP((LEFT(A464,6)),CUSTOMER_DETAILS,2,FALSE),"-")</f>
        <v>-</v>
      </c>
      <c r="C464" s="161" t="s">
        <v>89</v>
      </c>
      <c r="D464" s="162"/>
      <c r="E464" s="161" t="s">
        <v>89</v>
      </c>
      <c r="F464" s="30" t="s">
        <v>89</v>
      </c>
      <c r="G464" s="30" t="s">
        <v>89</v>
      </c>
      <c r="H464" s="30" t="s">
        <v>89</v>
      </c>
      <c r="I464" s="48" t="s">
        <v>108</v>
      </c>
      <c r="J464" s="188" t="str">
        <f t="shared" si="15"/>
        <v/>
      </c>
      <c r="L464" s="48" t="s">
        <v>108</v>
      </c>
      <c r="O464" s="30" t="s">
        <v>89</v>
      </c>
      <c r="Q464" s="192"/>
      <c r="R464" s="161" t="str">
        <f>IFERROR(VLOOKUP(Q464,'PRODUCT TABLE'!$A$2:$B$26,2,FALSE),"-")</f>
        <v>-</v>
      </c>
      <c r="V464" s="161">
        <f t="shared" si="14"/>
        <v>0</v>
      </c>
      <c r="Y464" s="30"/>
      <c r="Z464" s="169">
        <f t="shared" si="2"/>
        <v>0</v>
      </c>
      <c r="AA464" s="167">
        <f t="shared" si="3"/>
        <v>0</v>
      </c>
      <c r="AB464" s="161"/>
      <c r="AC464" s="161">
        <f t="shared" si="4"/>
        <v>0</v>
      </c>
      <c r="AD464" s="161">
        <f t="shared" si="5"/>
        <v>0</v>
      </c>
      <c r="AE464" s="161">
        <f t="shared" si="6"/>
        <v>0</v>
      </c>
      <c r="AF464" s="167">
        <f t="shared" si="7"/>
        <v>0</v>
      </c>
      <c r="AG464" s="167">
        <f t="shared" si="8"/>
        <v>0</v>
      </c>
      <c r="AH464" s="158"/>
      <c r="AI464" s="158"/>
    </row>
    <row r="465" ht="12.75" customHeight="1">
      <c r="B465" s="160" t="str">
        <f>iferror(VLOOKUP((LEFT(A465,6)),CUSTOMER_DETAILS,2,FALSE),"-")</f>
        <v>-</v>
      </c>
      <c r="C465" s="161" t="s">
        <v>89</v>
      </c>
      <c r="D465" s="162"/>
      <c r="E465" s="161" t="s">
        <v>89</v>
      </c>
      <c r="F465" s="30" t="s">
        <v>89</v>
      </c>
      <c r="G465" s="30" t="s">
        <v>89</v>
      </c>
      <c r="H465" s="30" t="s">
        <v>89</v>
      </c>
      <c r="I465" s="48" t="s">
        <v>108</v>
      </c>
      <c r="J465" s="188" t="str">
        <f t="shared" si="15"/>
        <v/>
      </c>
      <c r="L465" s="48" t="s">
        <v>108</v>
      </c>
      <c r="O465" s="30" t="s">
        <v>89</v>
      </c>
      <c r="Q465" s="192"/>
      <c r="R465" s="161" t="str">
        <f>IFERROR(VLOOKUP(Q465,'PRODUCT TABLE'!$A$2:$B$26,2,FALSE),"-")</f>
        <v>-</v>
      </c>
      <c r="V465" s="161">
        <f t="shared" si="14"/>
        <v>0</v>
      </c>
      <c r="Y465" s="30"/>
      <c r="Z465" s="169">
        <f t="shared" si="2"/>
        <v>0</v>
      </c>
      <c r="AA465" s="167">
        <f t="shared" si="3"/>
        <v>0</v>
      </c>
      <c r="AB465" s="161"/>
      <c r="AC465" s="161">
        <f t="shared" si="4"/>
        <v>0</v>
      </c>
      <c r="AD465" s="161">
        <f t="shared" si="5"/>
        <v>0</v>
      </c>
      <c r="AE465" s="161">
        <f t="shared" si="6"/>
        <v>0</v>
      </c>
      <c r="AF465" s="167">
        <f t="shared" si="7"/>
        <v>0</v>
      </c>
      <c r="AG465" s="167">
        <f t="shared" si="8"/>
        <v>0</v>
      </c>
      <c r="AH465" s="158"/>
      <c r="AI465" s="158"/>
    </row>
    <row r="466" ht="12.75" customHeight="1">
      <c r="B466" s="160" t="str">
        <f>iferror(VLOOKUP((LEFT(A466,6)),CUSTOMER_DETAILS,2,FALSE),"-")</f>
        <v>-</v>
      </c>
      <c r="C466" s="161" t="s">
        <v>89</v>
      </c>
      <c r="D466" s="162"/>
      <c r="E466" s="161" t="s">
        <v>89</v>
      </c>
      <c r="F466" s="30" t="s">
        <v>89</v>
      </c>
      <c r="G466" s="30" t="s">
        <v>89</v>
      </c>
      <c r="H466" s="30" t="s">
        <v>89</v>
      </c>
      <c r="I466" s="48" t="s">
        <v>108</v>
      </c>
      <c r="J466" s="188" t="str">
        <f t="shared" si="15"/>
        <v/>
      </c>
      <c r="L466" s="48" t="s">
        <v>108</v>
      </c>
      <c r="O466" s="30" t="s">
        <v>89</v>
      </c>
      <c r="Q466" s="192"/>
      <c r="R466" s="161" t="str">
        <f>IFERROR(VLOOKUP(Q466,'PRODUCT TABLE'!$A$2:$B$26,2,FALSE),"-")</f>
        <v>-</v>
      </c>
      <c r="V466" s="161">
        <f t="shared" si="14"/>
        <v>0</v>
      </c>
      <c r="Y466" s="30"/>
      <c r="Z466" s="169">
        <f t="shared" si="2"/>
        <v>0</v>
      </c>
      <c r="AA466" s="167">
        <f t="shared" si="3"/>
        <v>0</v>
      </c>
      <c r="AB466" s="161"/>
      <c r="AC466" s="161">
        <f t="shared" si="4"/>
        <v>0</v>
      </c>
      <c r="AD466" s="161">
        <f t="shared" si="5"/>
        <v>0</v>
      </c>
      <c r="AE466" s="161">
        <f t="shared" si="6"/>
        <v>0</v>
      </c>
      <c r="AF466" s="167">
        <f t="shared" si="7"/>
        <v>0</v>
      </c>
      <c r="AG466" s="167">
        <f t="shared" si="8"/>
        <v>0</v>
      </c>
      <c r="AH466" s="158"/>
      <c r="AI466" s="158"/>
    </row>
    <row r="467" ht="12.75" customHeight="1">
      <c r="B467" s="160" t="str">
        <f>iferror(VLOOKUP((LEFT(A467,6)),CUSTOMER_DETAILS,2,FALSE),"-")</f>
        <v>-</v>
      </c>
      <c r="C467" s="161" t="s">
        <v>89</v>
      </c>
      <c r="D467" s="162"/>
      <c r="E467" s="161" t="s">
        <v>89</v>
      </c>
      <c r="F467" s="30" t="s">
        <v>89</v>
      </c>
      <c r="G467" s="30" t="s">
        <v>89</v>
      </c>
      <c r="H467" s="30" t="s">
        <v>89</v>
      </c>
      <c r="I467" s="48" t="s">
        <v>108</v>
      </c>
      <c r="J467" s="188" t="str">
        <f t="shared" si="15"/>
        <v/>
      </c>
      <c r="L467" s="48" t="s">
        <v>108</v>
      </c>
      <c r="O467" s="30" t="s">
        <v>89</v>
      </c>
      <c r="Q467" s="192"/>
      <c r="R467" s="161" t="str">
        <f>IFERROR(VLOOKUP(Q467,'PRODUCT TABLE'!$A$2:$B$26,2,FALSE),"-")</f>
        <v>-</v>
      </c>
      <c r="V467" s="161">
        <f t="shared" si="14"/>
        <v>0</v>
      </c>
      <c r="Y467" s="30"/>
      <c r="Z467" s="169">
        <f t="shared" si="2"/>
        <v>0</v>
      </c>
      <c r="AA467" s="167">
        <f t="shared" si="3"/>
        <v>0</v>
      </c>
      <c r="AB467" s="161"/>
      <c r="AC467" s="161">
        <f t="shared" si="4"/>
        <v>0</v>
      </c>
      <c r="AD467" s="161">
        <f t="shared" si="5"/>
        <v>0</v>
      </c>
      <c r="AE467" s="161">
        <f t="shared" si="6"/>
        <v>0</v>
      </c>
      <c r="AF467" s="167">
        <f t="shared" si="7"/>
        <v>0</v>
      </c>
      <c r="AG467" s="167">
        <f t="shared" si="8"/>
        <v>0</v>
      </c>
      <c r="AH467" s="158"/>
      <c r="AI467" s="158"/>
    </row>
    <row r="468" ht="12.75" customHeight="1">
      <c r="B468" s="160" t="str">
        <f>iferror(VLOOKUP((LEFT(A468,6)),CUSTOMER_DETAILS,2,FALSE),"-")</f>
        <v>-</v>
      </c>
      <c r="C468" s="161" t="s">
        <v>89</v>
      </c>
      <c r="D468" s="162"/>
      <c r="E468" s="161" t="s">
        <v>89</v>
      </c>
      <c r="F468" s="30" t="s">
        <v>89</v>
      </c>
      <c r="G468" s="30" t="s">
        <v>89</v>
      </c>
      <c r="H468" s="30" t="s">
        <v>89</v>
      </c>
      <c r="I468" s="48" t="s">
        <v>108</v>
      </c>
      <c r="J468" s="188" t="str">
        <f t="shared" si="15"/>
        <v/>
      </c>
      <c r="L468" s="48" t="s">
        <v>108</v>
      </c>
      <c r="O468" s="30" t="s">
        <v>89</v>
      </c>
      <c r="Q468" s="192"/>
      <c r="R468" s="161" t="str">
        <f>IFERROR(VLOOKUP(Q468,'PRODUCT TABLE'!$A$2:$B$26,2,FALSE),"-")</f>
        <v>-</v>
      </c>
      <c r="V468" s="161">
        <f t="shared" si="14"/>
        <v>0</v>
      </c>
      <c r="Y468" s="30"/>
      <c r="Z468" s="169">
        <f t="shared" si="2"/>
        <v>0</v>
      </c>
      <c r="AA468" s="167">
        <f t="shared" si="3"/>
        <v>0</v>
      </c>
      <c r="AB468" s="161"/>
      <c r="AC468" s="161">
        <f t="shared" si="4"/>
        <v>0</v>
      </c>
      <c r="AD468" s="161">
        <f t="shared" si="5"/>
        <v>0</v>
      </c>
      <c r="AE468" s="161">
        <f t="shared" si="6"/>
        <v>0</v>
      </c>
      <c r="AF468" s="167">
        <f t="shared" si="7"/>
        <v>0</v>
      </c>
      <c r="AG468" s="167">
        <f t="shared" si="8"/>
        <v>0</v>
      </c>
      <c r="AH468" s="158"/>
      <c r="AI468" s="158"/>
    </row>
    <row r="469" ht="12.75" customHeight="1">
      <c r="B469" s="160" t="str">
        <f>iferror(VLOOKUP((LEFT(A469,6)),CUSTOMER_DETAILS,2,FALSE),"-")</f>
        <v>-</v>
      </c>
      <c r="C469" s="161" t="s">
        <v>89</v>
      </c>
      <c r="D469" s="162"/>
      <c r="E469" s="161" t="s">
        <v>89</v>
      </c>
      <c r="F469" s="30" t="s">
        <v>89</v>
      </c>
      <c r="G469" s="30" t="s">
        <v>89</v>
      </c>
      <c r="H469" s="30" t="s">
        <v>89</v>
      </c>
      <c r="I469" s="48" t="s">
        <v>108</v>
      </c>
      <c r="J469" s="188" t="str">
        <f t="shared" si="15"/>
        <v/>
      </c>
      <c r="L469" s="48" t="s">
        <v>108</v>
      </c>
      <c r="O469" s="30" t="s">
        <v>89</v>
      </c>
      <c r="Q469" s="192"/>
      <c r="R469" s="161" t="str">
        <f>IFERROR(VLOOKUP(Q469,'PRODUCT TABLE'!$A$2:$B$26,2,FALSE),"-")</f>
        <v>-</v>
      </c>
      <c r="V469" s="161">
        <f t="shared" si="14"/>
        <v>0</v>
      </c>
      <c r="Y469" s="30"/>
      <c r="Z469" s="169">
        <f t="shared" si="2"/>
        <v>0</v>
      </c>
      <c r="AA469" s="167">
        <f t="shared" si="3"/>
        <v>0</v>
      </c>
      <c r="AB469" s="161"/>
      <c r="AC469" s="161">
        <f t="shared" si="4"/>
        <v>0</v>
      </c>
      <c r="AD469" s="161">
        <f t="shared" si="5"/>
        <v>0</v>
      </c>
      <c r="AE469" s="161">
        <f t="shared" si="6"/>
        <v>0</v>
      </c>
      <c r="AF469" s="167">
        <f t="shared" si="7"/>
        <v>0</v>
      </c>
      <c r="AG469" s="167">
        <f t="shared" si="8"/>
        <v>0</v>
      </c>
      <c r="AH469" s="158"/>
      <c r="AI469" s="158"/>
    </row>
    <row r="470" ht="12.75" customHeight="1">
      <c r="B470" s="160" t="str">
        <f>iferror(VLOOKUP((LEFT(A470,6)),CUSTOMER_DETAILS,2,FALSE),"-")</f>
        <v>-</v>
      </c>
      <c r="C470" s="161" t="s">
        <v>89</v>
      </c>
      <c r="D470" s="162"/>
      <c r="E470" s="161" t="s">
        <v>89</v>
      </c>
      <c r="F470" s="30" t="s">
        <v>89</v>
      </c>
      <c r="G470" s="30" t="s">
        <v>89</v>
      </c>
      <c r="H470" s="30" t="s">
        <v>89</v>
      </c>
      <c r="I470" s="48" t="s">
        <v>108</v>
      </c>
      <c r="J470" s="188" t="str">
        <f t="shared" si="15"/>
        <v/>
      </c>
      <c r="L470" s="48" t="s">
        <v>108</v>
      </c>
      <c r="O470" s="30" t="s">
        <v>89</v>
      </c>
      <c r="Q470" s="192"/>
      <c r="R470" s="161" t="str">
        <f>IFERROR(VLOOKUP(Q470,'PRODUCT TABLE'!$A$2:$B$26,2,FALSE),"-")</f>
        <v>-</v>
      </c>
      <c r="V470" s="161">
        <f t="shared" si="14"/>
        <v>0</v>
      </c>
      <c r="Y470" s="30"/>
      <c r="Z470" s="169">
        <f t="shared" si="2"/>
        <v>0</v>
      </c>
      <c r="AA470" s="167">
        <f t="shared" si="3"/>
        <v>0</v>
      </c>
      <c r="AB470" s="161"/>
      <c r="AC470" s="161">
        <f t="shared" si="4"/>
        <v>0</v>
      </c>
      <c r="AD470" s="161">
        <f t="shared" si="5"/>
        <v>0</v>
      </c>
      <c r="AE470" s="161">
        <f t="shared" si="6"/>
        <v>0</v>
      </c>
      <c r="AF470" s="167">
        <f t="shared" si="7"/>
        <v>0</v>
      </c>
      <c r="AG470" s="167">
        <f t="shared" si="8"/>
        <v>0</v>
      </c>
      <c r="AH470" s="158"/>
      <c r="AI470" s="158"/>
    </row>
    <row r="471" ht="12.75" customHeight="1">
      <c r="B471" s="160" t="str">
        <f>iferror(VLOOKUP((LEFT(A471,6)),CUSTOMER_DETAILS,2,FALSE),"-")</f>
        <v>-</v>
      </c>
      <c r="C471" s="161" t="s">
        <v>89</v>
      </c>
      <c r="D471" s="162"/>
      <c r="E471" s="161" t="s">
        <v>89</v>
      </c>
      <c r="F471" s="30" t="s">
        <v>89</v>
      </c>
      <c r="G471" s="30" t="s">
        <v>89</v>
      </c>
      <c r="H471" s="30" t="s">
        <v>89</v>
      </c>
      <c r="I471" s="48" t="s">
        <v>108</v>
      </c>
      <c r="J471" s="188" t="str">
        <f t="shared" si="15"/>
        <v/>
      </c>
      <c r="L471" s="48" t="s">
        <v>108</v>
      </c>
      <c r="O471" s="30" t="s">
        <v>89</v>
      </c>
      <c r="Q471" s="192"/>
      <c r="R471" s="161" t="str">
        <f>IFERROR(VLOOKUP(Q471,'PRODUCT TABLE'!$A$2:$B$26,2,FALSE),"-")</f>
        <v>-</v>
      </c>
      <c r="V471" s="161">
        <f t="shared" si="14"/>
        <v>0</v>
      </c>
      <c r="Y471" s="30"/>
      <c r="Z471" s="169">
        <f t="shared" si="2"/>
        <v>0</v>
      </c>
      <c r="AA471" s="167">
        <f t="shared" si="3"/>
        <v>0</v>
      </c>
      <c r="AB471" s="161"/>
      <c r="AC471" s="161">
        <f t="shared" si="4"/>
        <v>0</v>
      </c>
      <c r="AD471" s="161">
        <f t="shared" si="5"/>
        <v>0</v>
      </c>
      <c r="AE471" s="161">
        <f t="shared" si="6"/>
        <v>0</v>
      </c>
      <c r="AF471" s="167">
        <f t="shared" si="7"/>
        <v>0</v>
      </c>
      <c r="AG471" s="167">
        <f t="shared" si="8"/>
        <v>0</v>
      </c>
      <c r="AH471" s="158"/>
      <c r="AI471" s="158"/>
    </row>
    <row r="472" ht="12.75" customHeight="1">
      <c r="B472" s="160" t="str">
        <f>iferror(VLOOKUP((LEFT(A472,6)),CUSTOMER_DETAILS,2,FALSE),"-")</f>
        <v>-</v>
      </c>
      <c r="C472" s="161" t="s">
        <v>89</v>
      </c>
      <c r="D472" s="162"/>
      <c r="E472" s="161" t="s">
        <v>89</v>
      </c>
      <c r="F472" s="30" t="s">
        <v>89</v>
      </c>
      <c r="G472" s="30" t="s">
        <v>89</v>
      </c>
      <c r="H472" s="30" t="s">
        <v>89</v>
      </c>
      <c r="I472" s="48" t="s">
        <v>108</v>
      </c>
      <c r="J472" s="188" t="str">
        <f t="shared" si="15"/>
        <v/>
      </c>
      <c r="L472" s="48" t="s">
        <v>108</v>
      </c>
      <c r="O472" s="30" t="s">
        <v>89</v>
      </c>
      <c r="Q472" s="192"/>
      <c r="R472" s="161" t="str">
        <f>IFERROR(VLOOKUP(Q472,'PRODUCT TABLE'!$A$2:$B$26,2,FALSE),"-")</f>
        <v>-</v>
      </c>
      <c r="V472" s="161">
        <f t="shared" si="14"/>
        <v>0</v>
      </c>
      <c r="Y472" s="30"/>
      <c r="Z472" s="169">
        <f t="shared" si="2"/>
        <v>0</v>
      </c>
      <c r="AA472" s="167">
        <f t="shared" si="3"/>
        <v>0</v>
      </c>
      <c r="AB472" s="161"/>
      <c r="AC472" s="161">
        <f t="shared" si="4"/>
        <v>0</v>
      </c>
      <c r="AD472" s="161">
        <f t="shared" si="5"/>
        <v>0</v>
      </c>
      <c r="AE472" s="161">
        <f t="shared" si="6"/>
        <v>0</v>
      </c>
      <c r="AF472" s="167">
        <f t="shared" si="7"/>
        <v>0</v>
      </c>
      <c r="AG472" s="167">
        <f t="shared" si="8"/>
        <v>0</v>
      </c>
      <c r="AH472" s="158"/>
      <c r="AI472" s="158"/>
    </row>
    <row r="473" ht="12.75" customHeight="1">
      <c r="B473" s="160" t="str">
        <f>iferror(VLOOKUP((LEFT(A473,6)),CUSTOMER_DETAILS,2,FALSE),"-")</f>
        <v>-</v>
      </c>
      <c r="C473" s="161" t="s">
        <v>89</v>
      </c>
      <c r="D473" s="162"/>
      <c r="E473" s="161" t="s">
        <v>89</v>
      </c>
      <c r="F473" s="30" t="s">
        <v>89</v>
      </c>
      <c r="G473" s="30" t="s">
        <v>89</v>
      </c>
      <c r="H473" s="30" t="s">
        <v>89</v>
      </c>
      <c r="I473" s="48" t="s">
        <v>108</v>
      </c>
      <c r="J473" s="188" t="str">
        <f t="shared" si="15"/>
        <v/>
      </c>
      <c r="L473" s="48" t="s">
        <v>108</v>
      </c>
      <c r="O473" s="30" t="s">
        <v>89</v>
      </c>
      <c r="Q473" s="192"/>
      <c r="R473" s="161" t="str">
        <f>IFERROR(VLOOKUP(Q473,'PRODUCT TABLE'!$A$2:$B$26,2,FALSE),"-")</f>
        <v>-</v>
      </c>
      <c r="V473" s="161">
        <f t="shared" si="14"/>
        <v>0</v>
      </c>
      <c r="Y473" s="30"/>
      <c r="Z473" s="169">
        <f t="shared" si="2"/>
        <v>0</v>
      </c>
      <c r="AA473" s="167">
        <f t="shared" si="3"/>
        <v>0</v>
      </c>
      <c r="AB473" s="161"/>
      <c r="AC473" s="161">
        <f t="shared" si="4"/>
        <v>0</v>
      </c>
      <c r="AD473" s="161">
        <f t="shared" si="5"/>
        <v>0</v>
      </c>
      <c r="AE473" s="161">
        <f t="shared" si="6"/>
        <v>0</v>
      </c>
      <c r="AF473" s="167">
        <f t="shared" si="7"/>
        <v>0</v>
      </c>
      <c r="AG473" s="167">
        <f t="shared" si="8"/>
        <v>0</v>
      </c>
      <c r="AH473" s="158"/>
      <c r="AI473" s="158"/>
    </row>
    <row r="474" ht="12.75" customHeight="1">
      <c r="B474" s="160" t="str">
        <f>iferror(VLOOKUP((LEFT(A474,6)),CUSTOMER_DETAILS,2,FALSE),"-")</f>
        <v>-</v>
      </c>
      <c r="C474" s="161" t="s">
        <v>89</v>
      </c>
      <c r="D474" s="162"/>
      <c r="E474" s="161" t="s">
        <v>89</v>
      </c>
      <c r="F474" s="30" t="s">
        <v>89</v>
      </c>
      <c r="G474" s="30" t="s">
        <v>89</v>
      </c>
      <c r="H474" s="30" t="s">
        <v>89</v>
      </c>
      <c r="I474" s="48" t="s">
        <v>108</v>
      </c>
      <c r="J474" s="188" t="str">
        <f t="shared" si="15"/>
        <v/>
      </c>
      <c r="L474" s="48" t="s">
        <v>108</v>
      </c>
      <c r="O474" s="30" t="s">
        <v>89</v>
      </c>
      <c r="Q474" s="192"/>
      <c r="R474" s="161" t="str">
        <f>IFERROR(VLOOKUP(Q474,'PRODUCT TABLE'!$A$2:$B$26,2,FALSE),"-")</f>
        <v>-</v>
      </c>
      <c r="V474" s="161">
        <f t="shared" si="14"/>
        <v>0</v>
      </c>
      <c r="Y474" s="30"/>
      <c r="Z474" s="169">
        <f t="shared" si="2"/>
        <v>0</v>
      </c>
      <c r="AA474" s="167">
        <f t="shared" si="3"/>
        <v>0</v>
      </c>
      <c r="AB474" s="161"/>
      <c r="AC474" s="161">
        <f t="shared" si="4"/>
        <v>0</v>
      </c>
      <c r="AD474" s="161">
        <f t="shared" si="5"/>
        <v>0</v>
      </c>
      <c r="AE474" s="161">
        <f t="shared" si="6"/>
        <v>0</v>
      </c>
      <c r="AF474" s="167">
        <f t="shared" si="7"/>
        <v>0</v>
      </c>
      <c r="AG474" s="167">
        <f t="shared" si="8"/>
        <v>0</v>
      </c>
      <c r="AH474" s="158"/>
      <c r="AI474" s="158"/>
    </row>
    <row r="475" ht="12.75" customHeight="1">
      <c r="B475" s="160" t="str">
        <f>iferror(VLOOKUP((LEFT(A475,6)),CUSTOMER_DETAILS,2,FALSE),"-")</f>
        <v>-</v>
      </c>
      <c r="C475" s="161" t="s">
        <v>89</v>
      </c>
      <c r="D475" s="162"/>
      <c r="E475" s="161" t="s">
        <v>89</v>
      </c>
      <c r="F475" s="30" t="s">
        <v>89</v>
      </c>
      <c r="G475" s="30" t="s">
        <v>89</v>
      </c>
      <c r="H475" s="30" t="s">
        <v>89</v>
      </c>
      <c r="I475" s="48" t="s">
        <v>108</v>
      </c>
      <c r="J475" s="188" t="str">
        <f t="shared" si="15"/>
        <v/>
      </c>
      <c r="L475" s="48" t="s">
        <v>108</v>
      </c>
      <c r="O475" s="30" t="s">
        <v>89</v>
      </c>
      <c r="Q475" s="192"/>
      <c r="R475" s="161" t="str">
        <f>IFERROR(VLOOKUP(Q475,'PRODUCT TABLE'!$A$2:$B$26,2,FALSE),"-")</f>
        <v>-</v>
      </c>
      <c r="V475" s="161">
        <f t="shared" si="14"/>
        <v>0</v>
      </c>
      <c r="Y475" s="30"/>
      <c r="Z475" s="169">
        <f t="shared" si="2"/>
        <v>0</v>
      </c>
      <c r="AA475" s="167">
        <f t="shared" si="3"/>
        <v>0</v>
      </c>
      <c r="AB475" s="161"/>
      <c r="AC475" s="161">
        <f t="shared" si="4"/>
        <v>0</v>
      </c>
      <c r="AD475" s="161">
        <f t="shared" si="5"/>
        <v>0</v>
      </c>
      <c r="AE475" s="161">
        <f t="shared" si="6"/>
        <v>0</v>
      </c>
      <c r="AF475" s="167">
        <f t="shared" si="7"/>
        <v>0</v>
      </c>
      <c r="AG475" s="167">
        <f t="shared" si="8"/>
        <v>0</v>
      </c>
      <c r="AH475" s="158"/>
      <c r="AI475" s="158"/>
    </row>
    <row r="476" ht="12.75" customHeight="1">
      <c r="B476" s="160" t="str">
        <f>iferror(VLOOKUP((LEFT(A476,6)),CUSTOMER_DETAILS,2,FALSE),"-")</f>
        <v>-</v>
      </c>
      <c r="C476" s="161" t="s">
        <v>89</v>
      </c>
      <c r="D476" s="162"/>
      <c r="E476" s="161" t="s">
        <v>89</v>
      </c>
      <c r="F476" s="30" t="s">
        <v>89</v>
      </c>
      <c r="G476" s="30" t="s">
        <v>89</v>
      </c>
      <c r="H476" s="30" t="s">
        <v>89</v>
      </c>
      <c r="I476" s="48" t="s">
        <v>108</v>
      </c>
      <c r="J476" s="188" t="str">
        <f t="shared" si="15"/>
        <v/>
      </c>
      <c r="L476" s="48" t="s">
        <v>108</v>
      </c>
      <c r="O476" s="30" t="s">
        <v>89</v>
      </c>
      <c r="Q476" s="192"/>
      <c r="R476" s="161" t="str">
        <f>IFERROR(VLOOKUP(Q476,'PRODUCT TABLE'!$A$2:$B$26,2,FALSE),"-")</f>
        <v>-</v>
      </c>
      <c r="V476" s="161">
        <f t="shared" si="14"/>
        <v>0</v>
      </c>
      <c r="Y476" s="30"/>
      <c r="Z476" s="169">
        <f t="shared" si="2"/>
        <v>0</v>
      </c>
      <c r="AA476" s="167">
        <f t="shared" si="3"/>
        <v>0</v>
      </c>
      <c r="AB476" s="161"/>
      <c r="AC476" s="161">
        <f t="shared" si="4"/>
        <v>0</v>
      </c>
      <c r="AD476" s="161">
        <f t="shared" si="5"/>
        <v>0</v>
      </c>
      <c r="AE476" s="161">
        <f t="shared" si="6"/>
        <v>0</v>
      </c>
      <c r="AF476" s="167">
        <f t="shared" si="7"/>
        <v>0</v>
      </c>
      <c r="AG476" s="167">
        <f t="shared" si="8"/>
        <v>0</v>
      </c>
      <c r="AH476" s="158"/>
      <c r="AI476" s="158"/>
    </row>
    <row r="477" ht="12.75" customHeight="1">
      <c r="B477" s="160" t="str">
        <f>iferror(VLOOKUP((LEFT(A477,6)),CUSTOMER_DETAILS,2,FALSE),"-")</f>
        <v>-</v>
      </c>
      <c r="C477" s="161" t="s">
        <v>89</v>
      </c>
      <c r="D477" s="162"/>
      <c r="E477" s="161" t="s">
        <v>89</v>
      </c>
      <c r="F477" s="30" t="s">
        <v>89</v>
      </c>
      <c r="G477" s="30" t="s">
        <v>89</v>
      </c>
      <c r="H477" s="30" t="s">
        <v>89</v>
      </c>
      <c r="I477" s="48" t="s">
        <v>108</v>
      </c>
      <c r="J477" s="188" t="str">
        <f t="shared" si="15"/>
        <v/>
      </c>
      <c r="L477" s="48" t="s">
        <v>108</v>
      </c>
      <c r="O477" s="30" t="s">
        <v>89</v>
      </c>
      <c r="Q477" s="192"/>
      <c r="R477" s="161" t="str">
        <f>IFERROR(VLOOKUP(Q477,'PRODUCT TABLE'!$A$2:$B$26,2,FALSE),"-")</f>
        <v>-</v>
      </c>
      <c r="V477" s="161">
        <f t="shared" si="14"/>
        <v>0</v>
      </c>
      <c r="Y477" s="30"/>
      <c r="Z477" s="169">
        <f t="shared" si="2"/>
        <v>0</v>
      </c>
      <c r="AA477" s="167">
        <f t="shared" si="3"/>
        <v>0</v>
      </c>
      <c r="AB477" s="161"/>
      <c r="AC477" s="161">
        <f t="shared" si="4"/>
        <v>0</v>
      </c>
      <c r="AD477" s="161">
        <f t="shared" si="5"/>
        <v>0</v>
      </c>
      <c r="AE477" s="161">
        <f t="shared" si="6"/>
        <v>0</v>
      </c>
      <c r="AF477" s="167">
        <f t="shared" si="7"/>
        <v>0</v>
      </c>
      <c r="AG477" s="167">
        <f t="shared" si="8"/>
        <v>0</v>
      </c>
      <c r="AH477" s="158"/>
      <c r="AI477" s="158"/>
    </row>
    <row r="478" ht="12.75" customHeight="1">
      <c r="B478" s="160" t="str">
        <f>iferror(VLOOKUP((LEFT(A478,6)),CUSTOMER_DETAILS,2,FALSE),"-")</f>
        <v>-</v>
      </c>
      <c r="C478" s="161" t="s">
        <v>89</v>
      </c>
      <c r="D478" s="162"/>
      <c r="E478" s="161" t="s">
        <v>89</v>
      </c>
      <c r="F478" s="30" t="s">
        <v>89</v>
      </c>
      <c r="G478" s="30" t="s">
        <v>89</v>
      </c>
      <c r="H478" s="30" t="s">
        <v>89</v>
      </c>
      <c r="I478" s="48" t="s">
        <v>108</v>
      </c>
      <c r="J478" s="188" t="str">
        <f t="shared" si="15"/>
        <v/>
      </c>
      <c r="L478" s="48" t="s">
        <v>108</v>
      </c>
      <c r="O478" s="30" t="s">
        <v>89</v>
      </c>
      <c r="Q478" s="192"/>
      <c r="R478" s="161" t="str">
        <f>IFERROR(VLOOKUP(Q478,'PRODUCT TABLE'!$A$2:$B$26,2,FALSE),"-")</f>
        <v>-</v>
      </c>
      <c r="V478" s="161">
        <f t="shared" si="14"/>
        <v>0</v>
      </c>
      <c r="Y478" s="30"/>
      <c r="Z478" s="169">
        <f t="shared" si="2"/>
        <v>0</v>
      </c>
      <c r="AA478" s="167">
        <f t="shared" si="3"/>
        <v>0</v>
      </c>
      <c r="AB478" s="161"/>
      <c r="AC478" s="161">
        <f t="shared" si="4"/>
        <v>0</v>
      </c>
      <c r="AD478" s="161">
        <f t="shared" si="5"/>
        <v>0</v>
      </c>
      <c r="AE478" s="161">
        <f t="shared" si="6"/>
        <v>0</v>
      </c>
      <c r="AF478" s="167">
        <f t="shared" si="7"/>
        <v>0</v>
      </c>
      <c r="AG478" s="167">
        <f t="shared" si="8"/>
        <v>0</v>
      </c>
      <c r="AH478" s="158"/>
      <c r="AI478" s="158"/>
    </row>
    <row r="479" ht="12.75" customHeight="1">
      <c r="B479" s="160" t="str">
        <f>iferror(VLOOKUP((LEFT(A479,6)),CUSTOMER_DETAILS,2,FALSE),"-")</f>
        <v>-</v>
      </c>
      <c r="C479" s="161" t="s">
        <v>89</v>
      </c>
      <c r="D479" s="162"/>
      <c r="E479" s="161" t="s">
        <v>89</v>
      </c>
      <c r="F479" s="30" t="s">
        <v>89</v>
      </c>
      <c r="G479" s="30" t="s">
        <v>89</v>
      </c>
      <c r="H479" s="30" t="s">
        <v>89</v>
      </c>
      <c r="I479" s="48" t="s">
        <v>108</v>
      </c>
      <c r="J479" s="188" t="str">
        <f t="shared" si="15"/>
        <v/>
      </c>
      <c r="L479" s="48" t="s">
        <v>108</v>
      </c>
      <c r="O479" s="30" t="s">
        <v>89</v>
      </c>
      <c r="Q479" s="192"/>
      <c r="R479" s="161" t="str">
        <f>IFERROR(VLOOKUP(Q479,'PRODUCT TABLE'!$A$2:$B$26,2,FALSE),"-")</f>
        <v>-</v>
      </c>
      <c r="V479" s="161">
        <f t="shared" si="14"/>
        <v>0</v>
      </c>
      <c r="Y479" s="30"/>
      <c r="Z479" s="169">
        <f t="shared" si="2"/>
        <v>0</v>
      </c>
      <c r="AA479" s="167">
        <f t="shared" si="3"/>
        <v>0</v>
      </c>
      <c r="AB479" s="161"/>
      <c r="AC479" s="161">
        <f t="shared" si="4"/>
        <v>0</v>
      </c>
      <c r="AD479" s="161">
        <f t="shared" si="5"/>
        <v>0</v>
      </c>
      <c r="AE479" s="161">
        <f t="shared" si="6"/>
        <v>0</v>
      </c>
      <c r="AF479" s="167">
        <f t="shared" si="7"/>
        <v>0</v>
      </c>
      <c r="AG479" s="167">
        <f t="shared" si="8"/>
        <v>0</v>
      </c>
      <c r="AH479" s="158"/>
      <c r="AI479" s="158"/>
    </row>
    <row r="480" ht="12.75" customHeight="1">
      <c r="B480" s="160" t="str">
        <f>iferror(VLOOKUP((LEFT(A480,6)),CUSTOMER_DETAILS,2,FALSE),"-")</f>
        <v>-</v>
      </c>
      <c r="C480" s="161" t="s">
        <v>89</v>
      </c>
      <c r="D480" s="162"/>
      <c r="E480" s="161" t="s">
        <v>89</v>
      </c>
      <c r="F480" s="30" t="s">
        <v>89</v>
      </c>
      <c r="G480" s="30" t="s">
        <v>89</v>
      </c>
      <c r="H480" s="30" t="s">
        <v>89</v>
      </c>
      <c r="I480" s="48" t="s">
        <v>108</v>
      </c>
      <c r="J480" s="188" t="str">
        <f t="shared" si="15"/>
        <v/>
      </c>
      <c r="L480" s="48" t="s">
        <v>108</v>
      </c>
      <c r="O480" s="30" t="s">
        <v>89</v>
      </c>
      <c r="Q480" s="192"/>
      <c r="R480" s="161" t="str">
        <f>IFERROR(VLOOKUP(Q480,'PRODUCT TABLE'!$A$2:$B$26,2,FALSE),"-")</f>
        <v>-</v>
      </c>
      <c r="V480" s="161">
        <f t="shared" si="14"/>
        <v>0</v>
      </c>
      <c r="Y480" s="30"/>
      <c r="Z480" s="169">
        <f t="shared" si="2"/>
        <v>0</v>
      </c>
      <c r="AA480" s="167">
        <f t="shared" si="3"/>
        <v>0</v>
      </c>
      <c r="AB480" s="161"/>
      <c r="AC480" s="161">
        <f t="shared" si="4"/>
        <v>0</v>
      </c>
      <c r="AD480" s="161">
        <f t="shared" si="5"/>
        <v>0</v>
      </c>
      <c r="AE480" s="161">
        <f t="shared" si="6"/>
        <v>0</v>
      </c>
      <c r="AF480" s="167">
        <f t="shared" si="7"/>
        <v>0</v>
      </c>
      <c r="AG480" s="167">
        <f t="shared" si="8"/>
        <v>0</v>
      </c>
      <c r="AH480" s="158"/>
      <c r="AI480" s="158"/>
    </row>
    <row r="481" ht="12.75" customHeight="1">
      <c r="B481" s="160" t="str">
        <f>iferror(VLOOKUP((LEFT(A481,6)),CUSTOMER_DETAILS,2,FALSE),"-")</f>
        <v>-</v>
      </c>
      <c r="C481" s="161" t="s">
        <v>89</v>
      </c>
      <c r="D481" s="162"/>
      <c r="E481" s="161" t="s">
        <v>89</v>
      </c>
      <c r="F481" s="30" t="s">
        <v>89</v>
      </c>
      <c r="G481" s="30" t="s">
        <v>89</v>
      </c>
      <c r="H481" s="30" t="s">
        <v>89</v>
      </c>
      <c r="I481" s="48" t="s">
        <v>108</v>
      </c>
      <c r="J481" s="188" t="str">
        <f t="shared" si="15"/>
        <v/>
      </c>
      <c r="L481" s="48" t="s">
        <v>108</v>
      </c>
      <c r="O481" s="30" t="s">
        <v>89</v>
      </c>
      <c r="Q481" s="192"/>
      <c r="R481" s="161" t="str">
        <f>IFERROR(VLOOKUP(Q481,'PRODUCT TABLE'!$A$2:$B$26,2,FALSE),"-")</f>
        <v>-</v>
      </c>
      <c r="V481" s="161">
        <f t="shared" si="14"/>
        <v>0</v>
      </c>
      <c r="Y481" s="30"/>
      <c r="Z481" s="169">
        <f t="shared" si="2"/>
        <v>0</v>
      </c>
      <c r="AA481" s="167">
        <f t="shared" si="3"/>
        <v>0</v>
      </c>
      <c r="AB481" s="161"/>
      <c r="AC481" s="161">
        <f t="shared" si="4"/>
        <v>0</v>
      </c>
      <c r="AD481" s="161">
        <f t="shared" si="5"/>
        <v>0</v>
      </c>
      <c r="AE481" s="161">
        <f t="shared" si="6"/>
        <v>0</v>
      </c>
      <c r="AF481" s="167">
        <f t="shared" si="7"/>
        <v>0</v>
      </c>
      <c r="AG481" s="167">
        <f t="shared" si="8"/>
        <v>0</v>
      </c>
      <c r="AH481" s="158"/>
      <c r="AI481" s="158"/>
    </row>
    <row r="482" ht="12.75" customHeight="1">
      <c r="B482" s="160" t="str">
        <f>iferror(VLOOKUP((LEFT(A482,6)),CUSTOMER_DETAILS,2,FALSE),"-")</f>
        <v>-</v>
      </c>
      <c r="C482" s="161" t="s">
        <v>89</v>
      </c>
      <c r="D482" s="162"/>
      <c r="E482" s="161" t="s">
        <v>89</v>
      </c>
      <c r="F482" s="30" t="s">
        <v>89</v>
      </c>
      <c r="G482" s="30" t="s">
        <v>89</v>
      </c>
      <c r="H482" s="30" t="s">
        <v>89</v>
      </c>
      <c r="I482" s="48" t="s">
        <v>108</v>
      </c>
      <c r="J482" s="188" t="str">
        <f t="shared" si="15"/>
        <v/>
      </c>
      <c r="L482" s="48" t="s">
        <v>108</v>
      </c>
      <c r="O482" s="30" t="s">
        <v>89</v>
      </c>
      <c r="Q482" s="192"/>
      <c r="R482" s="161" t="str">
        <f>IFERROR(VLOOKUP(Q482,'PRODUCT TABLE'!$A$2:$B$26,2,FALSE),"-")</f>
        <v>-</v>
      </c>
      <c r="V482" s="161">
        <f t="shared" si="14"/>
        <v>0</v>
      </c>
      <c r="Y482" s="30"/>
      <c r="Z482" s="169">
        <f t="shared" si="2"/>
        <v>0</v>
      </c>
      <c r="AA482" s="167">
        <f t="shared" si="3"/>
        <v>0</v>
      </c>
      <c r="AB482" s="161"/>
      <c r="AC482" s="161">
        <f t="shared" si="4"/>
        <v>0</v>
      </c>
      <c r="AD482" s="161">
        <f t="shared" si="5"/>
        <v>0</v>
      </c>
      <c r="AE482" s="161">
        <f t="shared" si="6"/>
        <v>0</v>
      </c>
      <c r="AF482" s="167">
        <f t="shared" si="7"/>
        <v>0</v>
      </c>
      <c r="AG482" s="167">
        <f t="shared" si="8"/>
        <v>0</v>
      </c>
      <c r="AH482" s="158"/>
      <c r="AI482" s="158"/>
    </row>
    <row r="483" ht="12.75" customHeight="1">
      <c r="B483" s="160" t="str">
        <f>iferror(VLOOKUP((LEFT(A483,6)),CUSTOMER_DETAILS,2,FALSE),"-")</f>
        <v>-</v>
      </c>
      <c r="C483" s="161" t="s">
        <v>89</v>
      </c>
      <c r="D483" s="162"/>
      <c r="E483" s="161" t="s">
        <v>89</v>
      </c>
      <c r="F483" s="30" t="s">
        <v>89</v>
      </c>
      <c r="G483" s="30" t="s">
        <v>89</v>
      </c>
      <c r="H483" s="30" t="s">
        <v>89</v>
      </c>
      <c r="I483" s="48" t="s">
        <v>108</v>
      </c>
      <c r="J483" s="188" t="str">
        <f t="shared" si="15"/>
        <v/>
      </c>
      <c r="L483" s="48" t="s">
        <v>108</v>
      </c>
      <c r="O483" s="30" t="s">
        <v>89</v>
      </c>
      <c r="Q483" s="192"/>
      <c r="R483" s="161" t="str">
        <f>IFERROR(VLOOKUP(Q483,'PRODUCT TABLE'!$A$2:$B$26,2,FALSE),"-")</f>
        <v>-</v>
      </c>
      <c r="V483" s="161">
        <f t="shared" si="14"/>
        <v>0</v>
      </c>
      <c r="Y483" s="30"/>
      <c r="Z483" s="169">
        <f t="shared" si="2"/>
        <v>0</v>
      </c>
      <c r="AA483" s="167">
        <f t="shared" si="3"/>
        <v>0</v>
      </c>
      <c r="AB483" s="161"/>
      <c r="AC483" s="161">
        <f t="shared" si="4"/>
        <v>0</v>
      </c>
      <c r="AD483" s="161">
        <f t="shared" si="5"/>
        <v>0</v>
      </c>
      <c r="AE483" s="161">
        <f t="shared" si="6"/>
        <v>0</v>
      </c>
      <c r="AF483" s="167">
        <f t="shared" si="7"/>
        <v>0</v>
      </c>
      <c r="AG483" s="167">
        <f t="shared" si="8"/>
        <v>0</v>
      </c>
      <c r="AH483" s="158"/>
      <c r="AI483" s="158"/>
    </row>
    <row r="484" ht="12.75" customHeight="1">
      <c r="B484" s="160" t="str">
        <f>iferror(VLOOKUP((LEFT(A484,6)),CUSTOMER_DETAILS,2,FALSE),"-")</f>
        <v>-</v>
      </c>
      <c r="C484" s="161" t="s">
        <v>89</v>
      </c>
      <c r="D484" s="162"/>
      <c r="E484" s="161" t="s">
        <v>89</v>
      </c>
      <c r="F484" s="30" t="s">
        <v>89</v>
      </c>
      <c r="G484" s="30" t="s">
        <v>89</v>
      </c>
      <c r="H484" s="30" t="s">
        <v>89</v>
      </c>
      <c r="I484" s="48" t="s">
        <v>108</v>
      </c>
      <c r="J484" s="188" t="str">
        <f t="shared" si="15"/>
        <v/>
      </c>
      <c r="L484" s="48" t="s">
        <v>108</v>
      </c>
      <c r="O484" s="30" t="s">
        <v>89</v>
      </c>
      <c r="Q484" s="192"/>
      <c r="R484" s="161" t="str">
        <f>IFERROR(VLOOKUP(Q484,'PRODUCT TABLE'!$A$2:$B$26,2,FALSE),"-")</f>
        <v>-</v>
      </c>
      <c r="V484" s="161">
        <f t="shared" si="14"/>
        <v>0</v>
      </c>
      <c r="Y484" s="30"/>
      <c r="Z484" s="169">
        <f t="shared" si="2"/>
        <v>0</v>
      </c>
      <c r="AA484" s="167">
        <f t="shared" si="3"/>
        <v>0</v>
      </c>
      <c r="AB484" s="161"/>
      <c r="AC484" s="161">
        <f t="shared" si="4"/>
        <v>0</v>
      </c>
      <c r="AD484" s="161">
        <f t="shared" si="5"/>
        <v>0</v>
      </c>
      <c r="AE484" s="161">
        <f t="shared" si="6"/>
        <v>0</v>
      </c>
      <c r="AF484" s="167">
        <f t="shared" si="7"/>
        <v>0</v>
      </c>
      <c r="AG484" s="167">
        <f t="shared" si="8"/>
        <v>0</v>
      </c>
      <c r="AH484" s="158"/>
      <c r="AI484" s="158"/>
    </row>
    <row r="485" ht="12.75" customHeight="1">
      <c r="B485" s="160" t="str">
        <f>iferror(VLOOKUP((LEFT(A485,6)),CUSTOMER_DETAILS,2,FALSE),"-")</f>
        <v>-</v>
      </c>
      <c r="C485" s="161" t="s">
        <v>89</v>
      </c>
      <c r="D485" s="162"/>
      <c r="E485" s="161" t="s">
        <v>89</v>
      </c>
      <c r="F485" s="30" t="s">
        <v>89</v>
      </c>
      <c r="G485" s="30" t="s">
        <v>89</v>
      </c>
      <c r="H485" s="30" t="s">
        <v>89</v>
      </c>
      <c r="I485" s="48" t="s">
        <v>108</v>
      </c>
      <c r="J485" s="188" t="str">
        <f t="shared" si="15"/>
        <v/>
      </c>
      <c r="L485" s="48" t="s">
        <v>108</v>
      </c>
      <c r="O485" s="30" t="s">
        <v>89</v>
      </c>
      <c r="Q485" s="192"/>
      <c r="R485" s="161" t="str">
        <f>IFERROR(VLOOKUP(Q485,'PRODUCT TABLE'!$A$2:$B$26,2,FALSE),"-")</f>
        <v>-</v>
      </c>
      <c r="V485" s="161">
        <f t="shared" si="14"/>
        <v>0</v>
      </c>
      <c r="Y485" s="30"/>
      <c r="Z485" s="169">
        <f t="shared" si="2"/>
        <v>0</v>
      </c>
      <c r="AA485" s="167">
        <f t="shared" si="3"/>
        <v>0</v>
      </c>
      <c r="AB485" s="161"/>
      <c r="AC485" s="161">
        <f t="shared" si="4"/>
        <v>0</v>
      </c>
      <c r="AD485" s="161">
        <f t="shared" si="5"/>
        <v>0</v>
      </c>
      <c r="AE485" s="161">
        <f t="shared" si="6"/>
        <v>0</v>
      </c>
      <c r="AF485" s="167">
        <f t="shared" si="7"/>
        <v>0</v>
      </c>
      <c r="AG485" s="167">
        <f t="shared" si="8"/>
        <v>0</v>
      </c>
      <c r="AH485" s="158"/>
      <c r="AI485" s="158"/>
    </row>
    <row r="486" ht="12.75" customHeight="1">
      <c r="B486" s="160" t="str">
        <f>iferror(VLOOKUP((LEFT(A486,6)),CUSTOMER_DETAILS,2,FALSE),"-")</f>
        <v>-</v>
      </c>
      <c r="C486" s="161" t="s">
        <v>89</v>
      </c>
      <c r="D486" s="162"/>
      <c r="E486" s="161" t="s">
        <v>89</v>
      </c>
      <c r="F486" s="30" t="s">
        <v>89</v>
      </c>
      <c r="G486" s="30" t="s">
        <v>89</v>
      </c>
      <c r="H486" s="30" t="s">
        <v>89</v>
      </c>
      <c r="I486" s="48" t="s">
        <v>108</v>
      </c>
      <c r="J486" s="188" t="str">
        <f t="shared" si="15"/>
        <v/>
      </c>
      <c r="L486" s="48" t="s">
        <v>108</v>
      </c>
      <c r="O486" s="30" t="s">
        <v>89</v>
      </c>
      <c r="Q486" s="192"/>
      <c r="R486" s="161" t="str">
        <f>IFERROR(VLOOKUP(Q486,'PRODUCT TABLE'!$A$2:$B$26,2,FALSE),"-")</f>
        <v>-</v>
      </c>
      <c r="V486" s="161">
        <f t="shared" si="14"/>
        <v>0</v>
      </c>
      <c r="Y486" s="30"/>
      <c r="Z486" s="169">
        <f t="shared" si="2"/>
        <v>0</v>
      </c>
      <c r="AA486" s="167">
        <f t="shared" si="3"/>
        <v>0</v>
      </c>
      <c r="AB486" s="161"/>
      <c r="AC486" s="161">
        <f t="shared" si="4"/>
        <v>0</v>
      </c>
      <c r="AD486" s="161">
        <f t="shared" si="5"/>
        <v>0</v>
      </c>
      <c r="AE486" s="161">
        <f t="shared" si="6"/>
        <v>0</v>
      </c>
      <c r="AF486" s="167">
        <f t="shared" si="7"/>
        <v>0</v>
      </c>
      <c r="AG486" s="167">
        <f t="shared" si="8"/>
        <v>0</v>
      </c>
      <c r="AH486" s="158"/>
      <c r="AI486" s="158"/>
    </row>
    <row r="487" ht="12.75" customHeight="1">
      <c r="B487" s="160" t="str">
        <f>iferror(VLOOKUP((LEFT(A487,6)),CUSTOMER_DETAILS,2,FALSE),"-")</f>
        <v>-</v>
      </c>
      <c r="C487" s="161" t="s">
        <v>89</v>
      </c>
      <c r="D487" s="162"/>
      <c r="E487" s="161" t="s">
        <v>89</v>
      </c>
      <c r="F487" s="30" t="s">
        <v>89</v>
      </c>
      <c r="G487" s="30" t="s">
        <v>89</v>
      </c>
      <c r="H487" s="30" t="s">
        <v>89</v>
      </c>
      <c r="I487" s="48" t="s">
        <v>108</v>
      </c>
      <c r="J487" s="188" t="str">
        <f t="shared" si="15"/>
        <v/>
      </c>
      <c r="L487" s="48" t="s">
        <v>108</v>
      </c>
      <c r="O487" s="30" t="s">
        <v>89</v>
      </c>
      <c r="Q487" s="192"/>
      <c r="R487" s="161" t="str">
        <f>IFERROR(VLOOKUP(Q487,'PRODUCT TABLE'!$A$2:$B$26,2,FALSE),"-")</f>
        <v>-</v>
      </c>
      <c r="V487" s="161">
        <f t="shared" si="14"/>
        <v>0</v>
      </c>
      <c r="Y487" s="30"/>
      <c r="Z487" s="169">
        <f t="shared" si="2"/>
        <v>0</v>
      </c>
      <c r="AA487" s="167">
        <f t="shared" si="3"/>
        <v>0</v>
      </c>
      <c r="AB487" s="161"/>
      <c r="AC487" s="161">
        <f t="shared" si="4"/>
        <v>0</v>
      </c>
      <c r="AD487" s="161">
        <f t="shared" si="5"/>
        <v>0</v>
      </c>
      <c r="AE487" s="161">
        <f t="shared" si="6"/>
        <v>0</v>
      </c>
      <c r="AF487" s="167">
        <f t="shared" si="7"/>
        <v>0</v>
      </c>
      <c r="AG487" s="167">
        <f t="shared" si="8"/>
        <v>0</v>
      </c>
      <c r="AH487" s="158"/>
      <c r="AI487" s="158"/>
    </row>
    <row r="488" ht="12.75" customHeight="1">
      <c r="B488" s="160" t="str">
        <f>iferror(VLOOKUP((LEFT(A488,6)),CUSTOMER_DETAILS,2,FALSE),"-")</f>
        <v>-</v>
      </c>
      <c r="C488" s="161" t="s">
        <v>89</v>
      </c>
      <c r="D488" s="162"/>
      <c r="E488" s="161" t="s">
        <v>89</v>
      </c>
      <c r="F488" s="30" t="s">
        <v>89</v>
      </c>
      <c r="G488" s="30" t="s">
        <v>89</v>
      </c>
      <c r="H488" s="30" t="s">
        <v>89</v>
      </c>
      <c r="I488" s="48" t="s">
        <v>108</v>
      </c>
      <c r="J488" s="188" t="str">
        <f t="shared" si="15"/>
        <v/>
      </c>
      <c r="L488" s="48" t="s">
        <v>108</v>
      </c>
      <c r="O488" s="30" t="s">
        <v>89</v>
      </c>
      <c r="Q488" s="192"/>
      <c r="R488" s="161" t="str">
        <f>IFERROR(VLOOKUP(Q488,'PRODUCT TABLE'!$A$2:$B$26,2,FALSE),"-")</f>
        <v>-</v>
      </c>
      <c r="V488" s="161">
        <f t="shared" si="14"/>
        <v>0</v>
      </c>
      <c r="Y488" s="30"/>
      <c r="Z488" s="169">
        <f t="shared" si="2"/>
        <v>0</v>
      </c>
      <c r="AA488" s="167">
        <f t="shared" si="3"/>
        <v>0</v>
      </c>
      <c r="AB488" s="161"/>
      <c r="AC488" s="161">
        <f t="shared" si="4"/>
        <v>0</v>
      </c>
      <c r="AD488" s="161">
        <f t="shared" si="5"/>
        <v>0</v>
      </c>
      <c r="AE488" s="161">
        <f t="shared" si="6"/>
        <v>0</v>
      </c>
      <c r="AF488" s="167">
        <f t="shared" si="7"/>
        <v>0</v>
      </c>
      <c r="AG488" s="167">
        <f t="shared" si="8"/>
        <v>0</v>
      </c>
      <c r="AH488" s="158"/>
      <c r="AI488" s="158"/>
    </row>
    <row r="489" ht="12.75" customHeight="1">
      <c r="B489" s="160" t="str">
        <f>iferror(VLOOKUP((LEFT(A489,6)),CUSTOMER_DETAILS,2,FALSE),"-")</f>
        <v>-</v>
      </c>
      <c r="C489" s="161" t="s">
        <v>89</v>
      </c>
      <c r="D489" s="162"/>
      <c r="E489" s="161" t="s">
        <v>89</v>
      </c>
      <c r="F489" s="30" t="s">
        <v>89</v>
      </c>
      <c r="G489" s="30" t="s">
        <v>89</v>
      </c>
      <c r="H489" s="30" t="s">
        <v>89</v>
      </c>
      <c r="I489" s="48" t="s">
        <v>108</v>
      </c>
      <c r="J489" s="188" t="str">
        <f t="shared" si="15"/>
        <v/>
      </c>
      <c r="L489" s="48" t="s">
        <v>108</v>
      </c>
      <c r="O489" s="30" t="s">
        <v>89</v>
      </c>
      <c r="Q489" s="192"/>
      <c r="R489" s="161" t="str">
        <f>IFERROR(VLOOKUP(Q489,'PRODUCT TABLE'!$A$2:$B$26,2,FALSE),"-")</f>
        <v>-</v>
      </c>
      <c r="V489" s="161">
        <f t="shared" si="14"/>
        <v>0</v>
      </c>
      <c r="Y489" s="30"/>
      <c r="Z489" s="169">
        <f t="shared" si="2"/>
        <v>0</v>
      </c>
      <c r="AA489" s="167">
        <f t="shared" si="3"/>
        <v>0</v>
      </c>
      <c r="AB489" s="161"/>
      <c r="AC489" s="161">
        <f t="shared" si="4"/>
        <v>0</v>
      </c>
      <c r="AD489" s="161">
        <f t="shared" si="5"/>
        <v>0</v>
      </c>
      <c r="AE489" s="161">
        <f t="shared" si="6"/>
        <v>0</v>
      </c>
      <c r="AF489" s="167">
        <f t="shared" si="7"/>
        <v>0</v>
      </c>
      <c r="AG489" s="167">
        <f t="shared" si="8"/>
        <v>0</v>
      </c>
      <c r="AH489" s="158"/>
      <c r="AI489" s="158"/>
    </row>
    <row r="490" ht="12.75" customHeight="1">
      <c r="B490" s="160" t="str">
        <f>iferror(VLOOKUP((LEFT(A490,6)),CUSTOMER_DETAILS,2,FALSE),"-")</f>
        <v>-</v>
      </c>
      <c r="C490" s="161" t="s">
        <v>89</v>
      </c>
      <c r="D490" s="162"/>
      <c r="E490" s="161" t="s">
        <v>89</v>
      </c>
      <c r="F490" s="30" t="s">
        <v>89</v>
      </c>
      <c r="G490" s="30" t="s">
        <v>89</v>
      </c>
      <c r="H490" s="30" t="s">
        <v>89</v>
      </c>
      <c r="I490" s="48" t="s">
        <v>108</v>
      </c>
      <c r="J490" s="188" t="str">
        <f t="shared" si="15"/>
        <v/>
      </c>
      <c r="L490" s="48" t="s">
        <v>108</v>
      </c>
      <c r="O490" s="30" t="s">
        <v>89</v>
      </c>
      <c r="Q490" s="192"/>
      <c r="R490" s="161" t="str">
        <f>IFERROR(VLOOKUP(Q490,'PRODUCT TABLE'!$A$2:$B$26,2,FALSE),"-")</f>
        <v>-</v>
      </c>
      <c r="V490" s="161">
        <f t="shared" si="14"/>
        <v>0</v>
      </c>
      <c r="Y490" s="30"/>
      <c r="Z490" s="169">
        <f t="shared" si="2"/>
        <v>0</v>
      </c>
      <c r="AA490" s="167">
        <f t="shared" si="3"/>
        <v>0</v>
      </c>
      <c r="AB490" s="161"/>
      <c r="AC490" s="161">
        <f t="shared" si="4"/>
        <v>0</v>
      </c>
      <c r="AD490" s="161">
        <f t="shared" si="5"/>
        <v>0</v>
      </c>
      <c r="AE490" s="161">
        <f t="shared" si="6"/>
        <v>0</v>
      </c>
      <c r="AF490" s="167">
        <f t="shared" si="7"/>
        <v>0</v>
      </c>
      <c r="AG490" s="167">
        <f t="shared" si="8"/>
        <v>0</v>
      </c>
      <c r="AH490" s="158"/>
      <c r="AI490" s="158"/>
    </row>
    <row r="491" ht="12.75" customHeight="1">
      <c r="B491" s="160" t="str">
        <f>iferror(VLOOKUP((LEFT(A491,6)),CUSTOMER_DETAILS,2,FALSE),"-")</f>
        <v>-</v>
      </c>
      <c r="C491" s="161" t="s">
        <v>89</v>
      </c>
      <c r="D491" s="162"/>
      <c r="E491" s="161" t="s">
        <v>89</v>
      </c>
      <c r="F491" s="30" t="s">
        <v>89</v>
      </c>
      <c r="G491" s="30" t="s">
        <v>89</v>
      </c>
      <c r="H491" s="30" t="s">
        <v>89</v>
      </c>
      <c r="I491" s="48" t="s">
        <v>108</v>
      </c>
      <c r="J491" s="188" t="str">
        <f t="shared" si="15"/>
        <v/>
      </c>
      <c r="L491" s="48" t="s">
        <v>108</v>
      </c>
      <c r="O491" s="30" t="s">
        <v>89</v>
      </c>
      <c r="Q491" s="192"/>
      <c r="R491" s="161" t="str">
        <f>IFERROR(VLOOKUP(Q491,'PRODUCT TABLE'!$A$2:$B$26,2,FALSE),"-")</f>
        <v>-</v>
      </c>
      <c r="V491" s="161">
        <f t="shared" si="14"/>
        <v>0</v>
      </c>
      <c r="Y491" s="30"/>
      <c r="Z491" s="169">
        <f t="shared" si="2"/>
        <v>0</v>
      </c>
      <c r="AA491" s="167">
        <f t="shared" si="3"/>
        <v>0</v>
      </c>
      <c r="AB491" s="161"/>
      <c r="AC491" s="161">
        <f t="shared" si="4"/>
        <v>0</v>
      </c>
      <c r="AD491" s="161">
        <f t="shared" si="5"/>
        <v>0</v>
      </c>
      <c r="AE491" s="161">
        <f t="shared" si="6"/>
        <v>0</v>
      </c>
      <c r="AF491" s="167">
        <f t="shared" si="7"/>
        <v>0</v>
      </c>
      <c r="AG491" s="167">
        <f t="shared" si="8"/>
        <v>0</v>
      </c>
      <c r="AH491" s="158"/>
      <c r="AI491" s="158"/>
    </row>
    <row r="492" ht="12.75" customHeight="1">
      <c r="B492" s="160" t="str">
        <f>iferror(VLOOKUP((LEFT(A492,6)),CUSTOMER_DETAILS,2,FALSE),"-")</f>
        <v>-</v>
      </c>
      <c r="C492" s="161" t="s">
        <v>89</v>
      </c>
      <c r="D492" s="162"/>
      <c r="E492" s="161" t="s">
        <v>89</v>
      </c>
      <c r="F492" s="30" t="s">
        <v>89</v>
      </c>
      <c r="G492" s="30" t="s">
        <v>89</v>
      </c>
      <c r="H492" s="30" t="s">
        <v>89</v>
      </c>
      <c r="I492" s="48" t="s">
        <v>108</v>
      </c>
      <c r="J492" s="188" t="str">
        <f t="shared" si="15"/>
        <v/>
      </c>
      <c r="L492" s="48" t="s">
        <v>108</v>
      </c>
      <c r="O492" s="30" t="s">
        <v>89</v>
      </c>
      <c r="Q492" s="192"/>
      <c r="R492" s="161" t="str">
        <f>IFERROR(VLOOKUP(Q492,'PRODUCT TABLE'!$A$2:$B$26,2,FALSE),"-")</f>
        <v>-</v>
      </c>
      <c r="V492" s="161">
        <f t="shared" si="14"/>
        <v>0</v>
      </c>
      <c r="Y492" s="30"/>
      <c r="Z492" s="169">
        <f t="shared" si="2"/>
        <v>0</v>
      </c>
      <c r="AA492" s="167">
        <f t="shared" si="3"/>
        <v>0</v>
      </c>
      <c r="AB492" s="161"/>
      <c r="AC492" s="161">
        <f t="shared" si="4"/>
        <v>0</v>
      </c>
      <c r="AD492" s="161">
        <f t="shared" si="5"/>
        <v>0</v>
      </c>
      <c r="AE492" s="161">
        <f t="shared" si="6"/>
        <v>0</v>
      </c>
      <c r="AF492" s="167">
        <f t="shared" si="7"/>
        <v>0</v>
      </c>
      <c r="AG492" s="167">
        <f t="shared" si="8"/>
        <v>0</v>
      </c>
      <c r="AH492" s="158"/>
      <c r="AI492" s="158"/>
    </row>
    <row r="493" ht="12.75" customHeight="1">
      <c r="B493" s="160" t="str">
        <f>iferror(VLOOKUP((LEFT(A493,6)),CUSTOMER_DETAILS,2,FALSE),"-")</f>
        <v>-</v>
      </c>
      <c r="C493" s="161" t="s">
        <v>89</v>
      </c>
      <c r="D493" s="162"/>
      <c r="E493" s="161" t="s">
        <v>89</v>
      </c>
      <c r="F493" s="30" t="s">
        <v>89</v>
      </c>
      <c r="G493" s="30" t="s">
        <v>89</v>
      </c>
      <c r="H493" s="30" t="s">
        <v>89</v>
      </c>
      <c r="I493" s="48" t="s">
        <v>108</v>
      </c>
      <c r="J493" s="188" t="str">
        <f t="shared" si="15"/>
        <v/>
      </c>
      <c r="L493" s="48" t="s">
        <v>108</v>
      </c>
      <c r="O493" s="30" t="s">
        <v>89</v>
      </c>
      <c r="Q493" s="192"/>
      <c r="R493" s="161" t="str">
        <f>IFERROR(VLOOKUP(Q493,'PRODUCT TABLE'!$A$2:$B$26,2,FALSE),"-")</f>
        <v>-</v>
      </c>
      <c r="V493" s="161">
        <f t="shared" si="14"/>
        <v>0</v>
      </c>
      <c r="Y493" s="30"/>
      <c r="Z493" s="169">
        <f t="shared" si="2"/>
        <v>0</v>
      </c>
      <c r="AA493" s="167">
        <f t="shared" si="3"/>
        <v>0</v>
      </c>
      <c r="AB493" s="161"/>
      <c r="AC493" s="161">
        <f t="shared" si="4"/>
        <v>0</v>
      </c>
      <c r="AD493" s="161">
        <f t="shared" si="5"/>
        <v>0</v>
      </c>
      <c r="AE493" s="161">
        <f t="shared" si="6"/>
        <v>0</v>
      </c>
      <c r="AF493" s="167">
        <f t="shared" si="7"/>
        <v>0</v>
      </c>
      <c r="AG493" s="167">
        <f t="shared" si="8"/>
        <v>0</v>
      </c>
      <c r="AH493" s="158"/>
      <c r="AI493" s="158"/>
    </row>
    <row r="494" ht="12.75" customHeight="1">
      <c r="B494" s="160" t="str">
        <f>iferror(VLOOKUP((LEFT(A494,6)),CUSTOMER_DETAILS,2,FALSE),"-")</f>
        <v>-</v>
      </c>
      <c r="C494" s="161" t="s">
        <v>89</v>
      </c>
      <c r="D494" s="162"/>
      <c r="E494" s="161" t="s">
        <v>89</v>
      </c>
      <c r="F494" s="30" t="s">
        <v>89</v>
      </c>
      <c r="G494" s="30" t="s">
        <v>89</v>
      </c>
      <c r="H494" s="30" t="s">
        <v>89</v>
      </c>
      <c r="I494" s="48" t="s">
        <v>108</v>
      </c>
      <c r="J494" s="188" t="str">
        <f t="shared" si="15"/>
        <v/>
      </c>
      <c r="L494" s="48" t="s">
        <v>108</v>
      </c>
      <c r="O494" s="30" t="s">
        <v>89</v>
      </c>
      <c r="Q494" s="192"/>
      <c r="R494" s="161" t="str">
        <f>IFERROR(VLOOKUP(Q494,'PRODUCT TABLE'!$A$2:$B$26,2,FALSE),"-")</f>
        <v>-</v>
      </c>
      <c r="V494" s="161">
        <f t="shared" si="14"/>
        <v>0</v>
      </c>
      <c r="Y494" s="30"/>
      <c r="Z494" s="169">
        <f t="shared" si="2"/>
        <v>0</v>
      </c>
      <c r="AA494" s="167">
        <f t="shared" si="3"/>
        <v>0</v>
      </c>
      <c r="AB494" s="161"/>
      <c r="AC494" s="161">
        <f t="shared" si="4"/>
        <v>0</v>
      </c>
      <c r="AD494" s="161">
        <f t="shared" si="5"/>
        <v>0</v>
      </c>
      <c r="AE494" s="161">
        <f t="shared" si="6"/>
        <v>0</v>
      </c>
      <c r="AF494" s="167">
        <f t="shared" si="7"/>
        <v>0</v>
      </c>
      <c r="AG494" s="167">
        <f t="shared" si="8"/>
        <v>0</v>
      </c>
      <c r="AH494" s="158"/>
      <c r="AI494" s="158"/>
    </row>
    <row r="495" ht="12.75" customHeight="1">
      <c r="B495" s="160" t="str">
        <f>iferror(VLOOKUP((LEFT(A495,6)),CUSTOMER_DETAILS,2,FALSE),"-")</f>
        <v>-</v>
      </c>
      <c r="C495" s="161" t="s">
        <v>89</v>
      </c>
      <c r="D495" s="162"/>
      <c r="E495" s="161" t="s">
        <v>89</v>
      </c>
      <c r="F495" s="30" t="s">
        <v>89</v>
      </c>
      <c r="G495" s="30" t="s">
        <v>89</v>
      </c>
      <c r="H495" s="30" t="s">
        <v>89</v>
      </c>
      <c r="I495" s="48" t="s">
        <v>108</v>
      </c>
      <c r="J495" s="188" t="str">
        <f t="shared" si="15"/>
        <v/>
      </c>
      <c r="L495" s="48" t="s">
        <v>108</v>
      </c>
      <c r="O495" s="30" t="s">
        <v>89</v>
      </c>
      <c r="Q495" s="192"/>
      <c r="R495" s="161" t="str">
        <f>IFERROR(VLOOKUP(Q495,'PRODUCT TABLE'!$A$2:$B$26,2,FALSE),"-")</f>
        <v>-</v>
      </c>
      <c r="V495" s="161">
        <f t="shared" si="14"/>
        <v>0</v>
      </c>
      <c r="Y495" s="30"/>
      <c r="Z495" s="169">
        <f t="shared" si="2"/>
        <v>0</v>
      </c>
      <c r="AA495" s="167">
        <f t="shared" si="3"/>
        <v>0</v>
      </c>
      <c r="AB495" s="161"/>
      <c r="AC495" s="161">
        <f t="shared" si="4"/>
        <v>0</v>
      </c>
      <c r="AD495" s="161">
        <f t="shared" si="5"/>
        <v>0</v>
      </c>
      <c r="AE495" s="161">
        <f t="shared" si="6"/>
        <v>0</v>
      </c>
      <c r="AF495" s="167">
        <f t="shared" si="7"/>
        <v>0</v>
      </c>
      <c r="AG495" s="167">
        <f t="shared" si="8"/>
        <v>0</v>
      </c>
      <c r="AH495" s="158"/>
      <c r="AI495" s="158"/>
    </row>
    <row r="496" ht="12.75" customHeight="1">
      <c r="B496" s="160" t="str">
        <f>iferror(VLOOKUP((LEFT(A496,6)),CUSTOMER_DETAILS,2,FALSE),"-")</f>
        <v>-</v>
      </c>
      <c r="C496" s="161" t="s">
        <v>89</v>
      </c>
      <c r="D496" s="162"/>
      <c r="E496" s="161" t="s">
        <v>89</v>
      </c>
      <c r="F496" s="30" t="s">
        <v>89</v>
      </c>
      <c r="G496" s="30" t="s">
        <v>89</v>
      </c>
      <c r="H496" s="30" t="s">
        <v>89</v>
      </c>
      <c r="I496" s="48" t="s">
        <v>108</v>
      </c>
      <c r="J496" s="188" t="str">
        <f t="shared" si="15"/>
        <v/>
      </c>
      <c r="L496" s="48" t="s">
        <v>108</v>
      </c>
      <c r="O496" s="30" t="s">
        <v>89</v>
      </c>
      <c r="Q496" s="192"/>
      <c r="R496" s="161" t="str">
        <f>IFERROR(VLOOKUP(Q496,'PRODUCT TABLE'!$A$2:$B$26,2,FALSE),"-")</f>
        <v>-</v>
      </c>
      <c r="V496" s="161">
        <f t="shared" si="14"/>
        <v>0</v>
      </c>
      <c r="Y496" s="30"/>
      <c r="Z496" s="169">
        <f t="shared" si="2"/>
        <v>0</v>
      </c>
      <c r="AA496" s="167">
        <f t="shared" si="3"/>
        <v>0</v>
      </c>
      <c r="AB496" s="161"/>
      <c r="AC496" s="161">
        <f t="shared" si="4"/>
        <v>0</v>
      </c>
      <c r="AD496" s="161">
        <f t="shared" si="5"/>
        <v>0</v>
      </c>
      <c r="AE496" s="161">
        <f t="shared" si="6"/>
        <v>0</v>
      </c>
      <c r="AF496" s="167">
        <f t="shared" si="7"/>
        <v>0</v>
      </c>
      <c r="AG496" s="167">
        <f t="shared" si="8"/>
        <v>0</v>
      </c>
      <c r="AH496" s="158"/>
      <c r="AI496" s="158"/>
    </row>
    <row r="497" ht="12.75" customHeight="1">
      <c r="B497" s="160" t="str">
        <f>iferror(VLOOKUP((LEFT(A497,6)),CUSTOMER_DETAILS,2,FALSE),"-")</f>
        <v>-</v>
      </c>
      <c r="C497" s="161" t="s">
        <v>89</v>
      </c>
      <c r="D497" s="162"/>
      <c r="E497" s="161" t="s">
        <v>89</v>
      </c>
      <c r="F497" s="30" t="s">
        <v>89</v>
      </c>
      <c r="G497" s="30" t="s">
        <v>89</v>
      </c>
      <c r="H497" s="30" t="s">
        <v>89</v>
      </c>
      <c r="I497" s="48" t="s">
        <v>108</v>
      </c>
      <c r="J497" s="188" t="str">
        <f t="shared" si="15"/>
        <v/>
      </c>
      <c r="L497" s="48" t="s">
        <v>108</v>
      </c>
      <c r="O497" s="30" t="s">
        <v>89</v>
      </c>
      <c r="Q497" s="192"/>
      <c r="R497" s="161" t="str">
        <f>IFERROR(VLOOKUP(Q497,'PRODUCT TABLE'!$A$2:$B$26,2,FALSE),"-")</f>
        <v>-</v>
      </c>
      <c r="V497" s="161">
        <f t="shared" si="14"/>
        <v>0</v>
      </c>
      <c r="Y497" s="30"/>
      <c r="Z497" s="169">
        <f t="shared" si="2"/>
        <v>0</v>
      </c>
      <c r="AA497" s="167">
        <f t="shared" si="3"/>
        <v>0</v>
      </c>
      <c r="AB497" s="161"/>
      <c r="AC497" s="161">
        <f t="shared" si="4"/>
        <v>0</v>
      </c>
      <c r="AD497" s="161">
        <f t="shared" si="5"/>
        <v>0</v>
      </c>
      <c r="AE497" s="161">
        <f t="shared" si="6"/>
        <v>0</v>
      </c>
      <c r="AF497" s="167">
        <f t="shared" si="7"/>
        <v>0</v>
      </c>
      <c r="AG497" s="167">
        <f t="shared" si="8"/>
        <v>0</v>
      </c>
      <c r="AH497" s="158"/>
      <c r="AI497" s="158"/>
    </row>
    <row r="498" ht="12.75" customHeight="1">
      <c r="B498" s="160" t="str">
        <f>iferror(VLOOKUP((LEFT(A498,6)),CUSTOMER_DETAILS,2,FALSE),"-")</f>
        <v>-</v>
      </c>
      <c r="C498" s="161" t="s">
        <v>89</v>
      </c>
      <c r="D498" s="162"/>
      <c r="E498" s="161" t="s">
        <v>89</v>
      </c>
      <c r="F498" s="30" t="s">
        <v>89</v>
      </c>
      <c r="G498" s="30" t="s">
        <v>89</v>
      </c>
      <c r="H498" s="30" t="s">
        <v>89</v>
      </c>
      <c r="I498" s="48" t="s">
        <v>108</v>
      </c>
      <c r="J498" s="188" t="str">
        <f t="shared" si="15"/>
        <v/>
      </c>
      <c r="L498" s="48" t="s">
        <v>108</v>
      </c>
      <c r="O498" s="30" t="s">
        <v>89</v>
      </c>
      <c r="Q498" s="192"/>
      <c r="R498" s="161" t="str">
        <f>IFERROR(VLOOKUP(Q498,'PRODUCT TABLE'!$A$2:$B$26,2,FALSE),"-")</f>
        <v>-</v>
      </c>
      <c r="V498" s="161">
        <f t="shared" si="14"/>
        <v>0</v>
      </c>
      <c r="Y498" s="30"/>
      <c r="Z498" s="169">
        <f t="shared" si="2"/>
        <v>0</v>
      </c>
      <c r="AA498" s="167">
        <f t="shared" si="3"/>
        <v>0</v>
      </c>
      <c r="AB498" s="161"/>
      <c r="AC498" s="161">
        <f t="shared" si="4"/>
        <v>0</v>
      </c>
      <c r="AD498" s="161">
        <f t="shared" si="5"/>
        <v>0</v>
      </c>
      <c r="AE498" s="161">
        <f t="shared" si="6"/>
        <v>0</v>
      </c>
      <c r="AF498" s="167">
        <f t="shared" si="7"/>
        <v>0</v>
      </c>
      <c r="AG498" s="167">
        <f t="shared" si="8"/>
        <v>0</v>
      </c>
      <c r="AH498" s="158"/>
      <c r="AI498" s="158"/>
    </row>
    <row r="499" ht="12.75" customHeight="1">
      <c r="B499" s="160" t="str">
        <f>iferror(VLOOKUP((LEFT(A499,6)),CUSTOMER_DETAILS,2,FALSE),"-")</f>
        <v>-</v>
      </c>
      <c r="C499" s="161" t="s">
        <v>89</v>
      </c>
      <c r="D499" s="162"/>
      <c r="E499" s="161" t="s">
        <v>89</v>
      </c>
      <c r="F499" s="30" t="s">
        <v>89</v>
      </c>
      <c r="G499" s="30" t="s">
        <v>89</v>
      </c>
      <c r="H499" s="30" t="s">
        <v>89</v>
      </c>
      <c r="I499" s="48" t="s">
        <v>108</v>
      </c>
      <c r="J499" s="188" t="str">
        <f t="shared" si="15"/>
        <v/>
      </c>
      <c r="L499" s="48" t="s">
        <v>108</v>
      </c>
      <c r="O499" s="30" t="s">
        <v>89</v>
      </c>
      <c r="Q499" s="192"/>
      <c r="R499" s="161" t="str">
        <f>IFERROR(VLOOKUP(Q499,'PRODUCT TABLE'!$A$2:$B$26,2,FALSE),"-")</f>
        <v>-</v>
      </c>
      <c r="V499" s="161">
        <f t="shared" si="14"/>
        <v>0</v>
      </c>
      <c r="Y499" s="30"/>
      <c r="Z499" s="169">
        <f t="shared" si="2"/>
        <v>0</v>
      </c>
      <c r="AA499" s="167">
        <f t="shared" si="3"/>
        <v>0</v>
      </c>
      <c r="AB499" s="161"/>
      <c r="AC499" s="161">
        <f t="shared" si="4"/>
        <v>0</v>
      </c>
      <c r="AD499" s="161">
        <f t="shared" si="5"/>
        <v>0</v>
      </c>
      <c r="AE499" s="161">
        <f t="shared" si="6"/>
        <v>0</v>
      </c>
      <c r="AF499" s="167">
        <f t="shared" si="7"/>
        <v>0</v>
      </c>
      <c r="AG499" s="167">
        <f t="shared" si="8"/>
        <v>0</v>
      </c>
      <c r="AH499" s="158"/>
      <c r="AI499" s="158"/>
    </row>
    <row r="500" ht="12.75" customHeight="1">
      <c r="B500" s="160" t="str">
        <f>iferror(VLOOKUP((LEFT(A500,6)),CUSTOMER_DETAILS,2,FALSE),"-")</f>
        <v>-</v>
      </c>
      <c r="C500" s="161" t="s">
        <v>89</v>
      </c>
      <c r="D500" s="162"/>
      <c r="E500" s="161" t="s">
        <v>89</v>
      </c>
      <c r="F500" s="30" t="s">
        <v>89</v>
      </c>
      <c r="G500" s="30" t="s">
        <v>89</v>
      </c>
      <c r="H500" s="30" t="s">
        <v>89</v>
      </c>
      <c r="I500" s="48" t="s">
        <v>108</v>
      </c>
      <c r="J500" s="188" t="str">
        <f t="shared" si="15"/>
        <v/>
      </c>
      <c r="L500" s="48" t="s">
        <v>108</v>
      </c>
      <c r="O500" s="30" t="s">
        <v>89</v>
      </c>
      <c r="Q500" s="192"/>
      <c r="R500" s="161" t="str">
        <f>IFERROR(VLOOKUP(Q500,'PRODUCT TABLE'!$A$2:$B$26,2,FALSE),"-")</f>
        <v>-</v>
      </c>
      <c r="V500" s="161">
        <f t="shared" si="14"/>
        <v>0</v>
      </c>
      <c r="Y500" s="30"/>
      <c r="Z500" s="169">
        <f t="shared" si="2"/>
        <v>0</v>
      </c>
      <c r="AA500" s="167">
        <f t="shared" si="3"/>
        <v>0</v>
      </c>
      <c r="AB500" s="161"/>
      <c r="AC500" s="161">
        <f t="shared" si="4"/>
        <v>0</v>
      </c>
      <c r="AD500" s="161">
        <f t="shared" si="5"/>
        <v>0</v>
      </c>
      <c r="AE500" s="161">
        <f t="shared" si="6"/>
        <v>0</v>
      </c>
      <c r="AF500" s="167">
        <f t="shared" si="7"/>
        <v>0</v>
      </c>
      <c r="AG500" s="167">
        <f t="shared" si="8"/>
        <v>0</v>
      </c>
      <c r="AH500" s="158"/>
      <c r="AI500" s="158"/>
    </row>
    <row r="501" ht="12.75" customHeight="1">
      <c r="B501" s="160" t="str">
        <f>iferror(VLOOKUP((LEFT(A501,6)),CUSTOMER_DETAILS,2,FALSE),"-")</f>
        <v>-</v>
      </c>
      <c r="C501" s="161" t="s">
        <v>89</v>
      </c>
      <c r="D501" s="162"/>
      <c r="E501" s="161" t="s">
        <v>89</v>
      </c>
      <c r="F501" s="30" t="s">
        <v>89</v>
      </c>
      <c r="G501" s="30" t="s">
        <v>89</v>
      </c>
      <c r="H501" s="30" t="s">
        <v>89</v>
      </c>
      <c r="I501" s="48" t="s">
        <v>108</v>
      </c>
      <c r="J501" s="188" t="str">
        <f t="shared" si="15"/>
        <v/>
      </c>
      <c r="L501" s="48" t="s">
        <v>108</v>
      </c>
      <c r="O501" s="30" t="s">
        <v>89</v>
      </c>
      <c r="Q501" s="192"/>
      <c r="R501" s="161" t="str">
        <f>IFERROR(VLOOKUP(Q501,'PRODUCT TABLE'!$A$2:$B$26,2,FALSE),"-")</f>
        <v>-</v>
      </c>
      <c r="V501" s="161">
        <f t="shared" si="14"/>
        <v>0</v>
      </c>
      <c r="Y501" s="30"/>
      <c r="Z501" s="169">
        <f t="shared" si="2"/>
        <v>0</v>
      </c>
      <c r="AA501" s="167">
        <f t="shared" si="3"/>
        <v>0</v>
      </c>
      <c r="AB501" s="161"/>
      <c r="AC501" s="161">
        <f t="shared" si="4"/>
        <v>0</v>
      </c>
      <c r="AD501" s="161">
        <f t="shared" si="5"/>
        <v>0</v>
      </c>
      <c r="AE501" s="161">
        <f t="shared" si="6"/>
        <v>0</v>
      </c>
      <c r="AF501" s="167">
        <f t="shared" si="7"/>
        <v>0</v>
      </c>
      <c r="AG501" s="167">
        <f t="shared" si="8"/>
        <v>0</v>
      </c>
      <c r="AH501" s="158"/>
      <c r="AI501" s="158"/>
    </row>
    <row r="502" ht="12.75" customHeight="1">
      <c r="B502" s="160" t="str">
        <f>iferror(VLOOKUP((LEFT(A502,6)),CUSTOMER_DETAILS,2,FALSE),"-")</f>
        <v>-</v>
      </c>
      <c r="C502" s="161" t="s">
        <v>89</v>
      </c>
      <c r="D502" s="162"/>
      <c r="E502" s="161" t="s">
        <v>89</v>
      </c>
      <c r="F502" s="30" t="s">
        <v>89</v>
      </c>
      <c r="G502" s="30" t="s">
        <v>89</v>
      </c>
      <c r="H502" s="30" t="s">
        <v>89</v>
      </c>
      <c r="I502" s="48" t="s">
        <v>108</v>
      </c>
      <c r="J502" s="188" t="str">
        <f t="shared" si="15"/>
        <v/>
      </c>
      <c r="L502" s="48" t="s">
        <v>108</v>
      </c>
      <c r="O502" s="30" t="s">
        <v>89</v>
      </c>
      <c r="Q502" s="192"/>
      <c r="R502" s="161" t="str">
        <f>IFERROR(VLOOKUP(Q502,'PRODUCT TABLE'!$A$2:$B$26,2,FALSE),"-")</f>
        <v>-</v>
      </c>
      <c r="V502" s="161">
        <f t="shared" si="14"/>
        <v>0</v>
      </c>
      <c r="Y502" s="30"/>
      <c r="Z502" s="169">
        <f t="shared" si="2"/>
        <v>0</v>
      </c>
      <c r="AA502" s="167">
        <f t="shared" si="3"/>
        <v>0</v>
      </c>
      <c r="AB502" s="161"/>
      <c r="AC502" s="161">
        <f t="shared" si="4"/>
        <v>0</v>
      </c>
      <c r="AD502" s="161">
        <f t="shared" si="5"/>
        <v>0</v>
      </c>
      <c r="AE502" s="161">
        <f t="shared" si="6"/>
        <v>0</v>
      </c>
      <c r="AF502" s="167">
        <f t="shared" si="7"/>
        <v>0</v>
      </c>
      <c r="AG502" s="167">
        <f t="shared" si="8"/>
        <v>0</v>
      </c>
      <c r="AH502" s="158"/>
      <c r="AI502" s="158"/>
    </row>
    <row r="503" ht="12.75" customHeight="1">
      <c r="B503" s="160" t="str">
        <f>iferror(VLOOKUP((LEFT(A503,6)),CUSTOMER_DETAILS,2,FALSE),"-")</f>
        <v>-</v>
      </c>
      <c r="C503" s="161" t="s">
        <v>89</v>
      </c>
      <c r="D503" s="162"/>
      <c r="E503" s="161" t="s">
        <v>89</v>
      </c>
      <c r="F503" s="30" t="s">
        <v>89</v>
      </c>
      <c r="G503" s="30" t="s">
        <v>89</v>
      </c>
      <c r="H503" s="30" t="s">
        <v>89</v>
      </c>
      <c r="I503" s="48" t="s">
        <v>108</v>
      </c>
      <c r="J503" s="188" t="str">
        <f t="shared" si="15"/>
        <v/>
      </c>
      <c r="L503" s="48" t="s">
        <v>108</v>
      </c>
      <c r="O503" s="30" t="s">
        <v>89</v>
      </c>
      <c r="Q503" s="192"/>
      <c r="R503" s="161" t="str">
        <f>IFERROR(VLOOKUP(Q503,'PRODUCT TABLE'!$A$2:$B$26,2,FALSE),"-")</f>
        <v>-</v>
      </c>
      <c r="V503" s="161">
        <f t="shared" si="14"/>
        <v>0</v>
      </c>
      <c r="Y503" s="30"/>
      <c r="Z503" s="169">
        <f t="shared" si="2"/>
        <v>0</v>
      </c>
      <c r="AA503" s="167">
        <f t="shared" si="3"/>
        <v>0</v>
      </c>
      <c r="AB503" s="161"/>
      <c r="AC503" s="161">
        <f t="shared" si="4"/>
        <v>0</v>
      </c>
      <c r="AD503" s="161">
        <f t="shared" si="5"/>
        <v>0</v>
      </c>
      <c r="AE503" s="161">
        <f t="shared" si="6"/>
        <v>0</v>
      </c>
      <c r="AF503" s="167">
        <f t="shared" si="7"/>
        <v>0</v>
      </c>
      <c r="AG503" s="167">
        <f t="shared" si="8"/>
        <v>0</v>
      </c>
      <c r="AH503" s="158"/>
      <c r="AI503" s="158"/>
    </row>
    <row r="504" ht="12.75" customHeight="1">
      <c r="B504" s="160" t="str">
        <f>iferror(VLOOKUP((LEFT(A504,6)),CUSTOMER_DETAILS,2,FALSE),"-")</f>
        <v>-</v>
      </c>
      <c r="C504" s="161" t="s">
        <v>89</v>
      </c>
      <c r="D504" s="162"/>
      <c r="E504" s="161" t="s">
        <v>89</v>
      </c>
      <c r="F504" s="30" t="s">
        <v>89</v>
      </c>
      <c r="G504" s="30" t="s">
        <v>89</v>
      </c>
      <c r="H504" s="30" t="s">
        <v>89</v>
      </c>
      <c r="I504" s="48" t="s">
        <v>108</v>
      </c>
      <c r="J504" s="188" t="str">
        <f t="shared" si="15"/>
        <v/>
      </c>
      <c r="L504" s="48" t="s">
        <v>108</v>
      </c>
      <c r="O504" s="30" t="s">
        <v>89</v>
      </c>
      <c r="Q504" s="192"/>
      <c r="R504" s="161" t="str">
        <f>IFERROR(VLOOKUP(Q504,'PRODUCT TABLE'!$A$2:$B$26,2,FALSE),"-")</f>
        <v>-</v>
      </c>
      <c r="V504" s="161">
        <f t="shared" si="14"/>
        <v>0</v>
      </c>
      <c r="Y504" s="30"/>
      <c r="Z504" s="169">
        <f t="shared" si="2"/>
        <v>0</v>
      </c>
      <c r="AA504" s="167">
        <f t="shared" si="3"/>
        <v>0</v>
      </c>
      <c r="AB504" s="161"/>
      <c r="AC504" s="161">
        <f t="shared" si="4"/>
        <v>0</v>
      </c>
      <c r="AD504" s="161">
        <f t="shared" si="5"/>
        <v>0</v>
      </c>
      <c r="AE504" s="161">
        <f t="shared" si="6"/>
        <v>0</v>
      </c>
      <c r="AF504" s="167">
        <f t="shared" si="7"/>
        <v>0</v>
      </c>
      <c r="AG504" s="167">
        <f t="shared" si="8"/>
        <v>0</v>
      </c>
      <c r="AH504" s="158"/>
      <c r="AI504" s="158"/>
    </row>
    <row r="505" ht="12.75" customHeight="1">
      <c r="B505" s="160" t="str">
        <f>iferror(VLOOKUP((LEFT(A505,6)),CUSTOMER_DETAILS,2,FALSE),"-")</f>
        <v>-</v>
      </c>
      <c r="C505" s="161" t="s">
        <v>89</v>
      </c>
      <c r="D505" s="162"/>
      <c r="E505" s="161" t="s">
        <v>89</v>
      </c>
      <c r="F505" s="30" t="s">
        <v>89</v>
      </c>
      <c r="G505" s="30" t="s">
        <v>89</v>
      </c>
      <c r="H505" s="30" t="s">
        <v>89</v>
      </c>
      <c r="I505" s="48" t="s">
        <v>108</v>
      </c>
      <c r="J505" s="188" t="str">
        <f t="shared" si="15"/>
        <v/>
      </c>
      <c r="L505" s="48" t="s">
        <v>108</v>
      </c>
      <c r="O505" s="30" t="s">
        <v>89</v>
      </c>
      <c r="Q505" s="192"/>
      <c r="R505" s="161" t="str">
        <f>IFERROR(VLOOKUP(Q505,'PRODUCT TABLE'!$A$2:$B$26,2,FALSE),"-")</f>
        <v>-</v>
      </c>
      <c r="V505" s="161">
        <f t="shared" si="14"/>
        <v>0</v>
      </c>
      <c r="Y505" s="30"/>
      <c r="Z505" s="169">
        <f t="shared" si="2"/>
        <v>0</v>
      </c>
      <c r="AA505" s="167">
        <f t="shared" si="3"/>
        <v>0</v>
      </c>
      <c r="AB505" s="161"/>
      <c r="AC505" s="161">
        <f t="shared" si="4"/>
        <v>0</v>
      </c>
      <c r="AD505" s="161">
        <f t="shared" si="5"/>
        <v>0</v>
      </c>
      <c r="AE505" s="161">
        <f t="shared" si="6"/>
        <v>0</v>
      </c>
      <c r="AF505" s="167">
        <f t="shared" si="7"/>
        <v>0</v>
      </c>
      <c r="AG505" s="167">
        <f t="shared" si="8"/>
        <v>0</v>
      </c>
      <c r="AH505" s="158"/>
      <c r="AI505" s="158"/>
    </row>
    <row r="506" ht="12.75" customHeight="1">
      <c r="B506" s="160" t="str">
        <f>iferror(VLOOKUP((LEFT(A506,6)),CUSTOMER_DETAILS,2,FALSE),"-")</f>
        <v>-</v>
      </c>
      <c r="C506" s="161" t="s">
        <v>89</v>
      </c>
      <c r="D506" s="162"/>
      <c r="E506" s="161" t="s">
        <v>89</v>
      </c>
      <c r="F506" s="30" t="s">
        <v>89</v>
      </c>
      <c r="G506" s="30" t="s">
        <v>89</v>
      </c>
      <c r="H506" s="30" t="s">
        <v>89</v>
      </c>
      <c r="I506" s="48" t="s">
        <v>108</v>
      </c>
      <c r="J506" s="188" t="str">
        <f t="shared" si="15"/>
        <v/>
      </c>
      <c r="L506" s="48" t="s">
        <v>108</v>
      </c>
      <c r="O506" s="30" t="s">
        <v>89</v>
      </c>
      <c r="Q506" s="192"/>
      <c r="R506" s="161" t="str">
        <f>IFERROR(VLOOKUP(Q506,'PRODUCT TABLE'!$A$2:$B$26,2,FALSE),"-")</f>
        <v>-</v>
      </c>
      <c r="V506" s="161">
        <f t="shared" si="14"/>
        <v>0</v>
      </c>
      <c r="Y506" s="30"/>
      <c r="Z506" s="169">
        <f t="shared" si="2"/>
        <v>0</v>
      </c>
      <c r="AA506" s="167">
        <f t="shared" si="3"/>
        <v>0</v>
      </c>
      <c r="AB506" s="161"/>
      <c r="AC506" s="161">
        <f t="shared" si="4"/>
        <v>0</v>
      </c>
      <c r="AD506" s="161">
        <f t="shared" si="5"/>
        <v>0</v>
      </c>
      <c r="AE506" s="161">
        <f t="shared" si="6"/>
        <v>0</v>
      </c>
      <c r="AF506" s="167">
        <f t="shared" si="7"/>
        <v>0</v>
      </c>
      <c r="AG506" s="167">
        <f t="shared" si="8"/>
        <v>0</v>
      </c>
      <c r="AH506" s="158"/>
      <c r="AI506" s="158"/>
    </row>
    <row r="507" ht="12.75" customHeight="1">
      <c r="B507" s="160" t="str">
        <f>iferror(VLOOKUP((LEFT(A507,6)),CUSTOMER_DETAILS,2,FALSE),"-")</f>
        <v>-</v>
      </c>
      <c r="C507" s="161" t="s">
        <v>89</v>
      </c>
      <c r="D507" s="162"/>
      <c r="E507" s="161" t="s">
        <v>89</v>
      </c>
      <c r="F507" s="30" t="s">
        <v>89</v>
      </c>
      <c r="G507" s="30" t="s">
        <v>89</v>
      </c>
      <c r="H507" s="30" t="s">
        <v>89</v>
      </c>
      <c r="I507" s="48" t="s">
        <v>108</v>
      </c>
      <c r="J507" s="188" t="str">
        <f t="shared" si="15"/>
        <v/>
      </c>
      <c r="L507" s="48" t="s">
        <v>108</v>
      </c>
      <c r="O507" s="30" t="s">
        <v>89</v>
      </c>
      <c r="Q507" s="192"/>
      <c r="R507" s="161" t="str">
        <f>IFERROR(VLOOKUP(Q507,'PRODUCT TABLE'!$A$2:$B$26,2,FALSE),"-")</f>
        <v>-</v>
      </c>
      <c r="V507" s="161">
        <f t="shared" si="14"/>
        <v>0</v>
      </c>
      <c r="Y507" s="30"/>
      <c r="Z507" s="169">
        <f t="shared" si="2"/>
        <v>0</v>
      </c>
      <c r="AA507" s="167">
        <f t="shared" si="3"/>
        <v>0</v>
      </c>
      <c r="AB507" s="161"/>
      <c r="AC507" s="161">
        <f t="shared" si="4"/>
        <v>0</v>
      </c>
      <c r="AD507" s="161">
        <f t="shared" si="5"/>
        <v>0</v>
      </c>
      <c r="AE507" s="161">
        <f t="shared" si="6"/>
        <v>0</v>
      </c>
      <c r="AF507" s="167">
        <f t="shared" si="7"/>
        <v>0</v>
      </c>
      <c r="AG507" s="167">
        <f t="shared" si="8"/>
        <v>0</v>
      </c>
      <c r="AH507" s="158"/>
      <c r="AI507" s="158"/>
    </row>
    <row r="508" ht="12.75" customHeight="1">
      <c r="B508" s="160" t="str">
        <f>iferror(VLOOKUP((LEFT(A508,6)),CUSTOMER_DETAILS,2,FALSE),"-")</f>
        <v>-</v>
      </c>
      <c r="C508" s="161" t="s">
        <v>89</v>
      </c>
      <c r="D508" s="162"/>
      <c r="E508" s="161" t="s">
        <v>89</v>
      </c>
      <c r="F508" s="30" t="s">
        <v>89</v>
      </c>
      <c r="G508" s="30" t="s">
        <v>89</v>
      </c>
      <c r="H508" s="30" t="s">
        <v>89</v>
      </c>
      <c r="I508" s="48" t="s">
        <v>108</v>
      </c>
      <c r="J508" s="188" t="str">
        <f t="shared" si="15"/>
        <v/>
      </c>
      <c r="L508" s="48" t="s">
        <v>108</v>
      </c>
      <c r="O508" s="30" t="s">
        <v>89</v>
      </c>
      <c r="Q508" s="192"/>
      <c r="R508" s="161" t="str">
        <f>IFERROR(VLOOKUP(Q508,'PRODUCT TABLE'!$A$2:$B$26,2,FALSE),"-")</f>
        <v>-</v>
      </c>
      <c r="V508" s="161">
        <f t="shared" si="14"/>
        <v>0</v>
      </c>
      <c r="Y508" s="30"/>
      <c r="Z508" s="169">
        <f t="shared" si="2"/>
        <v>0</v>
      </c>
      <c r="AA508" s="167">
        <f t="shared" si="3"/>
        <v>0</v>
      </c>
      <c r="AB508" s="161"/>
      <c r="AC508" s="161">
        <f t="shared" si="4"/>
        <v>0</v>
      </c>
      <c r="AD508" s="161">
        <f t="shared" si="5"/>
        <v>0</v>
      </c>
      <c r="AE508" s="161">
        <f t="shared" si="6"/>
        <v>0</v>
      </c>
      <c r="AF508" s="167">
        <f t="shared" si="7"/>
        <v>0</v>
      </c>
      <c r="AG508" s="167">
        <f t="shared" si="8"/>
        <v>0</v>
      </c>
      <c r="AH508" s="158"/>
      <c r="AI508" s="158"/>
    </row>
    <row r="509" ht="12.75" customHeight="1">
      <c r="B509" s="160" t="str">
        <f>iferror(VLOOKUP((LEFT(A509,6)),CUSTOMER_DETAILS,2,FALSE),"-")</f>
        <v>-</v>
      </c>
      <c r="C509" s="161" t="s">
        <v>89</v>
      </c>
      <c r="D509" s="162"/>
      <c r="E509" s="161" t="s">
        <v>89</v>
      </c>
      <c r="F509" s="30" t="s">
        <v>89</v>
      </c>
      <c r="G509" s="30" t="s">
        <v>89</v>
      </c>
      <c r="H509" s="30" t="s">
        <v>89</v>
      </c>
      <c r="I509" s="48" t="s">
        <v>108</v>
      </c>
      <c r="J509" s="188" t="str">
        <f t="shared" si="15"/>
        <v/>
      </c>
      <c r="L509" s="48" t="s">
        <v>108</v>
      </c>
      <c r="O509" s="30" t="s">
        <v>89</v>
      </c>
      <c r="Q509" s="192"/>
      <c r="R509" s="161" t="str">
        <f>IFERROR(VLOOKUP(Q509,'PRODUCT TABLE'!$A$2:$B$26,2,FALSE),"-")</f>
        <v>-</v>
      </c>
      <c r="V509" s="161">
        <f t="shared" si="14"/>
        <v>0</v>
      </c>
      <c r="Y509" s="30"/>
      <c r="Z509" s="169">
        <f t="shared" si="2"/>
        <v>0</v>
      </c>
      <c r="AA509" s="167">
        <f t="shared" si="3"/>
        <v>0</v>
      </c>
      <c r="AB509" s="161"/>
      <c r="AC509" s="161">
        <f t="shared" si="4"/>
        <v>0</v>
      </c>
      <c r="AD509" s="161">
        <f t="shared" si="5"/>
        <v>0</v>
      </c>
      <c r="AE509" s="161">
        <f t="shared" si="6"/>
        <v>0</v>
      </c>
      <c r="AF509" s="167">
        <f t="shared" si="7"/>
        <v>0</v>
      </c>
      <c r="AG509" s="167">
        <f t="shared" si="8"/>
        <v>0</v>
      </c>
      <c r="AH509" s="158"/>
      <c r="AI509" s="158"/>
    </row>
    <row r="510" ht="12.75" customHeight="1">
      <c r="B510" s="160" t="str">
        <f>iferror(VLOOKUP((LEFT(A510,6)),CUSTOMER_DETAILS,2,FALSE),"-")</f>
        <v>-</v>
      </c>
      <c r="C510" s="161" t="s">
        <v>89</v>
      </c>
      <c r="D510" s="162"/>
      <c r="E510" s="161" t="s">
        <v>89</v>
      </c>
      <c r="F510" s="30" t="s">
        <v>89</v>
      </c>
      <c r="G510" s="30" t="s">
        <v>89</v>
      </c>
      <c r="H510" s="30" t="s">
        <v>89</v>
      </c>
      <c r="I510" s="48" t="s">
        <v>108</v>
      </c>
      <c r="J510" s="188" t="str">
        <f t="shared" si="15"/>
        <v/>
      </c>
      <c r="L510" s="48" t="s">
        <v>108</v>
      </c>
      <c r="O510" s="30" t="s">
        <v>89</v>
      </c>
      <c r="Q510" s="192"/>
      <c r="R510" s="161" t="str">
        <f>IFERROR(VLOOKUP(Q510,'PRODUCT TABLE'!$A$2:$B$26,2,FALSE),"-")</f>
        <v>-</v>
      </c>
      <c r="V510" s="161">
        <f t="shared" si="14"/>
        <v>0</v>
      </c>
      <c r="Y510" s="30"/>
      <c r="Z510" s="169">
        <f t="shared" si="2"/>
        <v>0</v>
      </c>
      <c r="AA510" s="167">
        <f t="shared" si="3"/>
        <v>0</v>
      </c>
      <c r="AB510" s="161"/>
      <c r="AC510" s="161">
        <f t="shared" si="4"/>
        <v>0</v>
      </c>
      <c r="AD510" s="161">
        <f t="shared" si="5"/>
        <v>0</v>
      </c>
      <c r="AE510" s="161">
        <f t="shared" si="6"/>
        <v>0</v>
      </c>
      <c r="AF510" s="167">
        <f t="shared" si="7"/>
        <v>0</v>
      </c>
      <c r="AG510" s="167">
        <f t="shared" si="8"/>
        <v>0</v>
      </c>
      <c r="AH510" s="158"/>
      <c r="AI510" s="158"/>
    </row>
    <row r="511" ht="12.75" customHeight="1">
      <c r="B511" s="160" t="str">
        <f>iferror(VLOOKUP((LEFT(A511,6)),CUSTOMER_DETAILS,2,FALSE),"-")</f>
        <v>-</v>
      </c>
      <c r="C511" s="161" t="s">
        <v>89</v>
      </c>
      <c r="D511" s="162"/>
      <c r="E511" s="161" t="s">
        <v>89</v>
      </c>
      <c r="F511" s="30" t="s">
        <v>89</v>
      </c>
      <c r="G511" s="30" t="s">
        <v>89</v>
      </c>
      <c r="H511" s="30" t="s">
        <v>89</v>
      </c>
      <c r="I511" s="48" t="s">
        <v>108</v>
      </c>
      <c r="J511" s="188" t="str">
        <f t="shared" si="15"/>
        <v/>
      </c>
      <c r="L511" s="48" t="s">
        <v>108</v>
      </c>
      <c r="O511" s="30" t="s">
        <v>89</v>
      </c>
      <c r="Q511" s="192"/>
      <c r="R511" s="161" t="str">
        <f>IFERROR(VLOOKUP(Q511,'PRODUCT TABLE'!$A$2:$B$26,2,FALSE),"-")</f>
        <v>-</v>
      </c>
      <c r="V511" s="161">
        <f t="shared" si="14"/>
        <v>0</v>
      </c>
      <c r="Y511" s="30"/>
      <c r="Z511" s="169">
        <f t="shared" si="2"/>
        <v>0</v>
      </c>
      <c r="AA511" s="167">
        <f t="shared" si="3"/>
        <v>0</v>
      </c>
      <c r="AB511" s="161"/>
      <c r="AC511" s="161">
        <f t="shared" si="4"/>
        <v>0</v>
      </c>
      <c r="AD511" s="161">
        <f t="shared" si="5"/>
        <v>0</v>
      </c>
      <c r="AE511" s="161">
        <f t="shared" si="6"/>
        <v>0</v>
      </c>
      <c r="AF511" s="167">
        <f t="shared" si="7"/>
        <v>0</v>
      </c>
      <c r="AG511" s="167">
        <f t="shared" si="8"/>
        <v>0</v>
      </c>
      <c r="AH511" s="158"/>
      <c r="AI511" s="158"/>
    </row>
    <row r="512" ht="12.75" customHeight="1">
      <c r="B512" s="160" t="str">
        <f>iferror(VLOOKUP((LEFT(A512,6)),CUSTOMER_DETAILS,2,FALSE),"-")</f>
        <v>-</v>
      </c>
      <c r="C512" s="161" t="s">
        <v>89</v>
      </c>
      <c r="D512" s="162"/>
      <c r="E512" s="161" t="s">
        <v>89</v>
      </c>
      <c r="F512" s="30" t="s">
        <v>89</v>
      </c>
      <c r="G512" s="30" t="s">
        <v>89</v>
      </c>
      <c r="H512" s="30" t="s">
        <v>89</v>
      </c>
      <c r="I512" s="48" t="s">
        <v>108</v>
      </c>
      <c r="J512" s="188" t="str">
        <f t="shared" si="15"/>
        <v/>
      </c>
      <c r="L512" s="48" t="s">
        <v>108</v>
      </c>
      <c r="O512" s="30" t="s">
        <v>89</v>
      </c>
      <c r="Q512" s="192"/>
      <c r="R512" s="161" t="str">
        <f>IFERROR(VLOOKUP(Q512,'PRODUCT TABLE'!$A$2:$B$26,2,FALSE),"-")</f>
        <v>-</v>
      </c>
      <c r="V512" s="161">
        <f t="shared" si="14"/>
        <v>0</v>
      </c>
      <c r="Y512" s="30"/>
      <c r="Z512" s="169">
        <f t="shared" si="2"/>
        <v>0</v>
      </c>
      <c r="AA512" s="167">
        <f t="shared" si="3"/>
        <v>0</v>
      </c>
      <c r="AB512" s="161"/>
      <c r="AC512" s="161">
        <f t="shared" si="4"/>
        <v>0</v>
      </c>
      <c r="AD512" s="161">
        <f t="shared" si="5"/>
        <v>0</v>
      </c>
      <c r="AE512" s="161">
        <f t="shared" si="6"/>
        <v>0</v>
      </c>
      <c r="AF512" s="167">
        <f t="shared" si="7"/>
        <v>0</v>
      </c>
      <c r="AG512" s="167">
        <f t="shared" si="8"/>
        <v>0</v>
      </c>
      <c r="AH512" s="158"/>
      <c r="AI512" s="158"/>
    </row>
    <row r="513" ht="12.75" customHeight="1">
      <c r="B513" s="160" t="str">
        <f>iferror(VLOOKUP((LEFT(A513,6)),CUSTOMER_DETAILS,2,FALSE),"-")</f>
        <v>-</v>
      </c>
      <c r="C513" s="161" t="s">
        <v>89</v>
      </c>
      <c r="D513" s="162"/>
      <c r="E513" s="161" t="s">
        <v>89</v>
      </c>
      <c r="F513" s="30" t="s">
        <v>89</v>
      </c>
      <c r="G513" s="30" t="s">
        <v>89</v>
      </c>
      <c r="H513" s="30" t="s">
        <v>89</v>
      </c>
      <c r="I513" s="48" t="s">
        <v>108</v>
      </c>
      <c r="J513" s="188" t="str">
        <f t="shared" si="15"/>
        <v/>
      </c>
      <c r="L513" s="48" t="s">
        <v>108</v>
      </c>
      <c r="O513" s="30" t="s">
        <v>89</v>
      </c>
      <c r="Q513" s="192"/>
      <c r="R513" s="161" t="str">
        <f>IFERROR(VLOOKUP(Q513,'PRODUCT TABLE'!$A$2:$B$26,2,FALSE),"-")</f>
        <v>-</v>
      </c>
      <c r="V513" s="161">
        <f t="shared" si="14"/>
        <v>0</v>
      </c>
      <c r="Y513" s="30"/>
      <c r="Z513" s="169">
        <f t="shared" si="2"/>
        <v>0</v>
      </c>
      <c r="AA513" s="167">
        <f t="shared" si="3"/>
        <v>0</v>
      </c>
      <c r="AB513" s="161"/>
      <c r="AC513" s="161">
        <f t="shared" si="4"/>
        <v>0</v>
      </c>
      <c r="AD513" s="161">
        <f t="shared" si="5"/>
        <v>0</v>
      </c>
      <c r="AE513" s="161">
        <f t="shared" si="6"/>
        <v>0</v>
      </c>
      <c r="AF513" s="167">
        <f t="shared" si="7"/>
        <v>0</v>
      </c>
      <c r="AG513" s="167">
        <f t="shared" si="8"/>
        <v>0</v>
      </c>
      <c r="AH513" s="158"/>
      <c r="AI513" s="158"/>
    </row>
    <row r="514" ht="12.75" customHeight="1">
      <c r="B514" s="160" t="str">
        <f>iferror(VLOOKUP((LEFT(A514,6)),CUSTOMER_DETAILS,2,FALSE),"-")</f>
        <v>-</v>
      </c>
      <c r="C514" s="161" t="s">
        <v>89</v>
      </c>
      <c r="D514" s="162"/>
      <c r="E514" s="161" t="s">
        <v>89</v>
      </c>
      <c r="F514" s="30" t="s">
        <v>89</v>
      </c>
      <c r="G514" s="30" t="s">
        <v>89</v>
      </c>
      <c r="H514" s="30" t="s">
        <v>89</v>
      </c>
      <c r="I514" s="48" t="s">
        <v>108</v>
      </c>
      <c r="J514" s="188" t="str">
        <f t="shared" si="15"/>
        <v/>
      </c>
      <c r="L514" s="48" t="s">
        <v>108</v>
      </c>
      <c r="O514" s="30" t="s">
        <v>89</v>
      </c>
      <c r="Q514" s="192"/>
      <c r="R514" s="161" t="str">
        <f>IFERROR(VLOOKUP(Q514,'PRODUCT TABLE'!$A$2:$B$26,2,FALSE),"-")</f>
        <v>-</v>
      </c>
      <c r="V514" s="161">
        <f t="shared" si="14"/>
        <v>0</v>
      </c>
      <c r="Y514" s="30"/>
      <c r="Z514" s="169">
        <f t="shared" si="2"/>
        <v>0</v>
      </c>
      <c r="AA514" s="167">
        <f t="shared" si="3"/>
        <v>0</v>
      </c>
      <c r="AB514" s="161"/>
      <c r="AC514" s="161">
        <f t="shared" si="4"/>
        <v>0</v>
      </c>
      <c r="AD514" s="161">
        <f t="shared" si="5"/>
        <v>0</v>
      </c>
      <c r="AE514" s="161">
        <f t="shared" si="6"/>
        <v>0</v>
      </c>
      <c r="AF514" s="167">
        <f t="shared" si="7"/>
        <v>0</v>
      </c>
      <c r="AG514" s="167">
        <f t="shared" si="8"/>
        <v>0</v>
      </c>
      <c r="AH514" s="158"/>
      <c r="AI514" s="158"/>
    </row>
    <row r="515" ht="12.75" customHeight="1">
      <c r="B515" s="160" t="str">
        <f>iferror(VLOOKUP((LEFT(A515,6)),CUSTOMER_DETAILS,2,FALSE),"-")</f>
        <v>-</v>
      </c>
      <c r="C515" s="161" t="s">
        <v>89</v>
      </c>
      <c r="D515" s="162"/>
      <c r="E515" s="161" t="s">
        <v>89</v>
      </c>
      <c r="F515" s="30" t="s">
        <v>89</v>
      </c>
      <c r="G515" s="30" t="s">
        <v>89</v>
      </c>
      <c r="H515" s="30" t="s">
        <v>89</v>
      </c>
      <c r="I515" s="48" t="s">
        <v>108</v>
      </c>
      <c r="J515" s="188" t="str">
        <f t="shared" si="15"/>
        <v/>
      </c>
      <c r="L515" s="48" t="s">
        <v>108</v>
      </c>
      <c r="O515" s="30" t="s">
        <v>89</v>
      </c>
      <c r="Q515" s="192"/>
      <c r="R515" s="161" t="str">
        <f>IFERROR(VLOOKUP(Q515,'PRODUCT TABLE'!$A$2:$B$26,2,FALSE),"-")</f>
        <v>-</v>
      </c>
      <c r="V515" s="161">
        <f t="shared" si="14"/>
        <v>0</v>
      </c>
      <c r="Y515" s="30"/>
      <c r="Z515" s="169">
        <f t="shared" si="2"/>
        <v>0</v>
      </c>
      <c r="AA515" s="167">
        <f t="shared" si="3"/>
        <v>0</v>
      </c>
      <c r="AB515" s="161"/>
      <c r="AC515" s="161">
        <f t="shared" si="4"/>
        <v>0</v>
      </c>
      <c r="AD515" s="161">
        <f t="shared" si="5"/>
        <v>0</v>
      </c>
      <c r="AE515" s="161">
        <f t="shared" si="6"/>
        <v>0</v>
      </c>
      <c r="AF515" s="167">
        <f t="shared" si="7"/>
        <v>0</v>
      </c>
      <c r="AG515" s="167">
        <f t="shared" si="8"/>
        <v>0</v>
      </c>
      <c r="AH515" s="158"/>
      <c r="AI515" s="158"/>
    </row>
    <row r="516" ht="12.75" customHeight="1">
      <c r="B516" s="160" t="str">
        <f>iferror(VLOOKUP((LEFT(A516,6)),CUSTOMER_DETAILS,2,FALSE),"-")</f>
        <v>-</v>
      </c>
      <c r="C516" s="161" t="s">
        <v>89</v>
      </c>
      <c r="D516" s="162"/>
      <c r="E516" s="161" t="s">
        <v>89</v>
      </c>
      <c r="F516" s="30" t="s">
        <v>89</v>
      </c>
      <c r="G516" s="30" t="s">
        <v>89</v>
      </c>
      <c r="H516" s="30" t="s">
        <v>89</v>
      </c>
      <c r="I516" s="48" t="s">
        <v>108</v>
      </c>
      <c r="J516" s="188" t="str">
        <f t="shared" si="15"/>
        <v/>
      </c>
      <c r="L516" s="48" t="s">
        <v>108</v>
      </c>
      <c r="O516" s="30" t="s">
        <v>89</v>
      </c>
      <c r="Q516" s="192"/>
      <c r="R516" s="161" t="str">
        <f>IFERROR(VLOOKUP(Q516,'PRODUCT TABLE'!$A$2:$B$26,2,FALSE),"-")</f>
        <v>-</v>
      </c>
      <c r="V516" s="161">
        <f t="shared" si="14"/>
        <v>0</v>
      </c>
      <c r="Y516" s="30"/>
      <c r="Z516" s="169">
        <f t="shared" si="2"/>
        <v>0</v>
      </c>
      <c r="AA516" s="167">
        <f t="shared" si="3"/>
        <v>0</v>
      </c>
      <c r="AB516" s="161"/>
      <c r="AC516" s="161">
        <f t="shared" si="4"/>
        <v>0</v>
      </c>
      <c r="AD516" s="161">
        <f t="shared" si="5"/>
        <v>0</v>
      </c>
      <c r="AE516" s="161">
        <f t="shared" si="6"/>
        <v>0</v>
      </c>
      <c r="AF516" s="167">
        <f t="shared" si="7"/>
        <v>0</v>
      </c>
      <c r="AG516" s="167">
        <f t="shared" si="8"/>
        <v>0</v>
      </c>
      <c r="AH516" s="158"/>
      <c r="AI516" s="158"/>
    </row>
    <row r="517" ht="12.75" customHeight="1">
      <c r="B517" s="160" t="str">
        <f>iferror(VLOOKUP((LEFT(A517,6)),CUSTOMER_DETAILS,2,FALSE),"-")</f>
        <v>-</v>
      </c>
      <c r="C517" s="161" t="s">
        <v>89</v>
      </c>
      <c r="D517" s="162"/>
      <c r="E517" s="161" t="s">
        <v>89</v>
      </c>
      <c r="F517" s="30" t="s">
        <v>89</v>
      </c>
      <c r="G517" s="30" t="s">
        <v>89</v>
      </c>
      <c r="H517" s="30" t="s">
        <v>89</v>
      </c>
      <c r="I517" s="48" t="s">
        <v>108</v>
      </c>
      <c r="J517" s="188" t="str">
        <f t="shared" si="15"/>
        <v/>
      </c>
      <c r="L517" s="48" t="s">
        <v>108</v>
      </c>
      <c r="O517" s="30" t="s">
        <v>89</v>
      </c>
      <c r="Q517" s="192"/>
      <c r="R517" s="161" t="str">
        <f>IFERROR(VLOOKUP(Q517,'PRODUCT TABLE'!$A$2:$B$26,2,FALSE),"-")</f>
        <v>-</v>
      </c>
      <c r="V517" s="161">
        <f t="shared" si="14"/>
        <v>0</v>
      </c>
      <c r="Y517" s="30"/>
      <c r="Z517" s="169">
        <f t="shared" si="2"/>
        <v>0</v>
      </c>
      <c r="AA517" s="167">
        <f t="shared" si="3"/>
        <v>0</v>
      </c>
      <c r="AB517" s="161"/>
      <c r="AC517" s="161">
        <f t="shared" si="4"/>
        <v>0</v>
      </c>
      <c r="AD517" s="161">
        <f t="shared" si="5"/>
        <v>0</v>
      </c>
      <c r="AE517" s="161">
        <f t="shared" si="6"/>
        <v>0</v>
      </c>
      <c r="AF517" s="167">
        <f t="shared" si="7"/>
        <v>0</v>
      </c>
      <c r="AG517" s="167">
        <f t="shared" si="8"/>
        <v>0</v>
      </c>
      <c r="AH517" s="158"/>
      <c r="AI517" s="158"/>
    </row>
    <row r="518" ht="12.75" customHeight="1">
      <c r="B518" s="160" t="str">
        <f>iferror(VLOOKUP((LEFT(A518,6)),CUSTOMER_DETAILS,2,FALSE),"-")</f>
        <v>-</v>
      </c>
      <c r="C518" s="161" t="s">
        <v>89</v>
      </c>
      <c r="D518" s="162"/>
      <c r="E518" s="161" t="s">
        <v>89</v>
      </c>
      <c r="F518" s="30" t="s">
        <v>89</v>
      </c>
      <c r="G518" s="30" t="s">
        <v>89</v>
      </c>
      <c r="H518" s="30" t="s">
        <v>89</v>
      </c>
      <c r="I518" s="48" t="s">
        <v>108</v>
      </c>
      <c r="J518" s="188" t="str">
        <f t="shared" si="15"/>
        <v/>
      </c>
      <c r="L518" s="48" t="s">
        <v>108</v>
      </c>
      <c r="O518" s="30" t="s">
        <v>89</v>
      </c>
      <c r="Q518" s="192"/>
      <c r="R518" s="161" t="str">
        <f>IFERROR(VLOOKUP(Q518,'PRODUCT TABLE'!$A$2:$B$26,2,FALSE),"-")</f>
        <v>-</v>
      </c>
      <c r="V518" s="161">
        <f t="shared" si="14"/>
        <v>0</v>
      </c>
      <c r="Y518" s="30"/>
      <c r="Z518" s="169">
        <f t="shared" si="2"/>
        <v>0</v>
      </c>
      <c r="AA518" s="167">
        <f t="shared" si="3"/>
        <v>0</v>
      </c>
      <c r="AB518" s="161"/>
      <c r="AC518" s="161">
        <f t="shared" si="4"/>
        <v>0</v>
      </c>
      <c r="AD518" s="161">
        <f t="shared" si="5"/>
        <v>0</v>
      </c>
      <c r="AE518" s="161">
        <f t="shared" si="6"/>
        <v>0</v>
      </c>
      <c r="AF518" s="167">
        <f t="shared" si="7"/>
        <v>0</v>
      </c>
      <c r="AG518" s="167">
        <f t="shared" si="8"/>
        <v>0</v>
      </c>
      <c r="AH518" s="158"/>
      <c r="AI518" s="158"/>
    </row>
    <row r="519" ht="12.75" customHeight="1">
      <c r="B519" s="160" t="str">
        <f>iferror(VLOOKUP((LEFT(A519,6)),CUSTOMER_DETAILS,2,FALSE),"-")</f>
        <v>-</v>
      </c>
      <c r="C519" s="161" t="s">
        <v>89</v>
      </c>
      <c r="D519" s="162"/>
      <c r="E519" s="161" t="s">
        <v>89</v>
      </c>
      <c r="F519" s="30" t="s">
        <v>89</v>
      </c>
      <c r="G519" s="30" t="s">
        <v>89</v>
      </c>
      <c r="H519" s="30" t="s">
        <v>89</v>
      </c>
      <c r="I519" s="48" t="s">
        <v>108</v>
      </c>
      <c r="J519" s="188" t="str">
        <f t="shared" si="15"/>
        <v/>
      </c>
      <c r="L519" s="48" t="s">
        <v>108</v>
      </c>
      <c r="O519" s="30" t="s">
        <v>89</v>
      </c>
      <c r="Q519" s="192"/>
      <c r="R519" s="161" t="str">
        <f>IFERROR(VLOOKUP(Q519,'PRODUCT TABLE'!$A$2:$B$26,2,FALSE),"-")</f>
        <v>-</v>
      </c>
      <c r="V519" s="161">
        <f t="shared" si="14"/>
        <v>0</v>
      </c>
      <c r="Y519" s="30"/>
      <c r="Z519" s="169">
        <f t="shared" si="2"/>
        <v>0</v>
      </c>
      <c r="AA519" s="167">
        <f t="shared" si="3"/>
        <v>0</v>
      </c>
      <c r="AB519" s="161"/>
      <c r="AC519" s="161">
        <f t="shared" si="4"/>
        <v>0</v>
      </c>
      <c r="AD519" s="161">
        <f t="shared" si="5"/>
        <v>0</v>
      </c>
      <c r="AE519" s="161">
        <f t="shared" si="6"/>
        <v>0</v>
      </c>
      <c r="AF519" s="167">
        <f t="shared" si="7"/>
        <v>0</v>
      </c>
      <c r="AG519" s="167">
        <f t="shared" si="8"/>
        <v>0</v>
      </c>
      <c r="AH519" s="158"/>
      <c r="AI519" s="158"/>
    </row>
    <row r="520" ht="12.75" customHeight="1">
      <c r="B520" s="160" t="str">
        <f>iferror(VLOOKUP((LEFT(A520,6)),CUSTOMER_DETAILS,2,FALSE),"-")</f>
        <v>-</v>
      </c>
      <c r="C520" s="161" t="s">
        <v>89</v>
      </c>
      <c r="D520" s="162"/>
      <c r="E520" s="161" t="s">
        <v>89</v>
      </c>
      <c r="F520" s="30" t="s">
        <v>89</v>
      </c>
      <c r="G520" s="30" t="s">
        <v>89</v>
      </c>
      <c r="H520" s="30" t="s">
        <v>89</v>
      </c>
      <c r="I520" s="48" t="s">
        <v>108</v>
      </c>
      <c r="J520" s="188" t="str">
        <f t="shared" si="15"/>
        <v/>
      </c>
      <c r="L520" s="48" t="s">
        <v>108</v>
      </c>
      <c r="O520" s="30" t="s">
        <v>89</v>
      </c>
      <c r="Q520" s="192"/>
      <c r="R520" s="161" t="str">
        <f>IFERROR(VLOOKUP(Q520,'PRODUCT TABLE'!$A$2:$B$26,2,FALSE),"-")</f>
        <v>-</v>
      </c>
      <c r="V520" s="161">
        <f t="shared" si="14"/>
        <v>0</v>
      </c>
      <c r="Y520" s="30"/>
      <c r="Z520" s="169">
        <f t="shared" si="2"/>
        <v>0</v>
      </c>
      <c r="AA520" s="167">
        <f t="shared" si="3"/>
        <v>0</v>
      </c>
      <c r="AB520" s="161"/>
      <c r="AC520" s="161">
        <f t="shared" si="4"/>
        <v>0</v>
      </c>
      <c r="AD520" s="161">
        <f t="shared" si="5"/>
        <v>0</v>
      </c>
      <c r="AE520" s="161">
        <f t="shared" si="6"/>
        <v>0</v>
      </c>
      <c r="AF520" s="167">
        <f t="shared" si="7"/>
        <v>0</v>
      </c>
      <c r="AG520" s="167">
        <f t="shared" si="8"/>
        <v>0</v>
      </c>
      <c r="AH520" s="158"/>
      <c r="AI520" s="158"/>
    </row>
    <row r="521" ht="12.75" customHeight="1">
      <c r="B521" s="160" t="str">
        <f>iferror(VLOOKUP((LEFT(A521,6)),CUSTOMER_DETAILS,2,FALSE),"-")</f>
        <v>-</v>
      </c>
      <c r="C521" s="161" t="s">
        <v>89</v>
      </c>
      <c r="D521" s="162"/>
      <c r="E521" s="161" t="s">
        <v>89</v>
      </c>
      <c r="F521" s="30" t="s">
        <v>89</v>
      </c>
      <c r="G521" s="30" t="s">
        <v>89</v>
      </c>
      <c r="H521" s="30" t="s">
        <v>89</v>
      </c>
      <c r="I521" s="48" t="s">
        <v>108</v>
      </c>
      <c r="J521" s="188" t="str">
        <f t="shared" si="15"/>
        <v/>
      </c>
      <c r="L521" s="48" t="s">
        <v>108</v>
      </c>
      <c r="O521" s="30" t="s">
        <v>89</v>
      </c>
      <c r="Q521" s="192"/>
      <c r="R521" s="161" t="str">
        <f>IFERROR(VLOOKUP(Q521,'PRODUCT TABLE'!$A$2:$B$26,2,FALSE),"-")</f>
        <v>-</v>
      </c>
      <c r="V521" s="161">
        <f t="shared" si="14"/>
        <v>0</v>
      </c>
      <c r="Y521" s="30"/>
      <c r="Z521" s="169">
        <f t="shared" si="2"/>
        <v>0</v>
      </c>
      <c r="AA521" s="167">
        <f t="shared" si="3"/>
        <v>0</v>
      </c>
      <c r="AB521" s="161"/>
      <c r="AC521" s="161">
        <f t="shared" si="4"/>
        <v>0</v>
      </c>
      <c r="AD521" s="161">
        <f t="shared" si="5"/>
        <v>0</v>
      </c>
      <c r="AE521" s="161">
        <f t="shared" si="6"/>
        <v>0</v>
      </c>
      <c r="AF521" s="167">
        <f t="shared" si="7"/>
        <v>0</v>
      </c>
      <c r="AG521" s="167">
        <f t="shared" si="8"/>
        <v>0</v>
      </c>
      <c r="AH521" s="158"/>
      <c r="AI521" s="158"/>
    </row>
    <row r="522" ht="12.75" customHeight="1">
      <c r="B522" s="160" t="str">
        <f>iferror(VLOOKUP((LEFT(A522,6)),CUSTOMER_DETAILS,2,FALSE),"-")</f>
        <v>-</v>
      </c>
      <c r="C522" s="161" t="s">
        <v>89</v>
      </c>
      <c r="D522" s="162"/>
      <c r="E522" s="161" t="s">
        <v>89</v>
      </c>
      <c r="F522" s="30" t="s">
        <v>89</v>
      </c>
      <c r="G522" s="30" t="s">
        <v>89</v>
      </c>
      <c r="H522" s="30" t="s">
        <v>89</v>
      </c>
      <c r="I522" s="48" t="s">
        <v>108</v>
      </c>
      <c r="J522" s="188" t="str">
        <f t="shared" si="15"/>
        <v/>
      </c>
      <c r="L522" s="48" t="s">
        <v>108</v>
      </c>
      <c r="O522" s="30" t="s">
        <v>89</v>
      </c>
      <c r="Q522" s="192"/>
      <c r="R522" s="161" t="str">
        <f>IFERROR(VLOOKUP(Q522,'PRODUCT TABLE'!$A$2:$B$26,2,FALSE),"-")</f>
        <v>-</v>
      </c>
      <c r="V522" s="161">
        <f t="shared" si="14"/>
        <v>0</v>
      </c>
      <c r="Y522" s="30"/>
      <c r="Z522" s="169">
        <f t="shared" si="2"/>
        <v>0</v>
      </c>
      <c r="AA522" s="167">
        <f t="shared" si="3"/>
        <v>0</v>
      </c>
      <c r="AB522" s="161"/>
      <c r="AC522" s="161">
        <f t="shared" si="4"/>
        <v>0</v>
      </c>
      <c r="AD522" s="161">
        <f t="shared" si="5"/>
        <v>0</v>
      </c>
      <c r="AE522" s="161">
        <f t="shared" si="6"/>
        <v>0</v>
      </c>
      <c r="AF522" s="167">
        <f t="shared" si="7"/>
        <v>0</v>
      </c>
      <c r="AG522" s="167">
        <f t="shared" si="8"/>
        <v>0</v>
      </c>
      <c r="AH522" s="158"/>
      <c r="AI522" s="158"/>
    </row>
    <row r="523" ht="12.75" customHeight="1">
      <c r="B523" s="160" t="str">
        <f>iferror(VLOOKUP((LEFT(A523,6)),CUSTOMER_DETAILS,2,FALSE),"-")</f>
        <v>-</v>
      </c>
      <c r="C523" s="161" t="s">
        <v>89</v>
      </c>
      <c r="D523" s="162"/>
      <c r="E523" s="161" t="s">
        <v>89</v>
      </c>
      <c r="F523" s="30" t="s">
        <v>89</v>
      </c>
      <c r="G523" s="30" t="s">
        <v>89</v>
      </c>
      <c r="H523" s="30" t="s">
        <v>89</v>
      </c>
      <c r="I523" s="48" t="s">
        <v>108</v>
      </c>
      <c r="J523" s="188" t="str">
        <f t="shared" si="15"/>
        <v/>
      </c>
      <c r="L523" s="48" t="s">
        <v>108</v>
      </c>
      <c r="O523" s="30" t="s">
        <v>89</v>
      </c>
      <c r="Q523" s="192"/>
      <c r="R523" s="161" t="str">
        <f>IFERROR(VLOOKUP(Q523,'PRODUCT TABLE'!$A$2:$B$26,2,FALSE),"-")</f>
        <v>-</v>
      </c>
      <c r="V523" s="161">
        <f t="shared" si="14"/>
        <v>0</v>
      </c>
      <c r="Y523" s="30"/>
      <c r="Z523" s="169">
        <f t="shared" si="2"/>
        <v>0</v>
      </c>
      <c r="AA523" s="167">
        <f t="shared" si="3"/>
        <v>0</v>
      </c>
      <c r="AB523" s="161"/>
      <c r="AC523" s="161">
        <f t="shared" si="4"/>
        <v>0</v>
      </c>
      <c r="AD523" s="161">
        <f t="shared" si="5"/>
        <v>0</v>
      </c>
      <c r="AE523" s="161">
        <f t="shared" si="6"/>
        <v>0</v>
      </c>
      <c r="AF523" s="167">
        <f t="shared" si="7"/>
        <v>0</v>
      </c>
      <c r="AG523" s="167">
        <f t="shared" si="8"/>
        <v>0</v>
      </c>
      <c r="AH523" s="158"/>
      <c r="AI523" s="158"/>
    </row>
    <row r="524" ht="12.75" customHeight="1">
      <c r="B524" s="160" t="str">
        <f>iferror(VLOOKUP((LEFT(A524,6)),CUSTOMER_DETAILS,2,FALSE),"-")</f>
        <v>-</v>
      </c>
      <c r="C524" s="161" t="s">
        <v>89</v>
      </c>
      <c r="D524" s="162"/>
      <c r="E524" s="161" t="s">
        <v>89</v>
      </c>
      <c r="F524" s="30" t="s">
        <v>89</v>
      </c>
      <c r="G524" s="30" t="s">
        <v>89</v>
      </c>
      <c r="H524" s="30" t="s">
        <v>89</v>
      </c>
      <c r="I524" s="48" t="s">
        <v>108</v>
      </c>
      <c r="J524" s="188" t="str">
        <f t="shared" si="15"/>
        <v/>
      </c>
      <c r="L524" s="48" t="s">
        <v>108</v>
      </c>
      <c r="O524" s="30" t="s">
        <v>89</v>
      </c>
      <c r="Q524" s="192"/>
      <c r="R524" s="161" t="str">
        <f>IFERROR(VLOOKUP(Q524,'PRODUCT TABLE'!$A$2:$B$26,2,FALSE),"-")</f>
        <v>-</v>
      </c>
      <c r="V524" s="161">
        <f t="shared" si="14"/>
        <v>0</v>
      </c>
      <c r="Y524" s="30"/>
      <c r="Z524" s="169">
        <f t="shared" si="2"/>
        <v>0</v>
      </c>
      <c r="AA524" s="167">
        <f t="shared" si="3"/>
        <v>0</v>
      </c>
      <c r="AB524" s="161"/>
      <c r="AC524" s="161">
        <f t="shared" si="4"/>
        <v>0</v>
      </c>
      <c r="AD524" s="161">
        <f t="shared" si="5"/>
        <v>0</v>
      </c>
      <c r="AE524" s="161">
        <f t="shared" si="6"/>
        <v>0</v>
      </c>
      <c r="AF524" s="167">
        <f t="shared" si="7"/>
        <v>0</v>
      </c>
      <c r="AG524" s="167">
        <f t="shared" si="8"/>
        <v>0</v>
      </c>
      <c r="AH524" s="158"/>
      <c r="AI524" s="158"/>
    </row>
    <row r="525" ht="12.75" customHeight="1">
      <c r="B525" s="160" t="str">
        <f>iferror(VLOOKUP((LEFT(A525,6)),CUSTOMER_DETAILS,2,FALSE),"-")</f>
        <v>-</v>
      </c>
      <c r="C525" s="161" t="s">
        <v>89</v>
      </c>
      <c r="D525" s="162"/>
      <c r="E525" s="161" t="s">
        <v>89</v>
      </c>
      <c r="F525" s="30" t="s">
        <v>89</v>
      </c>
      <c r="G525" s="30" t="s">
        <v>89</v>
      </c>
      <c r="H525" s="30" t="s">
        <v>89</v>
      </c>
      <c r="I525" s="48" t="s">
        <v>108</v>
      </c>
      <c r="J525" s="188" t="str">
        <f t="shared" si="15"/>
        <v/>
      </c>
      <c r="L525" s="48" t="s">
        <v>108</v>
      </c>
      <c r="O525" s="30" t="s">
        <v>89</v>
      </c>
      <c r="Q525" s="192"/>
      <c r="R525" s="161" t="str">
        <f>IFERROR(VLOOKUP(Q525,'PRODUCT TABLE'!$A$2:$B$26,2,FALSE),"-")</f>
        <v>-</v>
      </c>
      <c r="V525" s="161">
        <f t="shared" si="14"/>
        <v>0</v>
      </c>
      <c r="Y525" s="30"/>
      <c r="Z525" s="169">
        <f t="shared" si="2"/>
        <v>0</v>
      </c>
      <c r="AA525" s="167">
        <f t="shared" si="3"/>
        <v>0</v>
      </c>
      <c r="AB525" s="161"/>
      <c r="AC525" s="161">
        <f t="shared" si="4"/>
        <v>0</v>
      </c>
      <c r="AD525" s="161">
        <f t="shared" si="5"/>
        <v>0</v>
      </c>
      <c r="AE525" s="161">
        <f t="shared" si="6"/>
        <v>0</v>
      </c>
      <c r="AF525" s="167">
        <f t="shared" si="7"/>
        <v>0</v>
      </c>
      <c r="AG525" s="167">
        <f t="shared" si="8"/>
        <v>0</v>
      </c>
      <c r="AH525" s="158"/>
      <c r="AI525" s="158"/>
    </row>
    <row r="526" ht="12.75" customHeight="1">
      <c r="B526" s="160" t="str">
        <f>iferror(VLOOKUP((LEFT(A526,6)),CUSTOMER_DETAILS,2,FALSE),"-")</f>
        <v>-</v>
      </c>
      <c r="C526" s="161" t="s">
        <v>89</v>
      </c>
      <c r="D526" s="162"/>
      <c r="E526" s="161" t="s">
        <v>89</v>
      </c>
      <c r="F526" s="30" t="s">
        <v>89</v>
      </c>
      <c r="G526" s="30" t="s">
        <v>89</v>
      </c>
      <c r="H526" s="30" t="s">
        <v>89</v>
      </c>
      <c r="I526" s="48" t="s">
        <v>108</v>
      </c>
      <c r="J526" s="188" t="str">
        <f t="shared" si="15"/>
        <v/>
      </c>
      <c r="L526" s="48" t="s">
        <v>108</v>
      </c>
      <c r="O526" s="30" t="s">
        <v>89</v>
      </c>
      <c r="Q526" s="192"/>
      <c r="R526" s="161" t="str">
        <f>IFERROR(VLOOKUP(Q526,'PRODUCT TABLE'!$A$2:$B$26,2,FALSE),"-")</f>
        <v>-</v>
      </c>
      <c r="V526" s="161">
        <f t="shared" si="14"/>
        <v>0</v>
      </c>
      <c r="Y526" s="30"/>
      <c r="Z526" s="169">
        <f t="shared" si="2"/>
        <v>0</v>
      </c>
      <c r="AA526" s="167">
        <f t="shared" si="3"/>
        <v>0</v>
      </c>
      <c r="AB526" s="161"/>
      <c r="AC526" s="161">
        <f t="shared" si="4"/>
        <v>0</v>
      </c>
      <c r="AD526" s="161">
        <f t="shared" si="5"/>
        <v>0</v>
      </c>
      <c r="AE526" s="161">
        <f t="shared" si="6"/>
        <v>0</v>
      </c>
      <c r="AF526" s="167">
        <f t="shared" si="7"/>
        <v>0</v>
      </c>
      <c r="AG526" s="167">
        <f t="shared" si="8"/>
        <v>0</v>
      </c>
      <c r="AH526" s="158"/>
      <c r="AI526" s="158"/>
    </row>
    <row r="527" ht="12.75" customHeight="1">
      <c r="B527" s="160" t="str">
        <f>iferror(VLOOKUP((LEFT(A527,6)),CUSTOMER_DETAILS,2,FALSE),"-")</f>
        <v>-</v>
      </c>
      <c r="C527" s="161" t="s">
        <v>89</v>
      </c>
      <c r="D527" s="162"/>
      <c r="E527" s="161" t="s">
        <v>89</v>
      </c>
      <c r="F527" s="30" t="s">
        <v>89</v>
      </c>
      <c r="G527" s="30" t="s">
        <v>89</v>
      </c>
      <c r="H527" s="30" t="s">
        <v>89</v>
      </c>
      <c r="I527" s="48" t="s">
        <v>108</v>
      </c>
      <c r="J527" s="188" t="str">
        <f t="shared" si="15"/>
        <v/>
      </c>
      <c r="L527" s="48" t="s">
        <v>108</v>
      </c>
      <c r="O527" s="30" t="s">
        <v>89</v>
      </c>
      <c r="Q527" s="192"/>
      <c r="R527" s="161" t="str">
        <f>IFERROR(VLOOKUP(Q527,'PRODUCT TABLE'!$A$2:$B$26,2,FALSE),"-")</f>
        <v>-</v>
      </c>
      <c r="V527" s="161">
        <f t="shared" si="14"/>
        <v>0</v>
      </c>
      <c r="Y527" s="30"/>
      <c r="Z527" s="169">
        <f t="shared" si="2"/>
        <v>0</v>
      </c>
      <c r="AA527" s="167">
        <f t="shared" si="3"/>
        <v>0</v>
      </c>
      <c r="AB527" s="161"/>
      <c r="AC527" s="161">
        <f t="shared" si="4"/>
        <v>0</v>
      </c>
      <c r="AD527" s="161">
        <f t="shared" si="5"/>
        <v>0</v>
      </c>
      <c r="AE527" s="161">
        <f t="shared" si="6"/>
        <v>0</v>
      </c>
      <c r="AF527" s="167">
        <f t="shared" si="7"/>
        <v>0</v>
      </c>
      <c r="AG527" s="167">
        <f t="shared" si="8"/>
        <v>0</v>
      </c>
      <c r="AH527" s="158"/>
      <c r="AI527" s="158"/>
    </row>
    <row r="528" ht="12.75" customHeight="1">
      <c r="B528" s="160" t="str">
        <f>iferror(VLOOKUP((LEFT(A528,6)),CUSTOMER_DETAILS,2,FALSE),"-")</f>
        <v>-</v>
      </c>
      <c r="C528" s="161" t="s">
        <v>89</v>
      </c>
      <c r="D528" s="162"/>
      <c r="E528" s="161" t="s">
        <v>89</v>
      </c>
      <c r="F528" s="30" t="s">
        <v>89</v>
      </c>
      <c r="G528" s="30" t="s">
        <v>89</v>
      </c>
      <c r="H528" s="30" t="s">
        <v>89</v>
      </c>
      <c r="I528" s="48" t="s">
        <v>108</v>
      </c>
      <c r="J528" s="188" t="str">
        <f t="shared" si="15"/>
        <v/>
      </c>
      <c r="L528" s="48" t="s">
        <v>108</v>
      </c>
      <c r="O528" s="30" t="s">
        <v>89</v>
      </c>
      <c r="Q528" s="192"/>
      <c r="R528" s="161" t="str">
        <f>IFERROR(VLOOKUP(Q528,'PRODUCT TABLE'!$A$2:$B$26,2,FALSE),"-")</f>
        <v>-</v>
      </c>
      <c r="V528" s="161">
        <f t="shared" si="14"/>
        <v>0</v>
      </c>
      <c r="Y528" s="30"/>
      <c r="Z528" s="169">
        <f t="shared" si="2"/>
        <v>0</v>
      </c>
      <c r="AA528" s="167">
        <f t="shared" si="3"/>
        <v>0</v>
      </c>
      <c r="AB528" s="161"/>
      <c r="AC528" s="161">
        <f t="shared" si="4"/>
        <v>0</v>
      </c>
      <c r="AD528" s="161">
        <f t="shared" si="5"/>
        <v>0</v>
      </c>
      <c r="AE528" s="161">
        <f t="shared" si="6"/>
        <v>0</v>
      </c>
      <c r="AF528" s="167">
        <f t="shared" si="7"/>
        <v>0</v>
      </c>
      <c r="AG528" s="167">
        <f t="shared" si="8"/>
        <v>0</v>
      </c>
      <c r="AH528" s="158"/>
      <c r="AI528" s="158"/>
    </row>
    <row r="529" ht="12.75" customHeight="1">
      <c r="B529" s="160" t="str">
        <f>iferror(VLOOKUP((LEFT(A529,6)),CUSTOMER_DETAILS,2,FALSE),"-")</f>
        <v>-</v>
      </c>
      <c r="C529" s="161" t="s">
        <v>89</v>
      </c>
      <c r="D529" s="162"/>
      <c r="E529" s="161" t="s">
        <v>89</v>
      </c>
      <c r="F529" s="30" t="s">
        <v>89</v>
      </c>
      <c r="G529" s="30" t="s">
        <v>89</v>
      </c>
      <c r="H529" s="30" t="s">
        <v>89</v>
      </c>
      <c r="I529" s="48" t="s">
        <v>108</v>
      </c>
      <c r="J529" s="188" t="str">
        <f t="shared" si="15"/>
        <v/>
      </c>
      <c r="L529" s="48" t="s">
        <v>108</v>
      </c>
      <c r="O529" s="30" t="s">
        <v>89</v>
      </c>
      <c r="Q529" s="192"/>
      <c r="R529" s="161" t="str">
        <f>IFERROR(VLOOKUP(Q529,'PRODUCT TABLE'!$A$2:$B$26,2,FALSE),"-")</f>
        <v>-</v>
      </c>
      <c r="V529" s="161">
        <f t="shared" si="14"/>
        <v>0</v>
      </c>
      <c r="Y529" s="30"/>
      <c r="Z529" s="169">
        <f t="shared" si="2"/>
        <v>0</v>
      </c>
      <c r="AA529" s="167">
        <f t="shared" si="3"/>
        <v>0</v>
      </c>
      <c r="AB529" s="161"/>
      <c r="AC529" s="161">
        <f t="shared" si="4"/>
        <v>0</v>
      </c>
      <c r="AD529" s="161">
        <f t="shared" si="5"/>
        <v>0</v>
      </c>
      <c r="AE529" s="161">
        <f t="shared" si="6"/>
        <v>0</v>
      </c>
      <c r="AF529" s="167">
        <f t="shared" si="7"/>
        <v>0</v>
      </c>
      <c r="AG529" s="167">
        <f t="shared" si="8"/>
        <v>0</v>
      </c>
      <c r="AH529" s="158"/>
      <c r="AI529" s="158"/>
    </row>
    <row r="530" ht="12.75" customHeight="1">
      <c r="B530" s="160" t="str">
        <f>iferror(VLOOKUP((LEFT(A530,6)),CUSTOMER_DETAILS,2,FALSE),"-")</f>
        <v>-</v>
      </c>
      <c r="C530" s="161" t="s">
        <v>89</v>
      </c>
      <c r="D530" s="162"/>
      <c r="E530" s="161" t="s">
        <v>89</v>
      </c>
      <c r="F530" s="30" t="s">
        <v>89</v>
      </c>
      <c r="G530" s="30" t="s">
        <v>89</v>
      </c>
      <c r="H530" s="30" t="s">
        <v>89</v>
      </c>
      <c r="I530" s="48" t="s">
        <v>108</v>
      </c>
      <c r="J530" s="188" t="str">
        <f t="shared" si="15"/>
        <v/>
      </c>
      <c r="L530" s="48" t="s">
        <v>108</v>
      </c>
      <c r="O530" s="30" t="s">
        <v>89</v>
      </c>
      <c r="Q530" s="192"/>
      <c r="R530" s="161" t="str">
        <f>IFERROR(VLOOKUP(Q530,'PRODUCT TABLE'!$A$2:$B$26,2,FALSE),"-")</f>
        <v>-</v>
      </c>
      <c r="V530" s="161">
        <f t="shared" si="14"/>
        <v>0</v>
      </c>
      <c r="Y530" s="30"/>
      <c r="Z530" s="169">
        <f t="shared" si="2"/>
        <v>0</v>
      </c>
      <c r="AA530" s="167">
        <f t="shared" si="3"/>
        <v>0</v>
      </c>
      <c r="AB530" s="161"/>
      <c r="AC530" s="161">
        <f t="shared" si="4"/>
        <v>0</v>
      </c>
      <c r="AD530" s="161">
        <f t="shared" si="5"/>
        <v>0</v>
      </c>
      <c r="AE530" s="161">
        <f t="shared" si="6"/>
        <v>0</v>
      </c>
      <c r="AF530" s="167">
        <f t="shared" si="7"/>
        <v>0</v>
      </c>
      <c r="AG530" s="167">
        <f t="shared" si="8"/>
        <v>0</v>
      </c>
      <c r="AH530" s="158"/>
      <c r="AI530" s="158"/>
    </row>
    <row r="531" ht="12.75" customHeight="1">
      <c r="B531" s="160" t="str">
        <f>iferror(VLOOKUP((LEFT(A531,6)),CUSTOMER_DETAILS,2,FALSE),"-")</f>
        <v>-</v>
      </c>
      <c r="C531" s="161" t="s">
        <v>89</v>
      </c>
      <c r="D531" s="162"/>
      <c r="E531" s="161" t="s">
        <v>89</v>
      </c>
      <c r="F531" s="30" t="s">
        <v>89</v>
      </c>
      <c r="G531" s="30" t="s">
        <v>89</v>
      </c>
      <c r="H531" s="30" t="s">
        <v>89</v>
      </c>
      <c r="I531" s="48" t="s">
        <v>108</v>
      </c>
      <c r="J531" s="188" t="str">
        <f t="shared" si="15"/>
        <v/>
      </c>
      <c r="L531" s="48" t="s">
        <v>108</v>
      </c>
      <c r="O531" s="30" t="s">
        <v>89</v>
      </c>
      <c r="Q531" s="192"/>
      <c r="R531" s="161" t="str">
        <f>IFERROR(VLOOKUP(Q531,'PRODUCT TABLE'!$A$2:$B$26,2,FALSE),"-")</f>
        <v>-</v>
      </c>
      <c r="V531" s="161">
        <f t="shared" si="14"/>
        <v>0</v>
      </c>
      <c r="Y531" s="30"/>
      <c r="Z531" s="169">
        <f t="shared" si="2"/>
        <v>0</v>
      </c>
      <c r="AA531" s="167">
        <f t="shared" si="3"/>
        <v>0</v>
      </c>
      <c r="AB531" s="161"/>
      <c r="AC531" s="161">
        <f t="shared" si="4"/>
        <v>0</v>
      </c>
      <c r="AD531" s="161">
        <f t="shared" si="5"/>
        <v>0</v>
      </c>
      <c r="AE531" s="161">
        <f t="shared" si="6"/>
        <v>0</v>
      </c>
      <c r="AF531" s="167">
        <f t="shared" si="7"/>
        <v>0</v>
      </c>
      <c r="AG531" s="167">
        <f t="shared" si="8"/>
        <v>0</v>
      </c>
      <c r="AH531" s="158"/>
      <c r="AI531" s="158"/>
    </row>
    <row r="532" ht="12.75" customHeight="1">
      <c r="B532" s="160" t="str">
        <f>iferror(VLOOKUP((LEFT(A532,6)),CUSTOMER_DETAILS,2,FALSE),"-")</f>
        <v>-</v>
      </c>
      <c r="C532" s="161" t="s">
        <v>89</v>
      </c>
      <c r="D532" s="162"/>
      <c r="E532" s="161" t="s">
        <v>89</v>
      </c>
      <c r="F532" s="30" t="s">
        <v>89</v>
      </c>
      <c r="G532" s="30" t="s">
        <v>89</v>
      </c>
      <c r="H532" s="30" t="s">
        <v>89</v>
      </c>
      <c r="I532" s="48" t="s">
        <v>108</v>
      </c>
      <c r="J532" s="188" t="str">
        <f t="shared" si="15"/>
        <v/>
      </c>
      <c r="L532" s="48" t="s">
        <v>108</v>
      </c>
      <c r="O532" s="30" t="s">
        <v>89</v>
      </c>
      <c r="Q532" s="192"/>
      <c r="R532" s="161" t="str">
        <f>IFERROR(VLOOKUP(Q532,'PRODUCT TABLE'!$A$2:$B$26,2,FALSE),"-")</f>
        <v>-</v>
      </c>
      <c r="V532" s="161">
        <f t="shared" si="14"/>
        <v>0</v>
      </c>
      <c r="Y532" s="30"/>
      <c r="Z532" s="169">
        <f t="shared" si="2"/>
        <v>0</v>
      </c>
      <c r="AA532" s="167">
        <f t="shared" si="3"/>
        <v>0</v>
      </c>
      <c r="AB532" s="161"/>
      <c r="AC532" s="161">
        <f t="shared" si="4"/>
        <v>0</v>
      </c>
      <c r="AD532" s="161">
        <f t="shared" si="5"/>
        <v>0</v>
      </c>
      <c r="AE532" s="161">
        <f t="shared" si="6"/>
        <v>0</v>
      </c>
      <c r="AF532" s="167">
        <f t="shared" si="7"/>
        <v>0</v>
      </c>
      <c r="AG532" s="167">
        <f t="shared" si="8"/>
        <v>0</v>
      </c>
      <c r="AH532" s="158"/>
      <c r="AI532" s="158"/>
    </row>
    <row r="533" ht="12.75" customHeight="1">
      <c r="B533" s="160" t="str">
        <f>iferror(VLOOKUP((LEFT(A533,6)),CUSTOMER_DETAILS,2,FALSE),"-")</f>
        <v>-</v>
      </c>
      <c r="C533" s="161" t="s">
        <v>89</v>
      </c>
      <c r="D533" s="162"/>
      <c r="E533" s="161" t="s">
        <v>89</v>
      </c>
      <c r="F533" s="30" t="s">
        <v>89</v>
      </c>
      <c r="G533" s="30" t="s">
        <v>89</v>
      </c>
      <c r="H533" s="30" t="s">
        <v>89</v>
      </c>
      <c r="I533" s="48" t="s">
        <v>108</v>
      </c>
      <c r="J533" s="188" t="str">
        <f t="shared" si="15"/>
        <v/>
      </c>
      <c r="L533" s="48" t="s">
        <v>108</v>
      </c>
      <c r="O533" s="30" t="s">
        <v>89</v>
      </c>
      <c r="Q533" s="192"/>
      <c r="R533" s="161" t="str">
        <f>IFERROR(VLOOKUP(Q533,'PRODUCT TABLE'!$A$2:$B$26,2,FALSE),"-")</f>
        <v>-</v>
      </c>
      <c r="V533" s="161">
        <f t="shared" si="14"/>
        <v>0</v>
      </c>
      <c r="Y533" s="30"/>
      <c r="Z533" s="169">
        <f t="shared" si="2"/>
        <v>0</v>
      </c>
      <c r="AA533" s="167">
        <f t="shared" si="3"/>
        <v>0</v>
      </c>
      <c r="AB533" s="161"/>
      <c r="AC533" s="161">
        <f t="shared" si="4"/>
        <v>0</v>
      </c>
      <c r="AD533" s="161">
        <f t="shared" si="5"/>
        <v>0</v>
      </c>
      <c r="AE533" s="161">
        <f t="shared" si="6"/>
        <v>0</v>
      </c>
      <c r="AF533" s="167">
        <f t="shared" si="7"/>
        <v>0</v>
      </c>
      <c r="AG533" s="167">
        <f t="shared" si="8"/>
        <v>0</v>
      </c>
      <c r="AH533" s="158"/>
      <c r="AI533" s="158"/>
    </row>
    <row r="534" ht="12.75" customHeight="1">
      <c r="B534" s="160" t="str">
        <f>iferror(VLOOKUP((LEFT(A534,6)),CUSTOMER_DETAILS,2,FALSE),"-")</f>
        <v>-</v>
      </c>
      <c r="C534" s="161" t="s">
        <v>89</v>
      </c>
      <c r="D534" s="162"/>
      <c r="E534" s="161" t="s">
        <v>89</v>
      </c>
      <c r="F534" s="30" t="s">
        <v>89</v>
      </c>
      <c r="G534" s="30" t="s">
        <v>89</v>
      </c>
      <c r="H534" s="30" t="s">
        <v>89</v>
      </c>
      <c r="I534" s="48" t="s">
        <v>108</v>
      </c>
      <c r="J534" s="188" t="str">
        <f t="shared" si="15"/>
        <v/>
      </c>
      <c r="L534" s="48" t="s">
        <v>108</v>
      </c>
      <c r="O534" s="30" t="s">
        <v>89</v>
      </c>
      <c r="Q534" s="192"/>
      <c r="R534" s="161" t="str">
        <f>IFERROR(VLOOKUP(Q534,'PRODUCT TABLE'!$A$2:$B$26,2,FALSE),"-")</f>
        <v>-</v>
      </c>
      <c r="V534" s="161">
        <f t="shared" si="14"/>
        <v>0</v>
      </c>
      <c r="Y534" s="30"/>
      <c r="Z534" s="169">
        <f t="shared" si="2"/>
        <v>0</v>
      </c>
      <c r="AA534" s="167">
        <f t="shared" si="3"/>
        <v>0</v>
      </c>
      <c r="AB534" s="161"/>
      <c r="AC534" s="161">
        <f t="shared" si="4"/>
        <v>0</v>
      </c>
      <c r="AD534" s="161">
        <f t="shared" si="5"/>
        <v>0</v>
      </c>
      <c r="AE534" s="161">
        <f t="shared" si="6"/>
        <v>0</v>
      </c>
      <c r="AF534" s="167">
        <f t="shared" si="7"/>
        <v>0</v>
      </c>
      <c r="AG534" s="167">
        <f t="shared" si="8"/>
        <v>0</v>
      </c>
      <c r="AH534" s="158"/>
      <c r="AI534" s="158"/>
    </row>
    <row r="535" ht="12.75" customHeight="1">
      <c r="B535" s="160" t="str">
        <f>iferror(VLOOKUP((LEFT(A535,6)),CUSTOMER_DETAILS,2,FALSE),"-")</f>
        <v>-</v>
      </c>
      <c r="C535" s="161" t="s">
        <v>89</v>
      </c>
      <c r="D535" s="162"/>
      <c r="E535" s="161" t="s">
        <v>89</v>
      </c>
      <c r="F535" s="30" t="s">
        <v>89</v>
      </c>
      <c r="G535" s="30" t="s">
        <v>89</v>
      </c>
      <c r="H535" s="30" t="s">
        <v>89</v>
      </c>
      <c r="I535" s="48" t="s">
        <v>108</v>
      </c>
      <c r="J535" s="188" t="str">
        <f t="shared" si="15"/>
        <v/>
      </c>
      <c r="L535" s="48" t="s">
        <v>108</v>
      </c>
      <c r="O535" s="30" t="s">
        <v>89</v>
      </c>
      <c r="Q535" s="192"/>
      <c r="R535" s="161" t="str">
        <f>IFERROR(VLOOKUP(Q535,'PRODUCT TABLE'!$A$2:$B$26,2,FALSE),"-")</f>
        <v>-</v>
      </c>
      <c r="V535" s="161">
        <f t="shared" si="14"/>
        <v>0</v>
      </c>
      <c r="Y535" s="30"/>
      <c r="Z535" s="169">
        <f t="shared" si="2"/>
        <v>0</v>
      </c>
      <c r="AA535" s="167">
        <f t="shared" si="3"/>
        <v>0</v>
      </c>
      <c r="AB535" s="161"/>
      <c r="AC535" s="161">
        <f t="shared" si="4"/>
        <v>0</v>
      </c>
      <c r="AD535" s="161">
        <f t="shared" si="5"/>
        <v>0</v>
      </c>
      <c r="AE535" s="161">
        <f t="shared" si="6"/>
        <v>0</v>
      </c>
      <c r="AF535" s="167">
        <f t="shared" si="7"/>
        <v>0</v>
      </c>
      <c r="AG535" s="167">
        <f t="shared" si="8"/>
        <v>0</v>
      </c>
      <c r="AH535" s="158"/>
      <c r="AI535" s="158"/>
    </row>
    <row r="536" ht="12.75" customHeight="1">
      <c r="B536" s="160" t="str">
        <f>iferror(VLOOKUP((LEFT(A536,6)),CUSTOMER_DETAILS,2,FALSE),"-")</f>
        <v>-</v>
      </c>
      <c r="C536" s="161" t="s">
        <v>89</v>
      </c>
      <c r="D536" s="162"/>
      <c r="E536" s="161" t="s">
        <v>89</v>
      </c>
      <c r="F536" s="30" t="s">
        <v>89</v>
      </c>
      <c r="G536" s="30" t="s">
        <v>89</v>
      </c>
      <c r="H536" s="30" t="s">
        <v>89</v>
      </c>
      <c r="I536" s="48" t="s">
        <v>108</v>
      </c>
      <c r="J536" s="188" t="str">
        <f t="shared" si="15"/>
        <v/>
      </c>
      <c r="L536" s="48" t="s">
        <v>108</v>
      </c>
      <c r="O536" s="30" t="s">
        <v>89</v>
      </c>
      <c r="Q536" s="192"/>
      <c r="R536" s="161" t="str">
        <f>IFERROR(VLOOKUP(Q536,'PRODUCT TABLE'!$A$2:$B$26,2,FALSE),"-")</f>
        <v>-</v>
      </c>
      <c r="V536" s="161">
        <f t="shared" si="14"/>
        <v>0</v>
      </c>
      <c r="Y536" s="30"/>
      <c r="Z536" s="169">
        <f t="shared" si="2"/>
        <v>0</v>
      </c>
      <c r="AA536" s="167">
        <f t="shared" si="3"/>
        <v>0</v>
      </c>
      <c r="AB536" s="161"/>
      <c r="AC536" s="161">
        <f t="shared" si="4"/>
        <v>0</v>
      </c>
      <c r="AD536" s="161">
        <f t="shared" si="5"/>
        <v>0</v>
      </c>
      <c r="AE536" s="161">
        <f t="shared" si="6"/>
        <v>0</v>
      </c>
      <c r="AF536" s="167">
        <f t="shared" si="7"/>
        <v>0</v>
      </c>
      <c r="AG536" s="167">
        <f t="shared" si="8"/>
        <v>0</v>
      </c>
      <c r="AH536" s="158"/>
      <c r="AI536" s="158"/>
    </row>
    <row r="537" ht="12.75" customHeight="1">
      <c r="B537" s="160" t="str">
        <f>iferror(VLOOKUP((LEFT(A537,6)),CUSTOMER_DETAILS,2,FALSE),"-")</f>
        <v>-</v>
      </c>
      <c r="C537" s="161" t="s">
        <v>89</v>
      </c>
      <c r="D537" s="162"/>
      <c r="E537" s="161" t="s">
        <v>89</v>
      </c>
      <c r="F537" s="30" t="s">
        <v>89</v>
      </c>
      <c r="G537" s="30" t="s">
        <v>89</v>
      </c>
      <c r="H537" s="30" t="s">
        <v>89</v>
      </c>
      <c r="I537" s="48" t="s">
        <v>108</v>
      </c>
      <c r="J537" s="188" t="str">
        <f t="shared" si="15"/>
        <v/>
      </c>
      <c r="L537" s="48" t="s">
        <v>108</v>
      </c>
      <c r="O537" s="30" t="s">
        <v>89</v>
      </c>
      <c r="Q537" s="192"/>
      <c r="R537" s="161" t="str">
        <f>IFERROR(VLOOKUP(Q537,'PRODUCT TABLE'!$A$2:$B$26,2,FALSE),"-")</f>
        <v>-</v>
      </c>
      <c r="V537" s="161">
        <f t="shared" si="14"/>
        <v>0</v>
      </c>
      <c r="Y537" s="30"/>
      <c r="Z537" s="169">
        <f t="shared" si="2"/>
        <v>0</v>
      </c>
      <c r="AA537" s="167">
        <f t="shared" si="3"/>
        <v>0</v>
      </c>
      <c r="AB537" s="161"/>
      <c r="AC537" s="161">
        <f t="shared" si="4"/>
        <v>0</v>
      </c>
      <c r="AD537" s="161">
        <f t="shared" si="5"/>
        <v>0</v>
      </c>
      <c r="AE537" s="161">
        <f t="shared" si="6"/>
        <v>0</v>
      </c>
      <c r="AF537" s="167">
        <f t="shared" si="7"/>
        <v>0</v>
      </c>
      <c r="AG537" s="167">
        <f t="shared" si="8"/>
        <v>0</v>
      </c>
      <c r="AH537" s="158"/>
      <c r="AI537" s="158"/>
    </row>
    <row r="538" ht="12.75" customHeight="1">
      <c r="B538" s="160" t="str">
        <f>iferror(VLOOKUP((LEFT(A538,6)),CUSTOMER_DETAILS,2,FALSE),"-")</f>
        <v>-</v>
      </c>
      <c r="C538" s="161" t="s">
        <v>89</v>
      </c>
      <c r="D538" s="162"/>
      <c r="E538" s="161" t="s">
        <v>89</v>
      </c>
      <c r="F538" s="30" t="s">
        <v>89</v>
      </c>
      <c r="G538" s="30" t="s">
        <v>89</v>
      </c>
      <c r="H538" s="30" t="s">
        <v>89</v>
      </c>
      <c r="I538" s="48" t="s">
        <v>108</v>
      </c>
      <c r="J538" s="188" t="str">
        <f t="shared" si="15"/>
        <v/>
      </c>
      <c r="L538" s="48" t="s">
        <v>108</v>
      </c>
      <c r="O538" s="30" t="s">
        <v>89</v>
      </c>
      <c r="Q538" s="192"/>
      <c r="R538" s="161" t="str">
        <f>IFERROR(VLOOKUP(Q538,'PRODUCT TABLE'!$A$2:$B$26,2,FALSE),"-")</f>
        <v>-</v>
      </c>
      <c r="V538" s="161">
        <f t="shared" si="14"/>
        <v>0</v>
      </c>
      <c r="Y538" s="30"/>
      <c r="Z538" s="169">
        <f t="shared" si="2"/>
        <v>0</v>
      </c>
      <c r="AA538" s="167">
        <f t="shared" si="3"/>
        <v>0</v>
      </c>
      <c r="AB538" s="161"/>
      <c r="AC538" s="161">
        <f t="shared" si="4"/>
        <v>0</v>
      </c>
      <c r="AD538" s="161">
        <f t="shared" si="5"/>
        <v>0</v>
      </c>
      <c r="AE538" s="161">
        <f t="shared" si="6"/>
        <v>0</v>
      </c>
      <c r="AF538" s="167">
        <f t="shared" si="7"/>
        <v>0</v>
      </c>
      <c r="AG538" s="167">
        <f t="shared" si="8"/>
        <v>0</v>
      </c>
      <c r="AH538" s="158"/>
      <c r="AI538" s="158"/>
    </row>
    <row r="539" ht="12.75" customHeight="1">
      <c r="B539" s="160" t="str">
        <f>iferror(VLOOKUP((LEFT(A539,6)),CUSTOMER_DETAILS,2,FALSE),"-")</f>
        <v>-</v>
      </c>
      <c r="C539" s="161" t="s">
        <v>89</v>
      </c>
      <c r="D539" s="162"/>
      <c r="E539" s="161" t="s">
        <v>89</v>
      </c>
      <c r="F539" s="30" t="s">
        <v>89</v>
      </c>
      <c r="G539" s="30" t="s">
        <v>89</v>
      </c>
      <c r="H539" s="30" t="s">
        <v>89</v>
      </c>
      <c r="I539" s="48" t="s">
        <v>108</v>
      </c>
      <c r="J539" s="188" t="str">
        <f t="shared" si="15"/>
        <v/>
      </c>
      <c r="L539" s="48" t="s">
        <v>108</v>
      </c>
      <c r="O539" s="30" t="s">
        <v>89</v>
      </c>
      <c r="Q539" s="192"/>
      <c r="R539" s="161" t="str">
        <f>IFERROR(VLOOKUP(Q539,'PRODUCT TABLE'!$A$2:$B$26,2,FALSE),"-")</f>
        <v>-</v>
      </c>
      <c r="V539" s="161">
        <f t="shared" si="14"/>
        <v>0</v>
      </c>
      <c r="Y539" s="30"/>
      <c r="Z539" s="169">
        <f t="shared" si="2"/>
        <v>0</v>
      </c>
      <c r="AA539" s="167">
        <f t="shared" si="3"/>
        <v>0</v>
      </c>
      <c r="AB539" s="161"/>
      <c r="AC539" s="161">
        <f t="shared" si="4"/>
        <v>0</v>
      </c>
      <c r="AD539" s="161">
        <f t="shared" si="5"/>
        <v>0</v>
      </c>
      <c r="AE539" s="161">
        <f t="shared" si="6"/>
        <v>0</v>
      </c>
      <c r="AF539" s="167">
        <f t="shared" si="7"/>
        <v>0</v>
      </c>
      <c r="AG539" s="167">
        <f t="shared" si="8"/>
        <v>0</v>
      </c>
      <c r="AH539" s="158"/>
      <c r="AI539" s="158"/>
    </row>
    <row r="540" ht="12.75" customHeight="1">
      <c r="B540" s="160" t="str">
        <f>iferror(VLOOKUP((LEFT(A540,6)),CUSTOMER_DETAILS,2,FALSE),"-")</f>
        <v>-</v>
      </c>
      <c r="C540" s="161" t="s">
        <v>89</v>
      </c>
      <c r="D540" s="162"/>
      <c r="E540" s="161" t="s">
        <v>89</v>
      </c>
      <c r="F540" s="30" t="s">
        <v>89</v>
      </c>
      <c r="G540" s="30" t="s">
        <v>89</v>
      </c>
      <c r="H540" s="30" t="s">
        <v>89</v>
      </c>
      <c r="I540" s="48" t="s">
        <v>108</v>
      </c>
      <c r="J540" s="188" t="str">
        <f t="shared" si="15"/>
        <v/>
      </c>
      <c r="L540" s="48" t="s">
        <v>108</v>
      </c>
      <c r="O540" s="30" t="s">
        <v>89</v>
      </c>
      <c r="Q540" s="192"/>
      <c r="R540" s="161" t="str">
        <f>IFERROR(VLOOKUP(Q540,'PRODUCT TABLE'!$A$2:$B$26,2,FALSE),"-")</f>
        <v>-</v>
      </c>
      <c r="V540" s="161">
        <f t="shared" si="14"/>
        <v>0</v>
      </c>
      <c r="Y540" s="30"/>
      <c r="Z540" s="169">
        <f t="shared" si="2"/>
        <v>0</v>
      </c>
      <c r="AA540" s="167">
        <f t="shared" si="3"/>
        <v>0</v>
      </c>
      <c r="AB540" s="161"/>
      <c r="AC540" s="161">
        <f t="shared" si="4"/>
        <v>0</v>
      </c>
      <c r="AD540" s="161">
        <f t="shared" si="5"/>
        <v>0</v>
      </c>
      <c r="AE540" s="161">
        <f t="shared" si="6"/>
        <v>0</v>
      </c>
      <c r="AF540" s="167">
        <f t="shared" si="7"/>
        <v>0</v>
      </c>
      <c r="AG540" s="167">
        <f t="shared" si="8"/>
        <v>0</v>
      </c>
      <c r="AH540" s="158"/>
      <c r="AI540" s="158"/>
    </row>
    <row r="541" ht="12.75" customHeight="1">
      <c r="B541" s="160" t="str">
        <f>iferror(VLOOKUP((LEFT(A541,6)),CUSTOMER_DETAILS,2,FALSE),"-")</f>
        <v>-</v>
      </c>
      <c r="C541" s="161" t="s">
        <v>89</v>
      </c>
      <c r="D541" s="162"/>
      <c r="E541" s="161" t="s">
        <v>89</v>
      </c>
      <c r="F541" s="30" t="s">
        <v>89</v>
      </c>
      <c r="G541" s="30" t="s">
        <v>89</v>
      </c>
      <c r="H541" s="30" t="s">
        <v>89</v>
      </c>
      <c r="I541" s="48" t="s">
        <v>108</v>
      </c>
      <c r="J541" s="188" t="str">
        <f t="shared" si="15"/>
        <v/>
      </c>
      <c r="L541" s="48" t="s">
        <v>108</v>
      </c>
      <c r="O541" s="30" t="s">
        <v>89</v>
      </c>
      <c r="Q541" s="192"/>
      <c r="R541" s="161" t="str">
        <f>IFERROR(VLOOKUP(Q541,'PRODUCT TABLE'!$A$2:$B$26,2,FALSE),"-")</f>
        <v>-</v>
      </c>
      <c r="V541" s="161">
        <f t="shared" si="14"/>
        <v>0</v>
      </c>
      <c r="Y541" s="30"/>
      <c r="Z541" s="169">
        <f t="shared" si="2"/>
        <v>0</v>
      </c>
      <c r="AA541" s="167">
        <f t="shared" si="3"/>
        <v>0</v>
      </c>
      <c r="AB541" s="161"/>
      <c r="AC541" s="161">
        <f t="shared" si="4"/>
        <v>0</v>
      </c>
      <c r="AD541" s="161">
        <f t="shared" si="5"/>
        <v>0</v>
      </c>
      <c r="AE541" s="161">
        <f t="shared" si="6"/>
        <v>0</v>
      </c>
      <c r="AF541" s="167">
        <f t="shared" si="7"/>
        <v>0</v>
      </c>
      <c r="AG541" s="167">
        <f t="shared" si="8"/>
        <v>0</v>
      </c>
      <c r="AH541" s="158"/>
      <c r="AI541" s="158"/>
    </row>
    <row r="542" ht="12.75" customHeight="1">
      <c r="B542" s="160" t="str">
        <f>iferror(VLOOKUP((LEFT(A542,6)),CUSTOMER_DETAILS,2,FALSE),"-")</f>
        <v>-</v>
      </c>
      <c r="C542" s="161" t="s">
        <v>89</v>
      </c>
      <c r="D542" s="162"/>
      <c r="E542" s="161" t="s">
        <v>89</v>
      </c>
      <c r="F542" s="30" t="s">
        <v>89</v>
      </c>
      <c r="G542" s="30" t="s">
        <v>89</v>
      </c>
      <c r="H542" s="30" t="s">
        <v>89</v>
      </c>
      <c r="I542" s="48" t="s">
        <v>108</v>
      </c>
      <c r="J542" s="188" t="str">
        <f t="shared" si="15"/>
        <v/>
      </c>
      <c r="L542" s="48" t="s">
        <v>108</v>
      </c>
      <c r="O542" s="30" t="s">
        <v>89</v>
      </c>
      <c r="Q542" s="192"/>
      <c r="R542" s="161" t="str">
        <f>IFERROR(VLOOKUP(Q542,'PRODUCT TABLE'!$A$2:$B$26,2,FALSE),"-")</f>
        <v>-</v>
      </c>
      <c r="V542" s="161">
        <f t="shared" si="14"/>
        <v>0</v>
      </c>
      <c r="Y542" s="30"/>
      <c r="Z542" s="169">
        <f t="shared" si="2"/>
        <v>0</v>
      </c>
      <c r="AA542" s="167">
        <f t="shared" si="3"/>
        <v>0</v>
      </c>
      <c r="AB542" s="161"/>
      <c r="AC542" s="161">
        <f t="shared" si="4"/>
        <v>0</v>
      </c>
      <c r="AD542" s="161">
        <f t="shared" si="5"/>
        <v>0</v>
      </c>
      <c r="AE542" s="161">
        <f t="shared" si="6"/>
        <v>0</v>
      </c>
      <c r="AF542" s="167">
        <f t="shared" si="7"/>
        <v>0</v>
      </c>
      <c r="AG542" s="167">
        <f t="shared" si="8"/>
        <v>0</v>
      </c>
      <c r="AH542" s="158"/>
      <c r="AI542" s="158"/>
    </row>
    <row r="543" ht="12.75" customHeight="1">
      <c r="B543" s="160" t="str">
        <f>iferror(VLOOKUP((LEFT(A543,6)),CUSTOMER_DETAILS,2,FALSE),"-")</f>
        <v>-</v>
      </c>
      <c r="C543" s="161" t="s">
        <v>89</v>
      </c>
      <c r="D543" s="162"/>
      <c r="E543" s="161" t="s">
        <v>89</v>
      </c>
      <c r="F543" s="30" t="s">
        <v>89</v>
      </c>
      <c r="G543" s="30" t="s">
        <v>89</v>
      </c>
      <c r="H543" s="30" t="s">
        <v>89</v>
      </c>
      <c r="I543" s="48" t="s">
        <v>108</v>
      </c>
      <c r="J543" s="188" t="str">
        <f t="shared" si="15"/>
        <v/>
      </c>
      <c r="L543" s="48" t="s">
        <v>108</v>
      </c>
      <c r="O543" s="30" t="s">
        <v>89</v>
      </c>
      <c r="Q543" s="192"/>
      <c r="R543" s="161" t="str">
        <f>IFERROR(VLOOKUP(Q543,'PRODUCT TABLE'!$A$2:$B$26,2,FALSE),"-")</f>
        <v>-</v>
      </c>
      <c r="V543" s="161">
        <f t="shared" si="14"/>
        <v>0</v>
      </c>
      <c r="Y543" s="30"/>
      <c r="Z543" s="169">
        <f t="shared" si="2"/>
        <v>0</v>
      </c>
      <c r="AA543" s="167">
        <f t="shared" si="3"/>
        <v>0</v>
      </c>
      <c r="AB543" s="161"/>
      <c r="AC543" s="161">
        <f t="shared" si="4"/>
        <v>0</v>
      </c>
      <c r="AD543" s="161">
        <f t="shared" si="5"/>
        <v>0</v>
      </c>
      <c r="AE543" s="161">
        <f t="shared" si="6"/>
        <v>0</v>
      </c>
      <c r="AF543" s="167">
        <f t="shared" si="7"/>
        <v>0</v>
      </c>
      <c r="AG543" s="167">
        <f t="shared" si="8"/>
        <v>0</v>
      </c>
      <c r="AH543" s="158"/>
      <c r="AI543" s="158"/>
    </row>
    <row r="544" ht="12.75" customHeight="1">
      <c r="B544" s="160" t="str">
        <f>iferror(VLOOKUP((LEFT(A544,6)),CUSTOMER_DETAILS,2,FALSE),"-")</f>
        <v>-</v>
      </c>
      <c r="C544" s="161" t="s">
        <v>89</v>
      </c>
      <c r="D544" s="162"/>
      <c r="E544" s="161" t="s">
        <v>89</v>
      </c>
      <c r="F544" s="30" t="s">
        <v>89</v>
      </c>
      <c r="G544" s="30" t="s">
        <v>89</v>
      </c>
      <c r="H544" s="30" t="s">
        <v>89</v>
      </c>
      <c r="I544" s="48" t="s">
        <v>108</v>
      </c>
      <c r="J544" s="188" t="str">
        <f t="shared" si="15"/>
        <v/>
      </c>
      <c r="L544" s="48" t="s">
        <v>108</v>
      </c>
      <c r="O544" s="30" t="s">
        <v>89</v>
      </c>
      <c r="Q544" s="192"/>
      <c r="R544" s="161" t="str">
        <f>IFERROR(VLOOKUP(Q544,'PRODUCT TABLE'!$A$2:$B$26,2,FALSE),"-")</f>
        <v>-</v>
      </c>
      <c r="V544" s="161">
        <f t="shared" si="14"/>
        <v>0</v>
      </c>
      <c r="Y544" s="30"/>
      <c r="Z544" s="169">
        <f t="shared" si="2"/>
        <v>0</v>
      </c>
      <c r="AA544" s="167">
        <f t="shared" si="3"/>
        <v>0</v>
      </c>
      <c r="AB544" s="161"/>
      <c r="AC544" s="161">
        <f t="shared" si="4"/>
        <v>0</v>
      </c>
      <c r="AD544" s="161">
        <f t="shared" si="5"/>
        <v>0</v>
      </c>
      <c r="AE544" s="161">
        <f t="shared" si="6"/>
        <v>0</v>
      </c>
      <c r="AF544" s="167">
        <f t="shared" si="7"/>
        <v>0</v>
      </c>
      <c r="AG544" s="167">
        <f t="shared" si="8"/>
        <v>0</v>
      </c>
      <c r="AH544" s="158"/>
      <c r="AI544" s="158"/>
    </row>
    <row r="545" ht="12.75" customHeight="1">
      <c r="B545" s="160" t="str">
        <f>iferror(VLOOKUP((LEFT(A545,6)),CUSTOMER_DETAILS,2,FALSE),"-")</f>
        <v>-</v>
      </c>
      <c r="C545" s="161" t="s">
        <v>89</v>
      </c>
      <c r="D545" s="162"/>
      <c r="E545" s="161" t="s">
        <v>89</v>
      </c>
      <c r="F545" s="30" t="s">
        <v>89</v>
      </c>
      <c r="G545" s="30" t="s">
        <v>89</v>
      </c>
      <c r="H545" s="30" t="s">
        <v>89</v>
      </c>
      <c r="I545" s="48" t="s">
        <v>108</v>
      </c>
      <c r="J545" s="188" t="str">
        <f t="shared" si="15"/>
        <v/>
      </c>
      <c r="L545" s="48" t="s">
        <v>108</v>
      </c>
      <c r="O545" s="30" t="s">
        <v>89</v>
      </c>
      <c r="Q545" s="192"/>
      <c r="R545" s="161" t="str">
        <f>IFERROR(VLOOKUP(Q545,'PRODUCT TABLE'!$A$2:$B$26,2,FALSE),"-")</f>
        <v>-</v>
      </c>
      <c r="V545" s="161">
        <f t="shared" si="14"/>
        <v>0</v>
      </c>
      <c r="Y545" s="30"/>
      <c r="Z545" s="169">
        <f t="shared" si="2"/>
        <v>0</v>
      </c>
      <c r="AA545" s="167">
        <f t="shared" si="3"/>
        <v>0</v>
      </c>
      <c r="AB545" s="161"/>
      <c r="AC545" s="161">
        <f t="shared" si="4"/>
        <v>0</v>
      </c>
      <c r="AD545" s="161">
        <f t="shared" si="5"/>
        <v>0</v>
      </c>
      <c r="AE545" s="161">
        <f t="shared" si="6"/>
        <v>0</v>
      </c>
      <c r="AF545" s="167">
        <f t="shared" si="7"/>
        <v>0</v>
      </c>
      <c r="AG545" s="167">
        <f t="shared" si="8"/>
        <v>0</v>
      </c>
      <c r="AH545" s="158"/>
      <c r="AI545" s="158"/>
    </row>
    <row r="546" ht="12.75" customHeight="1">
      <c r="B546" s="160" t="str">
        <f>iferror(VLOOKUP((LEFT(A546,6)),CUSTOMER_DETAILS,2,FALSE),"-")</f>
        <v>-</v>
      </c>
      <c r="C546" s="161" t="s">
        <v>89</v>
      </c>
      <c r="D546" s="162"/>
      <c r="E546" s="161" t="s">
        <v>89</v>
      </c>
      <c r="F546" s="30" t="s">
        <v>89</v>
      </c>
      <c r="G546" s="30" t="s">
        <v>89</v>
      </c>
      <c r="H546" s="30" t="s">
        <v>89</v>
      </c>
      <c r="I546" s="48" t="s">
        <v>108</v>
      </c>
      <c r="J546" s="188" t="str">
        <f t="shared" si="15"/>
        <v/>
      </c>
      <c r="L546" s="48" t="s">
        <v>108</v>
      </c>
      <c r="O546" s="30" t="s">
        <v>89</v>
      </c>
      <c r="Q546" s="192"/>
      <c r="R546" s="161" t="str">
        <f>IFERROR(VLOOKUP(Q546,'PRODUCT TABLE'!$A$2:$B$26,2,FALSE),"-")</f>
        <v>-</v>
      </c>
      <c r="V546" s="161">
        <f t="shared" si="14"/>
        <v>0</v>
      </c>
      <c r="Y546" s="30"/>
      <c r="Z546" s="169">
        <f t="shared" si="2"/>
        <v>0</v>
      </c>
      <c r="AA546" s="167">
        <f t="shared" si="3"/>
        <v>0</v>
      </c>
      <c r="AB546" s="161"/>
      <c r="AC546" s="161">
        <f t="shared" si="4"/>
        <v>0</v>
      </c>
      <c r="AD546" s="161">
        <f t="shared" si="5"/>
        <v>0</v>
      </c>
      <c r="AE546" s="161">
        <f t="shared" si="6"/>
        <v>0</v>
      </c>
      <c r="AF546" s="167">
        <f t="shared" si="7"/>
        <v>0</v>
      </c>
      <c r="AG546" s="167">
        <f t="shared" si="8"/>
        <v>0</v>
      </c>
      <c r="AH546" s="158"/>
      <c r="AI546" s="158"/>
    </row>
    <row r="547" ht="12.75" customHeight="1">
      <c r="B547" s="160" t="str">
        <f>iferror(VLOOKUP((LEFT(A547,6)),CUSTOMER_DETAILS,2,FALSE),"-")</f>
        <v>-</v>
      </c>
      <c r="C547" s="161" t="s">
        <v>89</v>
      </c>
      <c r="D547" s="162"/>
      <c r="E547" s="161" t="s">
        <v>89</v>
      </c>
      <c r="F547" s="30" t="s">
        <v>89</v>
      </c>
      <c r="G547" s="30" t="s">
        <v>89</v>
      </c>
      <c r="H547" s="30" t="s">
        <v>89</v>
      </c>
      <c r="I547" s="48" t="s">
        <v>108</v>
      </c>
      <c r="J547" s="188" t="str">
        <f t="shared" si="15"/>
        <v/>
      </c>
      <c r="L547" s="48" t="s">
        <v>108</v>
      </c>
      <c r="O547" s="30" t="s">
        <v>89</v>
      </c>
      <c r="Q547" s="192"/>
      <c r="R547" s="161" t="str">
        <f>IFERROR(VLOOKUP(Q547,'PRODUCT TABLE'!$A$2:$B$26,2,FALSE),"-")</f>
        <v>-</v>
      </c>
      <c r="V547" s="161">
        <f t="shared" si="14"/>
        <v>0</v>
      </c>
      <c r="Y547" s="30"/>
      <c r="Z547" s="169">
        <f t="shared" si="2"/>
        <v>0</v>
      </c>
      <c r="AA547" s="167">
        <f t="shared" si="3"/>
        <v>0</v>
      </c>
      <c r="AB547" s="161"/>
      <c r="AC547" s="161">
        <f t="shared" si="4"/>
        <v>0</v>
      </c>
      <c r="AD547" s="161">
        <f t="shared" si="5"/>
        <v>0</v>
      </c>
      <c r="AE547" s="161">
        <f t="shared" si="6"/>
        <v>0</v>
      </c>
      <c r="AF547" s="167">
        <f t="shared" si="7"/>
        <v>0</v>
      </c>
      <c r="AG547" s="167">
        <f t="shared" si="8"/>
        <v>0</v>
      </c>
      <c r="AH547" s="158"/>
      <c r="AI547" s="158"/>
    </row>
    <row r="548" ht="12.75" customHeight="1">
      <c r="B548" s="160" t="str">
        <f>iferror(VLOOKUP((LEFT(A548,6)),CUSTOMER_DETAILS,2,FALSE),"-")</f>
        <v>-</v>
      </c>
      <c r="C548" s="161" t="s">
        <v>89</v>
      </c>
      <c r="D548" s="162"/>
      <c r="E548" s="161" t="s">
        <v>89</v>
      </c>
      <c r="F548" s="30" t="s">
        <v>89</v>
      </c>
      <c r="G548" s="30" t="s">
        <v>89</v>
      </c>
      <c r="H548" s="30" t="s">
        <v>89</v>
      </c>
      <c r="I548" s="48" t="s">
        <v>108</v>
      </c>
      <c r="J548" s="188" t="str">
        <f t="shared" si="15"/>
        <v/>
      </c>
      <c r="L548" s="48" t="s">
        <v>108</v>
      </c>
      <c r="O548" s="30" t="s">
        <v>89</v>
      </c>
      <c r="Q548" s="192"/>
      <c r="R548" s="161" t="str">
        <f>IFERROR(VLOOKUP(Q548,'PRODUCT TABLE'!$A$2:$B$26,2,FALSE),"-")</f>
        <v>-</v>
      </c>
      <c r="V548" s="161">
        <f t="shared" si="14"/>
        <v>0</v>
      </c>
      <c r="Y548" s="30"/>
      <c r="Z548" s="169">
        <f t="shared" si="2"/>
        <v>0</v>
      </c>
      <c r="AA548" s="167">
        <f t="shared" si="3"/>
        <v>0</v>
      </c>
      <c r="AB548" s="161"/>
      <c r="AC548" s="161">
        <f t="shared" si="4"/>
        <v>0</v>
      </c>
      <c r="AD548" s="161">
        <f t="shared" si="5"/>
        <v>0</v>
      </c>
      <c r="AE548" s="161">
        <f t="shared" si="6"/>
        <v>0</v>
      </c>
      <c r="AF548" s="167">
        <f t="shared" si="7"/>
        <v>0</v>
      </c>
      <c r="AG548" s="167">
        <f t="shared" si="8"/>
        <v>0</v>
      </c>
      <c r="AH548" s="158"/>
      <c r="AI548" s="158"/>
    </row>
    <row r="549" ht="12.75" customHeight="1">
      <c r="B549" s="160" t="str">
        <f>iferror(VLOOKUP((LEFT(A549,6)),CUSTOMER_DETAILS,2,FALSE),"-")</f>
        <v>-</v>
      </c>
      <c r="C549" s="161" t="s">
        <v>89</v>
      </c>
      <c r="D549" s="162"/>
      <c r="E549" s="161" t="s">
        <v>89</v>
      </c>
      <c r="F549" s="30" t="s">
        <v>89</v>
      </c>
      <c r="G549" s="30" t="s">
        <v>89</v>
      </c>
      <c r="H549" s="30" t="s">
        <v>89</v>
      </c>
      <c r="I549" s="48" t="s">
        <v>108</v>
      </c>
      <c r="J549" s="188" t="str">
        <f t="shared" si="15"/>
        <v/>
      </c>
      <c r="L549" s="48" t="s">
        <v>108</v>
      </c>
      <c r="O549" s="30" t="s">
        <v>89</v>
      </c>
      <c r="Q549" s="192"/>
      <c r="R549" s="161" t="str">
        <f>IFERROR(VLOOKUP(Q549,'PRODUCT TABLE'!$A$2:$B$26,2,FALSE),"-")</f>
        <v>-</v>
      </c>
      <c r="V549" s="161">
        <f t="shared" si="14"/>
        <v>0</v>
      </c>
      <c r="Y549" s="30"/>
      <c r="Z549" s="169">
        <f t="shared" si="2"/>
        <v>0</v>
      </c>
      <c r="AA549" s="167">
        <f t="shared" si="3"/>
        <v>0</v>
      </c>
      <c r="AB549" s="161"/>
      <c r="AC549" s="161">
        <f t="shared" si="4"/>
        <v>0</v>
      </c>
      <c r="AD549" s="161">
        <f t="shared" si="5"/>
        <v>0</v>
      </c>
      <c r="AE549" s="161">
        <f t="shared" si="6"/>
        <v>0</v>
      </c>
      <c r="AF549" s="167">
        <f t="shared" si="7"/>
        <v>0</v>
      </c>
      <c r="AG549" s="167">
        <f t="shared" si="8"/>
        <v>0</v>
      </c>
      <c r="AH549" s="158"/>
      <c r="AI549" s="158"/>
    </row>
    <row r="550" ht="12.75" customHeight="1">
      <c r="B550" s="160" t="str">
        <f>iferror(VLOOKUP((LEFT(A550,6)),CUSTOMER_DETAILS,2,FALSE),"-")</f>
        <v>-</v>
      </c>
      <c r="C550" s="161" t="s">
        <v>89</v>
      </c>
      <c r="D550" s="162"/>
      <c r="E550" s="161" t="s">
        <v>89</v>
      </c>
      <c r="F550" s="30" t="s">
        <v>89</v>
      </c>
      <c r="G550" s="30" t="s">
        <v>89</v>
      </c>
      <c r="H550" s="30" t="s">
        <v>89</v>
      </c>
      <c r="I550" s="48" t="s">
        <v>108</v>
      </c>
      <c r="J550" s="188" t="str">
        <f t="shared" si="15"/>
        <v/>
      </c>
      <c r="L550" s="48" t="s">
        <v>108</v>
      </c>
      <c r="O550" s="30" t="s">
        <v>89</v>
      </c>
      <c r="Q550" s="192"/>
      <c r="R550" s="161" t="str">
        <f>IFERROR(VLOOKUP(Q550,'PRODUCT TABLE'!$A$2:$B$26,2,FALSE),"-")</f>
        <v>-</v>
      </c>
      <c r="V550" s="161">
        <f t="shared" si="14"/>
        <v>0</v>
      </c>
      <c r="Y550" s="30"/>
      <c r="Z550" s="169">
        <f t="shared" si="2"/>
        <v>0</v>
      </c>
      <c r="AA550" s="167">
        <f t="shared" si="3"/>
        <v>0</v>
      </c>
      <c r="AB550" s="161"/>
      <c r="AC550" s="161">
        <f t="shared" si="4"/>
        <v>0</v>
      </c>
      <c r="AD550" s="161">
        <f t="shared" si="5"/>
        <v>0</v>
      </c>
      <c r="AE550" s="161">
        <f t="shared" si="6"/>
        <v>0</v>
      </c>
      <c r="AF550" s="167">
        <f t="shared" si="7"/>
        <v>0</v>
      </c>
      <c r="AG550" s="167">
        <f t="shared" si="8"/>
        <v>0</v>
      </c>
      <c r="AH550" s="158"/>
      <c r="AI550" s="158"/>
    </row>
    <row r="551" ht="12.75" customHeight="1">
      <c r="B551" s="160" t="str">
        <f>iferror(VLOOKUP((LEFT(A551,6)),CUSTOMER_DETAILS,2,FALSE),"-")</f>
        <v>-</v>
      </c>
      <c r="C551" s="161" t="s">
        <v>89</v>
      </c>
      <c r="D551" s="162"/>
      <c r="E551" s="161" t="s">
        <v>89</v>
      </c>
      <c r="F551" s="30" t="s">
        <v>89</v>
      </c>
      <c r="G551" s="30" t="s">
        <v>89</v>
      </c>
      <c r="H551" s="30" t="s">
        <v>89</v>
      </c>
      <c r="I551" s="48" t="s">
        <v>108</v>
      </c>
      <c r="J551" s="188" t="str">
        <f t="shared" si="15"/>
        <v/>
      </c>
      <c r="L551" s="48" t="s">
        <v>108</v>
      </c>
      <c r="O551" s="30" t="s">
        <v>89</v>
      </c>
      <c r="Q551" s="192"/>
      <c r="R551" s="161" t="str">
        <f>IFERROR(VLOOKUP(Q551,'PRODUCT TABLE'!$A$2:$B$26,2,FALSE),"-")</f>
        <v>-</v>
      </c>
      <c r="V551" s="161">
        <f t="shared" si="14"/>
        <v>0</v>
      </c>
      <c r="Y551" s="30"/>
      <c r="Z551" s="169">
        <f t="shared" si="2"/>
        <v>0</v>
      </c>
      <c r="AA551" s="167">
        <f t="shared" si="3"/>
        <v>0</v>
      </c>
      <c r="AB551" s="161"/>
      <c r="AC551" s="161">
        <f t="shared" si="4"/>
        <v>0</v>
      </c>
      <c r="AD551" s="161">
        <f t="shared" si="5"/>
        <v>0</v>
      </c>
      <c r="AE551" s="161">
        <f t="shared" si="6"/>
        <v>0</v>
      </c>
      <c r="AF551" s="167">
        <f t="shared" si="7"/>
        <v>0</v>
      </c>
      <c r="AG551" s="167">
        <f t="shared" si="8"/>
        <v>0</v>
      </c>
      <c r="AH551" s="158"/>
      <c r="AI551" s="158"/>
    </row>
    <row r="552" ht="12.75" customHeight="1">
      <c r="B552" s="160" t="str">
        <f>iferror(VLOOKUP((LEFT(A552,6)),CUSTOMER_DETAILS,2,FALSE),"-")</f>
        <v>-</v>
      </c>
      <c r="C552" s="161" t="s">
        <v>89</v>
      </c>
      <c r="D552" s="162"/>
      <c r="E552" s="161" t="s">
        <v>89</v>
      </c>
      <c r="F552" s="30" t="s">
        <v>89</v>
      </c>
      <c r="G552" s="30" t="s">
        <v>89</v>
      </c>
      <c r="H552" s="30" t="s">
        <v>89</v>
      </c>
      <c r="I552" s="48" t="s">
        <v>108</v>
      </c>
      <c r="J552" s="188" t="str">
        <f t="shared" si="15"/>
        <v/>
      </c>
      <c r="L552" s="48" t="s">
        <v>108</v>
      </c>
      <c r="O552" s="30" t="s">
        <v>89</v>
      </c>
      <c r="Q552" s="192"/>
      <c r="R552" s="161" t="str">
        <f>IFERROR(VLOOKUP(Q552,'PRODUCT TABLE'!$A$2:$B$26,2,FALSE),"-")</f>
        <v>-</v>
      </c>
      <c r="V552" s="161">
        <f t="shared" si="14"/>
        <v>0</v>
      </c>
      <c r="Y552" s="30"/>
      <c r="Z552" s="169">
        <f t="shared" si="2"/>
        <v>0</v>
      </c>
      <c r="AA552" s="167">
        <f t="shared" si="3"/>
        <v>0</v>
      </c>
      <c r="AB552" s="161"/>
      <c r="AC552" s="161">
        <f t="shared" si="4"/>
        <v>0</v>
      </c>
      <c r="AD552" s="161">
        <f t="shared" si="5"/>
        <v>0</v>
      </c>
      <c r="AE552" s="161">
        <f t="shared" si="6"/>
        <v>0</v>
      </c>
      <c r="AF552" s="167">
        <f t="shared" si="7"/>
        <v>0</v>
      </c>
      <c r="AG552" s="167">
        <f t="shared" si="8"/>
        <v>0</v>
      </c>
      <c r="AH552" s="158"/>
      <c r="AI552" s="158"/>
    </row>
    <row r="553" ht="12.75" customHeight="1">
      <c r="B553" s="160" t="str">
        <f>iferror(VLOOKUP((LEFT(A553,6)),CUSTOMER_DETAILS,2,FALSE),"-")</f>
        <v>-</v>
      </c>
      <c r="C553" s="161" t="s">
        <v>89</v>
      </c>
      <c r="D553" s="162"/>
      <c r="E553" s="161" t="s">
        <v>89</v>
      </c>
      <c r="F553" s="30" t="s">
        <v>89</v>
      </c>
      <c r="G553" s="30" t="s">
        <v>89</v>
      </c>
      <c r="H553" s="30" t="s">
        <v>89</v>
      </c>
      <c r="I553" s="48" t="s">
        <v>108</v>
      </c>
      <c r="J553" s="188" t="str">
        <f t="shared" si="15"/>
        <v/>
      </c>
      <c r="L553" s="48" t="s">
        <v>108</v>
      </c>
      <c r="O553" s="30" t="s">
        <v>89</v>
      </c>
      <c r="Q553" s="192"/>
      <c r="R553" s="161" t="str">
        <f>IFERROR(VLOOKUP(Q553,'PRODUCT TABLE'!$A$2:$B$26,2,FALSE),"-")</f>
        <v>-</v>
      </c>
      <c r="V553" s="161">
        <f t="shared" si="14"/>
        <v>0</v>
      </c>
      <c r="Y553" s="30"/>
      <c r="Z553" s="169">
        <f t="shared" si="2"/>
        <v>0</v>
      </c>
      <c r="AA553" s="167">
        <f t="shared" si="3"/>
        <v>0</v>
      </c>
      <c r="AB553" s="161"/>
      <c r="AC553" s="161">
        <f t="shared" si="4"/>
        <v>0</v>
      </c>
      <c r="AD553" s="161">
        <f t="shared" si="5"/>
        <v>0</v>
      </c>
      <c r="AE553" s="161">
        <f t="shared" si="6"/>
        <v>0</v>
      </c>
      <c r="AF553" s="167">
        <f t="shared" si="7"/>
        <v>0</v>
      </c>
      <c r="AG553" s="167">
        <f t="shared" si="8"/>
        <v>0</v>
      </c>
      <c r="AH553" s="158"/>
      <c r="AI553" s="158"/>
    </row>
    <row r="554" ht="12.75" customHeight="1">
      <c r="B554" s="160" t="str">
        <f>iferror(VLOOKUP((LEFT(A554,6)),CUSTOMER_DETAILS,2,FALSE),"-")</f>
        <v>-</v>
      </c>
      <c r="C554" s="161" t="s">
        <v>89</v>
      </c>
      <c r="D554" s="162"/>
      <c r="E554" s="161" t="s">
        <v>89</v>
      </c>
      <c r="F554" s="30" t="s">
        <v>89</v>
      </c>
      <c r="G554" s="30" t="s">
        <v>89</v>
      </c>
      <c r="H554" s="30" t="s">
        <v>89</v>
      </c>
      <c r="I554" s="48" t="s">
        <v>108</v>
      </c>
      <c r="J554" s="188" t="str">
        <f t="shared" si="15"/>
        <v/>
      </c>
      <c r="L554" s="48" t="s">
        <v>108</v>
      </c>
      <c r="O554" s="30" t="s">
        <v>89</v>
      </c>
      <c r="Q554" s="192"/>
      <c r="R554" s="161" t="str">
        <f>IFERROR(VLOOKUP(Q554,'PRODUCT TABLE'!$A$2:$B$26,2,FALSE),"-")</f>
        <v>-</v>
      </c>
      <c r="V554" s="161">
        <f t="shared" si="14"/>
        <v>0</v>
      </c>
      <c r="Y554" s="30"/>
      <c r="Z554" s="169">
        <f t="shared" si="2"/>
        <v>0</v>
      </c>
      <c r="AA554" s="167">
        <f t="shared" si="3"/>
        <v>0</v>
      </c>
      <c r="AB554" s="161"/>
      <c r="AC554" s="161">
        <f t="shared" si="4"/>
        <v>0</v>
      </c>
      <c r="AD554" s="161">
        <f t="shared" si="5"/>
        <v>0</v>
      </c>
      <c r="AE554" s="161">
        <f t="shared" si="6"/>
        <v>0</v>
      </c>
      <c r="AF554" s="167">
        <f t="shared" si="7"/>
        <v>0</v>
      </c>
      <c r="AG554" s="167">
        <f t="shared" si="8"/>
        <v>0</v>
      </c>
      <c r="AH554" s="158"/>
      <c r="AI554" s="158"/>
    </row>
    <row r="555" ht="12.75" customHeight="1">
      <c r="B555" s="160" t="str">
        <f>iferror(VLOOKUP((LEFT(A555,6)),CUSTOMER_DETAILS,2,FALSE),"-")</f>
        <v>-</v>
      </c>
      <c r="C555" s="161" t="s">
        <v>89</v>
      </c>
      <c r="D555" s="162"/>
      <c r="E555" s="161" t="s">
        <v>89</v>
      </c>
      <c r="F555" s="30" t="s">
        <v>89</v>
      </c>
      <c r="G555" s="30" t="s">
        <v>89</v>
      </c>
      <c r="H555" s="30" t="s">
        <v>89</v>
      </c>
      <c r="I555" s="48" t="s">
        <v>108</v>
      </c>
      <c r="J555" s="188" t="str">
        <f t="shared" si="15"/>
        <v/>
      </c>
      <c r="L555" s="48" t="s">
        <v>108</v>
      </c>
      <c r="O555" s="30" t="s">
        <v>89</v>
      </c>
      <c r="Q555" s="192"/>
      <c r="R555" s="161" t="str">
        <f>IFERROR(VLOOKUP(Q555,'PRODUCT TABLE'!$A$2:$B$26,2,FALSE),"-")</f>
        <v>-</v>
      </c>
      <c r="V555" s="161">
        <f t="shared" si="14"/>
        <v>0</v>
      </c>
      <c r="Y555" s="30"/>
      <c r="Z555" s="169">
        <f t="shared" si="2"/>
        <v>0</v>
      </c>
      <c r="AA555" s="167">
        <f t="shared" si="3"/>
        <v>0</v>
      </c>
      <c r="AB555" s="161"/>
      <c r="AC555" s="161">
        <f t="shared" si="4"/>
        <v>0</v>
      </c>
      <c r="AD555" s="161">
        <f t="shared" si="5"/>
        <v>0</v>
      </c>
      <c r="AE555" s="161">
        <f t="shared" si="6"/>
        <v>0</v>
      </c>
      <c r="AF555" s="167">
        <f t="shared" si="7"/>
        <v>0</v>
      </c>
      <c r="AG555" s="167">
        <f t="shared" si="8"/>
        <v>0</v>
      </c>
      <c r="AH555" s="158"/>
      <c r="AI555" s="158"/>
    </row>
    <row r="556" ht="12.75" customHeight="1">
      <c r="B556" s="160" t="str">
        <f>iferror(VLOOKUP((LEFT(A556,6)),CUSTOMER_DETAILS,2,FALSE),"-")</f>
        <v>-</v>
      </c>
      <c r="C556" s="161" t="s">
        <v>89</v>
      </c>
      <c r="D556" s="162"/>
      <c r="E556" s="161" t="s">
        <v>89</v>
      </c>
      <c r="F556" s="30" t="s">
        <v>89</v>
      </c>
      <c r="G556" s="30" t="s">
        <v>89</v>
      </c>
      <c r="H556" s="30" t="s">
        <v>89</v>
      </c>
      <c r="I556" s="48" t="s">
        <v>108</v>
      </c>
      <c r="J556" s="188" t="str">
        <f t="shared" si="15"/>
        <v/>
      </c>
      <c r="L556" s="48" t="s">
        <v>108</v>
      </c>
      <c r="O556" s="30" t="s">
        <v>89</v>
      </c>
      <c r="Q556" s="192"/>
      <c r="R556" s="161" t="str">
        <f>IFERROR(VLOOKUP(Q556,'PRODUCT TABLE'!$A$2:$B$26,2,FALSE),"-")</f>
        <v>-</v>
      </c>
      <c r="V556" s="161">
        <f t="shared" si="14"/>
        <v>0</v>
      </c>
      <c r="Y556" s="30"/>
      <c r="Z556" s="169">
        <f t="shared" si="2"/>
        <v>0</v>
      </c>
      <c r="AA556" s="167">
        <f t="shared" si="3"/>
        <v>0</v>
      </c>
      <c r="AB556" s="161"/>
      <c r="AC556" s="161">
        <f t="shared" si="4"/>
        <v>0</v>
      </c>
      <c r="AD556" s="161">
        <f t="shared" si="5"/>
        <v>0</v>
      </c>
      <c r="AE556" s="161">
        <f t="shared" si="6"/>
        <v>0</v>
      </c>
      <c r="AF556" s="167">
        <f t="shared" si="7"/>
        <v>0</v>
      </c>
      <c r="AG556" s="167">
        <f t="shared" si="8"/>
        <v>0</v>
      </c>
      <c r="AH556" s="158"/>
      <c r="AI556" s="158"/>
    </row>
    <row r="557" ht="12.75" customHeight="1">
      <c r="B557" s="160" t="str">
        <f>iferror(VLOOKUP((LEFT(A557,6)),CUSTOMER_DETAILS,2,FALSE),"-")</f>
        <v>-</v>
      </c>
      <c r="C557" s="161" t="s">
        <v>89</v>
      </c>
      <c r="D557" s="162"/>
      <c r="E557" s="161" t="s">
        <v>89</v>
      </c>
      <c r="F557" s="30" t="s">
        <v>89</v>
      </c>
      <c r="G557" s="30" t="s">
        <v>89</v>
      </c>
      <c r="H557" s="30" t="s">
        <v>89</v>
      </c>
      <c r="I557" s="48" t="s">
        <v>108</v>
      </c>
      <c r="J557" s="188" t="str">
        <f t="shared" si="15"/>
        <v/>
      </c>
      <c r="L557" s="48" t="s">
        <v>108</v>
      </c>
      <c r="O557" s="30" t="s">
        <v>89</v>
      </c>
      <c r="Q557" s="192"/>
      <c r="R557" s="161" t="str">
        <f>IFERROR(VLOOKUP(Q557,'PRODUCT TABLE'!$A$2:$B$26,2,FALSE),"-")</f>
        <v>-</v>
      </c>
      <c r="V557" s="161">
        <f t="shared" si="14"/>
        <v>0</v>
      </c>
      <c r="Y557" s="30"/>
      <c r="Z557" s="169">
        <f t="shared" si="2"/>
        <v>0</v>
      </c>
      <c r="AA557" s="167">
        <f t="shared" si="3"/>
        <v>0</v>
      </c>
      <c r="AB557" s="161"/>
      <c r="AC557" s="161">
        <f t="shared" si="4"/>
        <v>0</v>
      </c>
      <c r="AD557" s="161">
        <f t="shared" si="5"/>
        <v>0</v>
      </c>
      <c r="AE557" s="161">
        <f t="shared" si="6"/>
        <v>0</v>
      </c>
      <c r="AF557" s="167">
        <f t="shared" si="7"/>
        <v>0</v>
      </c>
      <c r="AG557" s="167">
        <f t="shared" si="8"/>
        <v>0</v>
      </c>
      <c r="AH557" s="158"/>
      <c r="AI557" s="158"/>
    </row>
    <row r="558" ht="12.75" customHeight="1">
      <c r="B558" s="160" t="str">
        <f>iferror(VLOOKUP((LEFT(A558,6)),CUSTOMER_DETAILS,2,FALSE),"-")</f>
        <v>-</v>
      </c>
      <c r="C558" s="161" t="s">
        <v>89</v>
      </c>
      <c r="D558" s="162"/>
      <c r="E558" s="161" t="s">
        <v>89</v>
      </c>
      <c r="F558" s="30" t="s">
        <v>89</v>
      </c>
      <c r="G558" s="30" t="s">
        <v>89</v>
      </c>
      <c r="H558" s="30" t="s">
        <v>89</v>
      </c>
      <c r="I558" s="48" t="s">
        <v>108</v>
      </c>
      <c r="J558" s="188" t="str">
        <f t="shared" si="15"/>
        <v/>
      </c>
      <c r="L558" s="48" t="s">
        <v>108</v>
      </c>
      <c r="O558" s="30" t="s">
        <v>89</v>
      </c>
      <c r="Q558" s="192"/>
      <c r="R558" s="161" t="str">
        <f>IFERROR(VLOOKUP(Q558,'PRODUCT TABLE'!$A$2:$B$26,2,FALSE),"-")</f>
        <v>-</v>
      </c>
      <c r="V558" s="161">
        <f t="shared" si="14"/>
        <v>0</v>
      </c>
      <c r="Y558" s="30"/>
      <c r="Z558" s="169">
        <f t="shared" si="2"/>
        <v>0</v>
      </c>
      <c r="AA558" s="167">
        <f t="shared" si="3"/>
        <v>0</v>
      </c>
      <c r="AB558" s="161"/>
      <c r="AC558" s="161">
        <f t="shared" si="4"/>
        <v>0</v>
      </c>
      <c r="AD558" s="161">
        <f t="shared" si="5"/>
        <v>0</v>
      </c>
      <c r="AE558" s="161">
        <f t="shared" si="6"/>
        <v>0</v>
      </c>
      <c r="AF558" s="167">
        <f t="shared" si="7"/>
        <v>0</v>
      </c>
      <c r="AG558" s="167">
        <f t="shared" si="8"/>
        <v>0</v>
      </c>
      <c r="AH558" s="158"/>
      <c r="AI558" s="158"/>
    </row>
    <row r="559" ht="12.75" customHeight="1">
      <c r="B559" s="160" t="str">
        <f>iferror(VLOOKUP((LEFT(A559,6)),CUSTOMER_DETAILS,2,FALSE),"-")</f>
        <v>-</v>
      </c>
      <c r="C559" s="161" t="s">
        <v>89</v>
      </c>
      <c r="D559" s="162"/>
      <c r="E559" s="161" t="s">
        <v>89</v>
      </c>
      <c r="F559" s="30" t="s">
        <v>89</v>
      </c>
      <c r="G559" s="30" t="s">
        <v>89</v>
      </c>
      <c r="H559" s="30" t="s">
        <v>89</v>
      </c>
      <c r="I559" s="48" t="s">
        <v>108</v>
      </c>
      <c r="J559" s="188" t="str">
        <f t="shared" si="15"/>
        <v/>
      </c>
      <c r="L559" s="48" t="s">
        <v>108</v>
      </c>
      <c r="O559" s="30" t="s">
        <v>89</v>
      </c>
      <c r="Q559" s="192"/>
      <c r="R559" s="161" t="str">
        <f>IFERROR(VLOOKUP(Q559,'PRODUCT TABLE'!$A$2:$B$26,2,FALSE),"-")</f>
        <v>-</v>
      </c>
      <c r="V559" s="161">
        <f t="shared" si="14"/>
        <v>0</v>
      </c>
      <c r="Y559" s="30"/>
      <c r="Z559" s="169">
        <f t="shared" si="2"/>
        <v>0</v>
      </c>
      <c r="AA559" s="167">
        <f t="shared" si="3"/>
        <v>0</v>
      </c>
      <c r="AB559" s="161"/>
      <c r="AC559" s="161">
        <f t="shared" si="4"/>
        <v>0</v>
      </c>
      <c r="AD559" s="161">
        <f t="shared" si="5"/>
        <v>0</v>
      </c>
      <c r="AE559" s="161">
        <f t="shared" si="6"/>
        <v>0</v>
      </c>
      <c r="AF559" s="167">
        <f t="shared" si="7"/>
        <v>0</v>
      </c>
      <c r="AG559" s="167">
        <f t="shared" si="8"/>
        <v>0</v>
      </c>
      <c r="AH559" s="158"/>
      <c r="AI559" s="158"/>
    </row>
    <row r="560" ht="12.75" customHeight="1">
      <c r="B560" s="160" t="str">
        <f>iferror(VLOOKUP((LEFT(A560,6)),CUSTOMER_DETAILS,2,FALSE),"-")</f>
        <v>-</v>
      </c>
      <c r="C560" s="161" t="s">
        <v>89</v>
      </c>
      <c r="D560" s="162"/>
      <c r="E560" s="161" t="s">
        <v>89</v>
      </c>
      <c r="F560" s="30" t="s">
        <v>89</v>
      </c>
      <c r="G560" s="30" t="s">
        <v>89</v>
      </c>
      <c r="H560" s="30" t="s">
        <v>89</v>
      </c>
      <c r="I560" s="48" t="s">
        <v>108</v>
      </c>
      <c r="J560" s="188" t="str">
        <f t="shared" si="15"/>
        <v/>
      </c>
      <c r="L560" s="48" t="s">
        <v>108</v>
      </c>
      <c r="O560" s="30" t="s">
        <v>89</v>
      </c>
      <c r="Q560" s="192"/>
      <c r="R560" s="161" t="str">
        <f>IFERROR(VLOOKUP(Q560,'PRODUCT TABLE'!$A$2:$B$26,2,FALSE),"-")</f>
        <v>-</v>
      </c>
      <c r="V560" s="161">
        <f t="shared" si="14"/>
        <v>0</v>
      </c>
      <c r="Y560" s="30"/>
      <c r="Z560" s="169">
        <f t="shared" si="2"/>
        <v>0</v>
      </c>
      <c r="AA560" s="167">
        <f t="shared" si="3"/>
        <v>0</v>
      </c>
      <c r="AB560" s="161"/>
      <c r="AC560" s="161">
        <f t="shared" si="4"/>
        <v>0</v>
      </c>
      <c r="AD560" s="161">
        <f t="shared" si="5"/>
        <v>0</v>
      </c>
      <c r="AE560" s="161">
        <f t="shared" si="6"/>
        <v>0</v>
      </c>
      <c r="AF560" s="167">
        <f t="shared" si="7"/>
        <v>0</v>
      </c>
      <c r="AG560" s="167">
        <f t="shared" si="8"/>
        <v>0</v>
      </c>
      <c r="AH560" s="158"/>
      <c r="AI560" s="158"/>
    </row>
    <row r="561" ht="12.75" customHeight="1">
      <c r="B561" s="160" t="str">
        <f>iferror(VLOOKUP((LEFT(A561,6)),CUSTOMER_DETAILS,2,FALSE),"-")</f>
        <v>-</v>
      </c>
      <c r="C561" s="161" t="s">
        <v>89</v>
      </c>
      <c r="D561" s="162"/>
      <c r="E561" s="161" t="s">
        <v>89</v>
      </c>
      <c r="F561" s="30" t="s">
        <v>89</v>
      </c>
      <c r="G561" s="30" t="s">
        <v>89</v>
      </c>
      <c r="H561" s="30" t="s">
        <v>89</v>
      </c>
      <c r="I561" s="48" t="s">
        <v>108</v>
      </c>
      <c r="J561" s="188" t="str">
        <f t="shared" si="15"/>
        <v/>
      </c>
      <c r="L561" s="48" t="s">
        <v>108</v>
      </c>
      <c r="O561" s="30" t="s">
        <v>89</v>
      </c>
      <c r="Q561" s="192"/>
      <c r="R561" s="161" t="str">
        <f>IFERROR(VLOOKUP(Q561,'PRODUCT TABLE'!$A$2:$B$26,2,FALSE),"-")</f>
        <v>-</v>
      </c>
      <c r="V561" s="161">
        <f t="shared" si="14"/>
        <v>0</v>
      </c>
      <c r="Y561" s="30"/>
      <c r="Z561" s="169">
        <f t="shared" si="2"/>
        <v>0</v>
      </c>
      <c r="AA561" s="167">
        <f t="shared" si="3"/>
        <v>0</v>
      </c>
      <c r="AB561" s="161"/>
      <c r="AC561" s="161">
        <f t="shared" si="4"/>
        <v>0</v>
      </c>
      <c r="AD561" s="161">
        <f t="shared" si="5"/>
        <v>0</v>
      </c>
      <c r="AE561" s="161">
        <f t="shared" si="6"/>
        <v>0</v>
      </c>
      <c r="AF561" s="167">
        <f t="shared" si="7"/>
        <v>0</v>
      </c>
      <c r="AG561" s="167">
        <f t="shared" si="8"/>
        <v>0</v>
      </c>
      <c r="AH561" s="158"/>
      <c r="AI561" s="158"/>
    </row>
    <row r="562" ht="12.75" customHeight="1">
      <c r="B562" s="160" t="str">
        <f>iferror(VLOOKUP((LEFT(A562,6)),CUSTOMER_DETAILS,2,FALSE),"-")</f>
        <v>-</v>
      </c>
      <c r="C562" s="161" t="s">
        <v>89</v>
      </c>
      <c r="D562" s="162"/>
      <c r="E562" s="161" t="s">
        <v>89</v>
      </c>
      <c r="F562" s="30" t="s">
        <v>89</v>
      </c>
      <c r="G562" s="30" t="s">
        <v>89</v>
      </c>
      <c r="H562" s="30" t="s">
        <v>89</v>
      </c>
      <c r="I562" s="48" t="s">
        <v>108</v>
      </c>
      <c r="J562" s="188" t="str">
        <f t="shared" si="15"/>
        <v/>
      </c>
      <c r="L562" s="48" t="s">
        <v>108</v>
      </c>
      <c r="O562" s="30" t="s">
        <v>89</v>
      </c>
      <c r="Q562" s="192"/>
      <c r="R562" s="161" t="str">
        <f>IFERROR(VLOOKUP(Q562,'PRODUCT TABLE'!$A$2:$B$26,2,FALSE),"-")</f>
        <v>-</v>
      </c>
      <c r="V562" s="161">
        <f t="shared" si="14"/>
        <v>0</v>
      </c>
      <c r="Y562" s="30"/>
      <c r="Z562" s="169">
        <f t="shared" si="2"/>
        <v>0</v>
      </c>
      <c r="AA562" s="167">
        <f t="shared" si="3"/>
        <v>0</v>
      </c>
      <c r="AB562" s="161"/>
      <c r="AC562" s="161">
        <f t="shared" si="4"/>
        <v>0</v>
      </c>
      <c r="AD562" s="161">
        <f t="shared" si="5"/>
        <v>0</v>
      </c>
      <c r="AE562" s="161">
        <f t="shared" si="6"/>
        <v>0</v>
      </c>
      <c r="AF562" s="167">
        <f t="shared" si="7"/>
        <v>0</v>
      </c>
      <c r="AG562" s="167">
        <f t="shared" si="8"/>
        <v>0</v>
      </c>
      <c r="AH562" s="158"/>
      <c r="AI562" s="158"/>
    </row>
    <row r="563" ht="12.75" customHeight="1">
      <c r="B563" s="160" t="str">
        <f>iferror(VLOOKUP((LEFT(A563,6)),CUSTOMER_DETAILS,2,FALSE),"-")</f>
        <v>-</v>
      </c>
      <c r="C563" s="161" t="s">
        <v>89</v>
      </c>
      <c r="D563" s="162"/>
      <c r="E563" s="161" t="s">
        <v>89</v>
      </c>
      <c r="F563" s="30" t="s">
        <v>89</v>
      </c>
      <c r="G563" s="30" t="s">
        <v>89</v>
      </c>
      <c r="H563" s="30" t="s">
        <v>89</v>
      </c>
      <c r="I563" s="48" t="s">
        <v>108</v>
      </c>
      <c r="J563" s="188" t="str">
        <f t="shared" si="15"/>
        <v/>
      </c>
      <c r="L563" s="48" t="s">
        <v>108</v>
      </c>
      <c r="O563" s="30" t="s">
        <v>89</v>
      </c>
      <c r="Q563" s="192"/>
      <c r="R563" s="161" t="str">
        <f>IFERROR(VLOOKUP(Q563,'PRODUCT TABLE'!$A$2:$B$26,2,FALSE),"-")</f>
        <v>-</v>
      </c>
      <c r="V563" s="161">
        <f t="shared" si="14"/>
        <v>0</v>
      </c>
      <c r="Y563" s="30"/>
      <c r="Z563" s="169">
        <f t="shared" si="2"/>
        <v>0</v>
      </c>
      <c r="AA563" s="167">
        <f t="shared" si="3"/>
        <v>0</v>
      </c>
      <c r="AB563" s="161"/>
      <c r="AC563" s="161">
        <f t="shared" si="4"/>
        <v>0</v>
      </c>
      <c r="AD563" s="161">
        <f t="shared" si="5"/>
        <v>0</v>
      </c>
      <c r="AE563" s="161">
        <f t="shared" si="6"/>
        <v>0</v>
      </c>
      <c r="AF563" s="167">
        <f t="shared" si="7"/>
        <v>0</v>
      </c>
      <c r="AG563" s="167">
        <f t="shared" si="8"/>
        <v>0</v>
      </c>
      <c r="AH563" s="158"/>
      <c r="AI563" s="158"/>
    </row>
    <row r="564" ht="12.75" customHeight="1">
      <c r="B564" s="160" t="str">
        <f>iferror(VLOOKUP((LEFT(A564,6)),CUSTOMER_DETAILS,2,FALSE),"-")</f>
        <v>-</v>
      </c>
      <c r="C564" s="161" t="s">
        <v>89</v>
      </c>
      <c r="D564" s="162"/>
      <c r="E564" s="161" t="s">
        <v>89</v>
      </c>
      <c r="F564" s="30" t="s">
        <v>89</v>
      </c>
      <c r="G564" s="30" t="s">
        <v>89</v>
      </c>
      <c r="H564" s="30" t="s">
        <v>89</v>
      </c>
      <c r="I564" s="48" t="s">
        <v>108</v>
      </c>
      <c r="J564" s="188" t="str">
        <f t="shared" si="15"/>
        <v/>
      </c>
      <c r="L564" s="48" t="s">
        <v>108</v>
      </c>
      <c r="O564" s="30" t="s">
        <v>89</v>
      </c>
      <c r="Q564" s="192"/>
      <c r="R564" s="161" t="str">
        <f>IFERROR(VLOOKUP(Q564,'PRODUCT TABLE'!$A$2:$B$26,2,FALSE),"-")</f>
        <v>-</v>
      </c>
      <c r="V564" s="161">
        <f t="shared" si="14"/>
        <v>0</v>
      </c>
      <c r="Y564" s="30"/>
      <c r="Z564" s="169">
        <f t="shared" si="2"/>
        <v>0</v>
      </c>
      <c r="AA564" s="167">
        <f t="shared" si="3"/>
        <v>0</v>
      </c>
      <c r="AB564" s="161"/>
      <c r="AC564" s="161">
        <f t="shared" si="4"/>
        <v>0</v>
      </c>
      <c r="AD564" s="161">
        <f t="shared" si="5"/>
        <v>0</v>
      </c>
      <c r="AE564" s="161">
        <f t="shared" si="6"/>
        <v>0</v>
      </c>
      <c r="AF564" s="167">
        <f t="shared" si="7"/>
        <v>0</v>
      </c>
      <c r="AG564" s="167">
        <f t="shared" si="8"/>
        <v>0</v>
      </c>
      <c r="AH564" s="158"/>
      <c r="AI564" s="158"/>
    </row>
    <row r="565" ht="12.75" customHeight="1">
      <c r="B565" s="160" t="str">
        <f>iferror(VLOOKUP((LEFT(A565,6)),CUSTOMER_DETAILS,2,FALSE),"-")</f>
        <v>-</v>
      </c>
      <c r="C565" s="161" t="s">
        <v>89</v>
      </c>
      <c r="D565" s="162"/>
      <c r="E565" s="161" t="s">
        <v>89</v>
      </c>
      <c r="F565" s="30" t="s">
        <v>89</v>
      </c>
      <c r="G565" s="30" t="s">
        <v>89</v>
      </c>
      <c r="H565" s="30" t="s">
        <v>89</v>
      </c>
      <c r="I565" s="48" t="s">
        <v>108</v>
      </c>
      <c r="J565" s="188" t="str">
        <f t="shared" si="15"/>
        <v/>
      </c>
      <c r="L565" s="48" t="s">
        <v>108</v>
      </c>
      <c r="O565" s="30" t="s">
        <v>89</v>
      </c>
      <c r="Q565" s="192"/>
      <c r="R565" s="161" t="str">
        <f>IFERROR(VLOOKUP(Q565,'PRODUCT TABLE'!$A$2:$B$26,2,FALSE),"-")</f>
        <v>-</v>
      </c>
      <c r="V565" s="161">
        <f t="shared" si="14"/>
        <v>0</v>
      </c>
      <c r="Y565" s="30"/>
      <c r="Z565" s="169">
        <f t="shared" si="2"/>
        <v>0</v>
      </c>
      <c r="AA565" s="167">
        <f t="shared" si="3"/>
        <v>0</v>
      </c>
      <c r="AB565" s="161"/>
      <c r="AC565" s="161">
        <f t="shared" si="4"/>
        <v>0</v>
      </c>
      <c r="AD565" s="161">
        <f t="shared" si="5"/>
        <v>0</v>
      </c>
      <c r="AE565" s="161">
        <f t="shared" si="6"/>
        <v>0</v>
      </c>
      <c r="AF565" s="167">
        <f t="shared" si="7"/>
        <v>0</v>
      </c>
      <c r="AG565" s="167">
        <f t="shared" si="8"/>
        <v>0</v>
      </c>
      <c r="AH565" s="158"/>
      <c r="AI565" s="158"/>
    </row>
    <row r="566" ht="12.75" customHeight="1">
      <c r="B566" s="160" t="str">
        <f>iferror(VLOOKUP((LEFT(A566,6)),CUSTOMER_DETAILS,2,FALSE),"-")</f>
        <v>-</v>
      </c>
      <c r="C566" s="161" t="s">
        <v>89</v>
      </c>
      <c r="D566" s="162"/>
      <c r="E566" s="161" t="s">
        <v>89</v>
      </c>
      <c r="F566" s="30" t="s">
        <v>89</v>
      </c>
      <c r="G566" s="30" t="s">
        <v>89</v>
      </c>
      <c r="H566" s="30" t="s">
        <v>89</v>
      </c>
      <c r="I566" s="48" t="s">
        <v>108</v>
      </c>
      <c r="J566" s="188" t="str">
        <f t="shared" si="15"/>
        <v/>
      </c>
      <c r="L566" s="48" t="s">
        <v>108</v>
      </c>
      <c r="O566" s="30" t="s">
        <v>89</v>
      </c>
      <c r="Q566" s="192"/>
      <c r="R566" s="161" t="str">
        <f>IFERROR(VLOOKUP(Q566,'PRODUCT TABLE'!$A$2:$B$26,2,FALSE),"-")</f>
        <v>-</v>
      </c>
      <c r="V566" s="161">
        <f t="shared" si="14"/>
        <v>0</v>
      </c>
      <c r="Y566" s="30"/>
      <c r="Z566" s="169">
        <f t="shared" si="2"/>
        <v>0</v>
      </c>
      <c r="AA566" s="167">
        <f t="shared" si="3"/>
        <v>0</v>
      </c>
      <c r="AB566" s="161"/>
      <c r="AC566" s="161">
        <f t="shared" si="4"/>
        <v>0</v>
      </c>
      <c r="AD566" s="161">
        <f t="shared" si="5"/>
        <v>0</v>
      </c>
      <c r="AE566" s="161">
        <f t="shared" si="6"/>
        <v>0</v>
      </c>
      <c r="AF566" s="167">
        <f t="shared" si="7"/>
        <v>0</v>
      </c>
      <c r="AG566" s="167">
        <f t="shared" si="8"/>
        <v>0</v>
      </c>
      <c r="AH566" s="158"/>
      <c r="AI566" s="158"/>
    </row>
    <row r="567" ht="12.75" customHeight="1">
      <c r="B567" s="160" t="str">
        <f>iferror(VLOOKUP((LEFT(A567,6)),CUSTOMER_DETAILS,2,FALSE),"-")</f>
        <v>-</v>
      </c>
      <c r="C567" s="161" t="s">
        <v>89</v>
      </c>
      <c r="D567" s="162"/>
      <c r="E567" s="161" t="s">
        <v>89</v>
      </c>
      <c r="F567" s="30" t="s">
        <v>89</v>
      </c>
      <c r="G567" s="30" t="s">
        <v>89</v>
      </c>
      <c r="H567" s="30" t="s">
        <v>89</v>
      </c>
      <c r="I567" s="48" t="s">
        <v>108</v>
      </c>
      <c r="J567" s="188" t="str">
        <f t="shared" si="15"/>
        <v/>
      </c>
      <c r="L567" s="48" t="s">
        <v>108</v>
      </c>
      <c r="O567" s="30" t="s">
        <v>89</v>
      </c>
      <c r="Q567" s="192"/>
      <c r="R567" s="161" t="str">
        <f>IFERROR(VLOOKUP(Q567,'PRODUCT TABLE'!$A$2:$B$26,2,FALSE),"-")</f>
        <v>-</v>
      </c>
      <c r="V567" s="161">
        <f t="shared" si="14"/>
        <v>0</v>
      </c>
      <c r="Y567" s="30"/>
      <c r="Z567" s="169">
        <f t="shared" si="2"/>
        <v>0</v>
      </c>
      <c r="AA567" s="167">
        <f t="shared" si="3"/>
        <v>0</v>
      </c>
      <c r="AB567" s="161"/>
      <c r="AC567" s="161">
        <f t="shared" si="4"/>
        <v>0</v>
      </c>
      <c r="AD567" s="161">
        <f t="shared" si="5"/>
        <v>0</v>
      </c>
      <c r="AE567" s="161">
        <f t="shared" si="6"/>
        <v>0</v>
      </c>
      <c r="AF567" s="167">
        <f t="shared" si="7"/>
        <v>0</v>
      </c>
      <c r="AG567" s="167">
        <f t="shared" si="8"/>
        <v>0</v>
      </c>
      <c r="AH567" s="158"/>
      <c r="AI567" s="158"/>
    </row>
    <row r="568" ht="12.75" customHeight="1">
      <c r="B568" s="160" t="str">
        <f>iferror(VLOOKUP((LEFT(A568,6)),CUSTOMER_DETAILS,2,FALSE),"-")</f>
        <v>-</v>
      </c>
      <c r="C568" s="161" t="s">
        <v>89</v>
      </c>
      <c r="D568" s="162"/>
      <c r="E568" s="161" t="s">
        <v>89</v>
      </c>
      <c r="F568" s="30" t="s">
        <v>89</v>
      </c>
      <c r="G568" s="30" t="s">
        <v>89</v>
      </c>
      <c r="H568" s="30" t="s">
        <v>89</v>
      </c>
      <c r="I568" s="48" t="s">
        <v>108</v>
      </c>
      <c r="J568" s="188" t="str">
        <f t="shared" si="15"/>
        <v/>
      </c>
      <c r="L568" s="48" t="s">
        <v>108</v>
      </c>
      <c r="O568" s="30" t="s">
        <v>89</v>
      </c>
      <c r="Q568" s="192"/>
      <c r="R568" s="161" t="str">
        <f>IFERROR(VLOOKUP(Q568,'PRODUCT TABLE'!$A$2:$B$26,2,FALSE),"-")</f>
        <v>-</v>
      </c>
      <c r="V568" s="161">
        <f t="shared" si="14"/>
        <v>0</v>
      </c>
      <c r="Y568" s="30"/>
      <c r="Z568" s="169">
        <f t="shared" si="2"/>
        <v>0</v>
      </c>
      <c r="AA568" s="167">
        <f t="shared" si="3"/>
        <v>0</v>
      </c>
      <c r="AB568" s="161"/>
      <c r="AC568" s="161">
        <f t="shared" si="4"/>
        <v>0</v>
      </c>
      <c r="AD568" s="161">
        <f t="shared" si="5"/>
        <v>0</v>
      </c>
      <c r="AE568" s="161">
        <f t="shared" si="6"/>
        <v>0</v>
      </c>
      <c r="AF568" s="167">
        <f t="shared" si="7"/>
        <v>0</v>
      </c>
      <c r="AG568" s="167">
        <f t="shared" si="8"/>
        <v>0</v>
      </c>
      <c r="AH568" s="158"/>
      <c r="AI568" s="158"/>
    </row>
    <row r="569" ht="12.75" customHeight="1">
      <c r="B569" s="160" t="str">
        <f>iferror(VLOOKUP((LEFT(A569,6)),CUSTOMER_DETAILS,2,FALSE),"-")</f>
        <v>-</v>
      </c>
      <c r="C569" s="161" t="s">
        <v>89</v>
      </c>
      <c r="D569" s="162"/>
      <c r="E569" s="161" t="s">
        <v>89</v>
      </c>
      <c r="F569" s="30" t="s">
        <v>89</v>
      </c>
      <c r="G569" s="30" t="s">
        <v>89</v>
      </c>
      <c r="H569" s="30" t="s">
        <v>89</v>
      </c>
      <c r="I569" s="48" t="s">
        <v>108</v>
      </c>
      <c r="J569" s="188" t="str">
        <f t="shared" si="15"/>
        <v/>
      </c>
      <c r="L569" s="48" t="s">
        <v>108</v>
      </c>
      <c r="O569" s="30" t="s">
        <v>89</v>
      </c>
      <c r="Q569" s="192"/>
      <c r="R569" s="161" t="str">
        <f>IFERROR(VLOOKUP(Q569,'PRODUCT TABLE'!$A$2:$B$26,2,FALSE),"-")</f>
        <v>-</v>
      </c>
      <c r="V569" s="161">
        <f t="shared" si="14"/>
        <v>0</v>
      </c>
      <c r="Y569" s="30"/>
      <c r="Z569" s="169">
        <f t="shared" si="2"/>
        <v>0</v>
      </c>
      <c r="AA569" s="167">
        <f t="shared" si="3"/>
        <v>0</v>
      </c>
      <c r="AB569" s="161"/>
      <c r="AC569" s="161">
        <f t="shared" si="4"/>
        <v>0</v>
      </c>
      <c r="AD569" s="161">
        <f t="shared" si="5"/>
        <v>0</v>
      </c>
      <c r="AE569" s="161">
        <f t="shared" si="6"/>
        <v>0</v>
      </c>
      <c r="AF569" s="167">
        <f t="shared" si="7"/>
        <v>0</v>
      </c>
      <c r="AG569" s="167">
        <f t="shared" si="8"/>
        <v>0</v>
      </c>
      <c r="AH569" s="158"/>
      <c r="AI569" s="158"/>
    </row>
    <row r="570" ht="12.75" customHeight="1">
      <c r="B570" s="160" t="str">
        <f>iferror(VLOOKUP((LEFT(A570,6)),CUSTOMER_DETAILS,2,FALSE),"-")</f>
        <v>-</v>
      </c>
      <c r="C570" s="161" t="s">
        <v>89</v>
      </c>
      <c r="D570" s="162"/>
      <c r="E570" s="161" t="s">
        <v>89</v>
      </c>
      <c r="F570" s="30" t="s">
        <v>89</v>
      </c>
      <c r="G570" s="30" t="s">
        <v>89</v>
      </c>
      <c r="H570" s="30" t="s">
        <v>89</v>
      </c>
      <c r="I570" s="48" t="s">
        <v>108</v>
      </c>
      <c r="J570" s="188" t="str">
        <f t="shared" si="15"/>
        <v/>
      </c>
      <c r="L570" s="48" t="s">
        <v>108</v>
      </c>
      <c r="O570" s="30" t="s">
        <v>89</v>
      </c>
      <c r="Q570" s="192"/>
      <c r="R570" s="161" t="str">
        <f>IFERROR(VLOOKUP(Q570,'PRODUCT TABLE'!$A$2:$B$26,2,FALSE),"-")</f>
        <v>-</v>
      </c>
      <c r="V570" s="161">
        <f t="shared" si="14"/>
        <v>0</v>
      </c>
      <c r="Y570" s="30"/>
      <c r="Z570" s="169">
        <f t="shared" si="2"/>
        <v>0</v>
      </c>
      <c r="AA570" s="167">
        <f t="shared" si="3"/>
        <v>0</v>
      </c>
      <c r="AB570" s="161"/>
      <c r="AC570" s="161">
        <f t="shared" si="4"/>
        <v>0</v>
      </c>
      <c r="AD570" s="161">
        <f t="shared" si="5"/>
        <v>0</v>
      </c>
      <c r="AE570" s="161">
        <f t="shared" si="6"/>
        <v>0</v>
      </c>
      <c r="AF570" s="167">
        <f t="shared" si="7"/>
        <v>0</v>
      </c>
      <c r="AG570" s="167">
        <f t="shared" si="8"/>
        <v>0</v>
      </c>
      <c r="AH570" s="158"/>
      <c r="AI570" s="158"/>
    </row>
    <row r="571" ht="12.75" customHeight="1">
      <c r="B571" s="160" t="str">
        <f>iferror(VLOOKUP((LEFT(A571,6)),CUSTOMER_DETAILS,2,FALSE),"-")</f>
        <v>-</v>
      </c>
      <c r="C571" s="161" t="s">
        <v>89</v>
      </c>
      <c r="D571" s="162"/>
      <c r="E571" s="161" t="s">
        <v>89</v>
      </c>
      <c r="F571" s="30" t="s">
        <v>89</v>
      </c>
      <c r="G571" s="30" t="s">
        <v>89</v>
      </c>
      <c r="H571" s="30" t="s">
        <v>89</v>
      </c>
      <c r="I571" s="48" t="s">
        <v>108</v>
      </c>
      <c r="J571" s="188" t="str">
        <f t="shared" si="15"/>
        <v/>
      </c>
      <c r="L571" s="48" t="s">
        <v>108</v>
      </c>
      <c r="O571" s="30" t="s">
        <v>89</v>
      </c>
      <c r="Q571" s="192"/>
      <c r="R571" s="161" t="str">
        <f>IFERROR(VLOOKUP(Q571,'PRODUCT TABLE'!$A$2:$B$26,2,FALSE),"-")</f>
        <v>-</v>
      </c>
      <c r="V571" s="161">
        <f t="shared" si="14"/>
        <v>0</v>
      </c>
      <c r="Y571" s="30"/>
      <c r="Z571" s="169">
        <f t="shared" si="2"/>
        <v>0</v>
      </c>
      <c r="AA571" s="167">
        <f t="shared" si="3"/>
        <v>0</v>
      </c>
      <c r="AB571" s="161"/>
      <c r="AC571" s="161">
        <f t="shared" si="4"/>
        <v>0</v>
      </c>
      <c r="AD571" s="161">
        <f t="shared" si="5"/>
        <v>0</v>
      </c>
      <c r="AE571" s="161">
        <f t="shared" si="6"/>
        <v>0</v>
      </c>
      <c r="AF571" s="167">
        <f t="shared" si="7"/>
        <v>0</v>
      </c>
      <c r="AG571" s="167">
        <f t="shared" si="8"/>
        <v>0</v>
      </c>
      <c r="AH571" s="158"/>
      <c r="AI571" s="158"/>
    </row>
    <row r="572" ht="12.75" customHeight="1">
      <c r="B572" s="160" t="str">
        <f>iferror(VLOOKUP((LEFT(A572,6)),CUSTOMER_DETAILS,2,FALSE),"-")</f>
        <v>-</v>
      </c>
      <c r="C572" s="161" t="s">
        <v>89</v>
      </c>
      <c r="D572" s="162"/>
      <c r="E572" s="161" t="s">
        <v>89</v>
      </c>
      <c r="F572" s="30" t="s">
        <v>89</v>
      </c>
      <c r="G572" s="30" t="s">
        <v>89</v>
      </c>
      <c r="H572" s="30" t="s">
        <v>89</v>
      </c>
      <c r="I572" s="48" t="s">
        <v>108</v>
      </c>
      <c r="J572" s="188" t="str">
        <f t="shared" si="15"/>
        <v/>
      </c>
      <c r="L572" s="48" t="s">
        <v>108</v>
      </c>
      <c r="O572" s="30" t="s">
        <v>89</v>
      </c>
      <c r="Q572" s="192"/>
      <c r="R572" s="161" t="str">
        <f>IFERROR(VLOOKUP(Q572,'PRODUCT TABLE'!$A$2:$B$26,2,FALSE),"-")</f>
        <v>-</v>
      </c>
      <c r="V572" s="161">
        <f t="shared" si="14"/>
        <v>0</v>
      </c>
      <c r="Y572" s="30"/>
      <c r="Z572" s="169">
        <f t="shared" si="2"/>
        <v>0</v>
      </c>
      <c r="AA572" s="167">
        <f t="shared" si="3"/>
        <v>0</v>
      </c>
      <c r="AB572" s="161"/>
      <c r="AC572" s="161">
        <f t="shared" si="4"/>
        <v>0</v>
      </c>
      <c r="AD572" s="161">
        <f t="shared" si="5"/>
        <v>0</v>
      </c>
      <c r="AE572" s="161">
        <f t="shared" si="6"/>
        <v>0</v>
      </c>
      <c r="AF572" s="167">
        <f t="shared" si="7"/>
        <v>0</v>
      </c>
      <c r="AG572" s="167">
        <f t="shared" si="8"/>
        <v>0</v>
      </c>
      <c r="AH572" s="158"/>
      <c r="AI572" s="158"/>
    </row>
    <row r="573" ht="12.75" customHeight="1">
      <c r="B573" s="160" t="str">
        <f>iferror(VLOOKUP((LEFT(A573,6)),CUSTOMER_DETAILS,2,FALSE),"-")</f>
        <v>-</v>
      </c>
      <c r="C573" s="161" t="s">
        <v>89</v>
      </c>
      <c r="D573" s="162"/>
      <c r="E573" s="161" t="s">
        <v>89</v>
      </c>
      <c r="F573" s="30" t="s">
        <v>89</v>
      </c>
      <c r="G573" s="30" t="s">
        <v>89</v>
      </c>
      <c r="H573" s="30" t="s">
        <v>89</v>
      </c>
      <c r="I573" s="48" t="s">
        <v>108</v>
      </c>
      <c r="J573" s="188" t="str">
        <f t="shared" si="15"/>
        <v/>
      </c>
      <c r="L573" s="48" t="s">
        <v>108</v>
      </c>
      <c r="O573" s="30" t="s">
        <v>89</v>
      </c>
      <c r="Q573" s="192"/>
      <c r="R573" s="161" t="str">
        <f>IFERROR(VLOOKUP(Q573,'PRODUCT TABLE'!$A$2:$B$26,2,FALSE),"-")</f>
        <v>-</v>
      </c>
      <c r="V573" s="161">
        <f t="shared" si="14"/>
        <v>0</v>
      </c>
      <c r="Y573" s="30"/>
      <c r="Z573" s="169">
        <f t="shared" si="2"/>
        <v>0</v>
      </c>
      <c r="AA573" s="167">
        <f t="shared" si="3"/>
        <v>0</v>
      </c>
      <c r="AB573" s="161"/>
      <c r="AC573" s="161">
        <f t="shared" si="4"/>
        <v>0</v>
      </c>
      <c r="AD573" s="161">
        <f t="shared" si="5"/>
        <v>0</v>
      </c>
      <c r="AE573" s="161">
        <f t="shared" si="6"/>
        <v>0</v>
      </c>
      <c r="AF573" s="167">
        <f t="shared" si="7"/>
        <v>0</v>
      </c>
      <c r="AG573" s="167">
        <f t="shared" si="8"/>
        <v>0</v>
      </c>
      <c r="AH573" s="158"/>
      <c r="AI573" s="158"/>
    </row>
    <row r="574" ht="12.75" customHeight="1">
      <c r="B574" s="160" t="str">
        <f>iferror(VLOOKUP((LEFT(A574,6)),CUSTOMER_DETAILS,2,FALSE),"-")</f>
        <v>-</v>
      </c>
      <c r="C574" s="161" t="s">
        <v>89</v>
      </c>
      <c r="D574" s="162"/>
      <c r="E574" s="161" t="s">
        <v>89</v>
      </c>
      <c r="F574" s="30" t="s">
        <v>89</v>
      </c>
      <c r="G574" s="30" t="s">
        <v>89</v>
      </c>
      <c r="H574" s="30" t="s">
        <v>89</v>
      </c>
      <c r="I574" s="48" t="s">
        <v>108</v>
      </c>
      <c r="J574" s="188" t="str">
        <f t="shared" si="15"/>
        <v/>
      </c>
      <c r="L574" s="48" t="s">
        <v>108</v>
      </c>
      <c r="O574" s="30" t="s">
        <v>89</v>
      </c>
      <c r="Q574" s="192"/>
      <c r="R574" s="161" t="str">
        <f>IFERROR(VLOOKUP(Q574,'PRODUCT TABLE'!$A$2:$B$26,2,FALSE),"-")</f>
        <v>-</v>
      </c>
      <c r="V574" s="161">
        <f t="shared" si="14"/>
        <v>0</v>
      </c>
      <c r="Y574" s="30"/>
      <c r="Z574" s="169">
        <f t="shared" si="2"/>
        <v>0</v>
      </c>
      <c r="AA574" s="167">
        <f t="shared" si="3"/>
        <v>0</v>
      </c>
      <c r="AB574" s="161"/>
      <c r="AC574" s="161">
        <f t="shared" si="4"/>
        <v>0</v>
      </c>
      <c r="AD574" s="161">
        <f t="shared" si="5"/>
        <v>0</v>
      </c>
      <c r="AE574" s="161">
        <f t="shared" si="6"/>
        <v>0</v>
      </c>
      <c r="AF574" s="167">
        <f t="shared" si="7"/>
        <v>0</v>
      </c>
      <c r="AG574" s="167">
        <f t="shared" si="8"/>
        <v>0</v>
      </c>
      <c r="AH574" s="158"/>
      <c r="AI574" s="158"/>
    </row>
    <row r="575" ht="12.75" customHeight="1">
      <c r="B575" s="160" t="str">
        <f>iferror(VLOOKUP((LEFT(A575,6)),CUSTOMER_DETAILS,2,FALSE),"-")</f>
        <v>-</v>
      </c>
      <c r="C575" s="161" t="s">
        <v>89</v>
      </c>
      <c r="D575" s="162"/>
      <c r="E575" s="161" t="s">
        <v>89</v>
      </c>
      <c r="F575" s="30" t="s">
        <v>89</v>
      </c>
      <c r="G575" s="30" t="s">
        <v>89</v>
      </c>
      <c r="H575" s="30" t="s">
        <v>89</v>
      </c>
      <c r="I575" s="48" t="s">
        <v>108</v>
      </c>
      <c r="J575" s="188" t="str">
        <f t="shared" si="15"/>
        <v/>
      </c>
      <c r="L575" s="48" t="s">
        <v>108</v>
      </c>
      <c r="O575" s="30" t="s">
        <v>89</v>
      </c>
      <c r="Q575" s="192"/>
      <c r="R575" s="161" t="str">
        <f>IFERROR(VLOOKUP(Q575,'PRODUCT TABLE'!$A$2:$B$26,2,FALSE),"-")</f>
        <v>-</v>
      </c>
      <c r="V575" s="161">
        <f t="shared" si="14"/>
        <v>0</v>
      </c>
      <c r="Y575" s="30"/>
      <c r="Z575" s="169">
        <f t="shared" si="2"/>
        <v>0</v>
      </c>
      <c r="AA575" s="167">
        <f t="shared" si="3"/>
        <v>0</v>
      </c>
      <c r="AB575" s="161"/>
      <c r="AC575" s="161">
        <f t="shared" si="4"/>
        <v>0</v>
      </c>
      <c r="AD575" s="161">
        <f t="shared" si="5"/>
        <v>0</v>
      </c>
      <c r="AE575" s="161">
        <f t="shared" si="6"/>
        <v>0</v>
      </c>
      <c r="AF575" s="167">
        <f t="shared" si="7"/>
        <v>0</v>
      </c>
      <c r="AG575" s="167">
        <f t="shared" si="8"/>
        <v>0</v>
      </c>
      <c r="AH575" s="158"/>
      <c r="AI575" s="158"/>
    </row>
    <row r="576" ht="12.75" customHeight="1">
      <c r="B576" s="160" t="str">
        <f>iferror(VLOOKUP((LEFT(A576,6)),CUSTOMER_DETAILS,2,FALSE),"-")</f>
        <v>-</v>
      </c>
      <c r="C576" s="161" t="s">
        <v>89</v>
      </c>
      <c r="D576" s="162"/>
      <c r="E576" s="161" t="s">
        <v>89</v>
      </c>
      <c r="F576" s="30" t="s">
        <v>89</v>
      </c>
      <c r="G576" s="30" t="s">
        <v>89</v>
      </c>
      <c r="H576" s="30" t="s">
        <v>89</v>
      </c>
      <c r="I576" s="48" t="s">
        <v>108</v>
      </c>
      <c r="J576" s="188" t="str">
        <f t="shared" si="15"/>
        <v/>
      </c>
      <c r="L576" s="48" t="s">
        <v>108</v>
      </c>
      <c r="O576" s="30" t="s">
        <v>89</v>
      </c>
      <c r="Q576" s="192"/>
      <c r="R576" s="161" t="str">
        <f>IFERROR(VLOOKUP(Q576,'PRODUCT TABLE'!$A$2:$B$26,2,FALSE),"-")</f>
        <v>-</v>
      </c>
      <c r="V576" s="161">
        <f t="shared" si="14"/>
        <v>0</v>
      </c>
      <c r="Y576" s="30"/>
      <c r="Z576" s="169">
        <f t="shared" si="2"/>
        <v>0</v>
      </c>
      <c r="AA576" s="167">
        <f t="shared" si="3"/>
        <v>0</v>
      </c>
      <c r="AB576" s="161"/>
      <c r="AC576" s="161">
        <f t="shared" si="4"/>
        <v>0</v>
      </c>
      <c r="AD576" s="161">
        <f t="shared" si="5"/>
        <v>0</v>
      </c>
      <c r="AE576" s="161">
        <f t="shared" si="6"/>
        <v>0</v>
      </c>
      <c r="AF576" s="167">
        <f t="shared" si="7"/>
        <v>0</v>
      </c>
      <c r="AG576" s="167">
        <f t="shared" si="8"/>
        <v>0</v>
      </c>
      <c r="AH576" s="158"/>
      <c r="AI576" s="158"/>
    </row>
    <row r="577" ht="12.75" customHeight="1">
      <c r="B577" s="160" t="str">
        <f>iferror(VLOOKUP((LEFT(A577,6)),CUSTOMER_DETAILS,2,FALSE),"-")</f>
        <v>-</v>
      </c>
      <c r="C577" s="161" t="s">
        <v>89</v>
      </c>
      <c r="D577" s="162"/>
      <c r="E577" s="161" t="s">
        <v>89</v>
      </c>
      <c r="F577" s="30" t="s">
        <v>89</v>
      </c>
      <c r="G577" s="30" t="s">
        <v>89</v>
      </c>
      <c r="H577" s="30" t="s">
        <v>89</v>
      </c>
      <c r="I577" s="48" t="s">
        <v>108</v>
      </c>
      <c r="J577" s="188" t="str">
        <f t="shared" si="15"/>
        <v/>
      </c>
      <c r="L577" s="48" t="s">
        <v>108</v>
      </c>
      <c r="O577" s="30" t="s">
        <v>89</v>
      </c>
      <c r="Q577" s="192"/>
      <c r="R577" s="161" t="str">
        <f>IFERROR(VLOOKUP(Q577,'PRODUCT TABLE'!$A$2:$B$26,2,FALSE),"-")</f>
        <v>-</v>
      </c>
      <c r="V577" s="161">
        <f t="shared" si="14"/>
        <v>0</v>
      </c>
      <c r="Y577" s="30"/>
      <c r="Z577" s="169">
        <f t="shared" si="2"/>
        <v>0</v>
      </c>
      <c r="AA577" s="167">
        <f t="shared" si="3"/>
        <v>0</v>
      </c>
      <c r="AB577" s="161"/>
      <c r="AC577" s="161">
        <f t="shared" si="4"/>
        <v>0</v>
      </c>
      <c r="AD577" s="161">
        <f t="shared" si="5"/>
        <v>0</v>
      </c>
      <c r="AE577" s="161">
        <f t="shared" si="6"/>
        <v>0</v>
      </c>
      <c r="AF577" s="167">
        <f t="shared" si="7"/>
        <v>0</v>
      </c>
      <c r="AG577" s="167">
        <f t="shared" si="8"/>
        <v>0</v>
      </c>
      <c r="AH577" s="158"/>
      <c r="AI577" s="158"/>
    </row>
    <row r="578" ht="12.75" customHeight="1">
      <c r="B578" s="160" t="str">
        <f>iferror(VLOOKUP((LEFT(A578,6)),CUSTOMER_DETAILS,2,FALSE),"-")</f>
        <v>-</v>
      </c>
      <c r="C578" s="161" t="s">
        <v>89</v>
      </c>
      <c r="D578" s="162"/>
      <c r="E578" s="161" t="s">
        <v>89</v>
      </c>
      <c r="F578" s="30" t="s">
        <v>89</v>
      </c>
      <c r="G578" s="30" t="s">
        <v>89</v>
      </c>
      <c r="H578" s="30" t="s">
        <v>89</v>
      </c>
      <c r="I578" s="48" t="s">
        <v>108</v>
      </c>
      <c r="J578" s="188" t="str">
        <f t="shared" si="15"/>
        <v/>
      </c>
      <c r="L578" s="48" t="s">
        <v>108</v>
      </c>
      <c r="O578" s="30" t="s">
        <v>89</v>
      </c>
      <c r="Q578" s="192"/>
      <c r="R578" s="161" t="str">
        <f>IFERROR(VLOOKUP(Q578,'PRODUCT TABLE'!$A$2:$B$26,2,FALSE),"-")</f>
        <v>-</v>
      </c>
      <c r="V578" s="161">
        <f t="shared" si="14"/>
        <v>0</v>
      </c>
      <c r="Y578" s="30"/>
      <c r="Z578" s="169">
        <f t="shared" si="2"/>
        <v>0</v>
      </c>
      <c r="AA578" s="167">
        <f t="shared" si="3"/>
        <v>0</v>
      </c>
      <c r="AB578" s="161"/>
      <c r="AC578" s="161">
        <f t="shared" si="4"/>
        <v>0</v>
      </c>
      <c r="AD578" s="161">
        <f t="shared" si="5"/>
        <v>0</v>
      </c>
      <c r="AE578" s="161">
        <f t="shared" si="6"/>
        <v>0</v>
      </c>
      <c r="AF578" s="167">
        <f t="shared" si="7"/>
        <v>0</v>
      </c>
      <c r="AG578" s="167">
        <f t="shared" si="8"/>
        <v>0</v>
      </c>
      <c r="AH578" s="158"/>
      <c r="AI578" s="158"/>
    </row>
    <row r="579" ht="12.75" customHeight="1">
      <c r="B579" s="160" t="str">
        <f>iferror(VLOOKUP((LEFT(A579,6)),CUSTOMER_DETAILS,2,FALSE),"-")</f>
        <v>-</v>
      </c>
      <c r="C579" s="161" t="s">
        <v>89</v>
      </c>
      <c r="D579" s="162"/>
      <c r="E579" s="161" t="s">
        <v>89</v>
      </c>
      <c r="F579" s="30" t="s">
        <v>89</v>
      </c>
      <c r="G579" s="30" t="s">
        <v>89</v>
      </c>
      <c r="H579" s="30" t="s">
        <v>89</v>
      </c>
      <c r="I579" s="48" t="s">
        <v>108</v>
      </c>
      <c r="J579" s="188" t="str">
        <f t="shared" si="15"/>
        <v/>
      </c>
      <c r="L579" s="48" t="s">
        <v>108</v>
      </c>
      <c r="O579" s="30" t="s">
        <v>89</v>
      </c>
      <c r="Q579" s="192"/>
      <c r="R579" s="161" t="str">
        <f>IFERROR(VLOOKUP(Q579,'PRODUCT TABLE'!$A$2:$B$26,2,FALSE),"-")</f>
        <v>-</v>
      </c>
      <c r="V579" s="161">
        <f t="shared" si="14"/>
        <v>0</v>
      </c>
      <c r="Y579" s="30"/>
      <c r="Z579" s="169">
        <f t="shared" si="2"/>
        <v>0</v>
      </c>
      <c r="AA579" s="167">
        <f t="shared" si="3"/>
        <v>0</v>
      </c>
      <c r="AB579" s="161"/>
      <c r="AC579" s="161">
        <f t="shared" si="4"/>
        <v>0</v>
      </c>
      <c r="AD579" s="161">
        <f t="shared" si="5"/>
        <v>0</v>
      </c>
      <c r="AE579" s="161">
        <f t="shared" si="6"/>
        <v>0</v>
      </c>
      <c r="AF579" s="167">
        <f t="shared" si="7"/>
        <v>0</v>
      </c>
      <c r="AG579" s="167">
        <f t="shared" si="8"/>
        <v>0</v>
      </c>
      <c r="AH579" s="158"/>
      <c r="AI579" s="158"/>
    </row>
    <row r="580" ht="12.75" customHeight="1">
      <c r="B580" s="160" t="str">
        <f>iferror(VLOOKUP((LEFT(A580,6)),CUSTOMER_DETAILS,2,FALSE),"-")</f>
        <v>-</v>
      </c>
      <c r="C580" s="161" t="s">
        <v>89</v>
      </c>
      <c r="D580" s="162"/>
      <c r="E580" s="161" t="s">
        <v>89</v>
      </c>
      <c r="F580" s="30" t="s">
        <v>89</v>
      </c>
      <c r="G580" s="30" t="s">
        <v>89</v>
      </c>
      <c r="H580" s="30" t="s">
        <v>89</v>
      </c>
      <c r="I580" s="48" t="s">
        <v>108</v>
      </c>
      <c r="J580" s="188" t="str">
        <f t="shared" si="15"/>
        <v/>
      </c>
      <c r="L580" s="48" t="s">
        <v>108</v>
      </c>
      <c r="O580" s="30" t="s">
        <v>89</v>
      </c>
      <c r="Q580" s="192"/>
      <c r="R580" s="161" t="str">
        <f>IFERROR(VLOOKUP(Q580,'PRODUCT TABLE'!$A$2:$B$26,2,FALSE),"-")</f>
        <v>-</v>
      </c>
      <c r="V580" s="161">
        <f t="shared" si="14"/>
        <v>0</v>
      </c>
      <c r="Y580" s="30"/>
      <c r="Z580" s="169">
        <f t="shared" si="2"/>
        <v>0</v>
      </c>
      <c r="AA580" s="167">
        <f t="shared" si="3"/>
        <v>0</v>
      </c>
      <c r="AB580" s="161"/>
      <c r="AC580" s="161">
        <f t="shared" si="4"/>
        <v>0</v>
      </c>
      <c r="AD580" s="161">
        <f t="shared" si="5"/>
        <v>0</v>
      </c>
      <c r="AE580" s="161">
        <f t="shared" si="6"/>
        <v>0</v>
      </c>
      <c r="AF580" s="167">
        <f t="shared" si="7"/>
        <v>0</v>
      </c>
      <c r="AG580" s="167">
        <f t="shared" si="8"/>
        <v>0</v>
      </c>
      <c r="AH580" s="158"/>
      <c r="AI580" s="158"/>
    </row>
    <row r="581" ht="12.75" customHeight="1">
      <c r="B581" s="160" t="str">
        <f>iferror(VLOOKUP((LEFT(A581,6)),CUSTOMER_DETAILS,2,FALSE),"-")</f>
        <v>-</v>
      </c>
      <c r="C581" s="161" t="s">
        <v>89</v>
      </c>
      <c r="D581" s="162"/>
      <c r="E581" s="161" t="s">
        <v>89</v>
      </c>
      <c r="F581" s="30" t="s">
        <v>89</v>
      </c>
      <c r="G581" s="30" t="s">
        <v>89</v>
      </c>
      <c r="H581" s="30" t="s">
        <v>89</v>
      </c>
      <c r="I581" s="48" t="s">
        <v>108</v>
      </c>
      <c r="J581" s="188" t="str">
        <f t="shared" si="15"/>
        <v/>
      </c>
      <c r="L581" s="48" t="s">
        <v>108</v>
      </c>
      <c r="O581" s="30" t="s">
        <v>89</v>
      </c>
      <c r="Q581" s="192"/>
      <c r="R581" s="161" t="str">
        <f>IFERROR(VLOOKUP(Q581,'PRODUCT TABLE'!$A$2:$B$26,2,FALSE),"-")</f>
        <v>-</v>
      </c>
      <c r="V581" s="161">
        <f t="shared" si="14"/>
        <v>0</v>
      </c>
      <c r="Y581" s="30"/>
      <c r="Z581" s="169">
        <f t="shared" si="2"/>
        <v>0</v>
      </c>
      <c r="AA581" s="167">
        <f t="shared" si="3"/>
        <v>0</v>
      </c>
      <c r="AB581" s="161"/>
      <c r="AC581" s="161">
        <f t="shared" si="4"/>
        <v>0</v>
      </c>
      <c r="AD581" s="161">
        <f t="shared" si="5"/>
        <v>0</v>
      </c>
      <c r="AE581" s="161">
        <f t="shared" si="6"/>
        <v>0</v>
      </c>
      <c r="AF581" s="167">
        <f t="shared" si="7"/>
        <v>0</v>
      </c>
      <c r="AG581" s="167">
        <f t="shared" si="8"/>
        <v>0</v>
      </c>
      <c r="AH581" s="158"/>
      <c r="AI581" s="158"/>
    </row>
    <row r="582" ht="12.75" customHeight="1">
      <c r="B582" s="160" t="str">
        <f>iferror(VLOOKUP((LEFT(A582,6)),CUSTOMER_DETAILS,2,FALSE),"-")</f>
        <v>-</v>
      </c>
      <c r="C582" s="161" t="s">
        <v>89</v>
      </c>
      <c r="D582" s="162"/>
      <c r="E582" s="161" t="s">
        <v>89</v>
      </c>
      <c r="F582" s="30" t="s">
        <v>89</v>
      </c>
      <c r="G582" s="30" t="s">
        <v>89</v>
      </c>
      <c r="H582" s="30" t="s">
        <v>89</v>
      </c>
      <c r="I582" s="48" t="s">
        <v>108</v>
      </c>
      <c r="J582" s="188" t="str">
        <f t="shared" si="15"/>
        <v/>
      </c>
      <c r="L582" s="48" t="s">
        <v>108</v>
      </c>
      <c r="O582" s="30" t="s">
        <v>89</v>
      </c>
      <c r="Q582" s="192"/>
      <c r="R582" s="161" t="str">
        <f>IFERROR(VLOOKUP(Q582,'PRODUCT TABLE'!$A$2:$B$26,2,FALSE),"-")</f>
        <v>-</v>
      </c>
      <c r="V582" s="161">
        <f t="shared" si="14"/>
        <v>0</v>
      </c>
      <c r="Y582" s="30"/>
      <c r="Z582" s="169">
        <f t="shared" si="2"/>
        <v>0</v>
      </c>
      <c r="AA582" s="167">
        <f t="shared" si="3"/>
        <v>0</v>
      </c>
      <c r="AB582" s="161"/>
      <c r="AC582" s="161">
        <f t="shared" si="4"/>
        <v>0</v>
      </c>
      <c r="AD582" s="161">
        <f t="shared" si="5"/>
        <v>0</v>
      </c>
      <c r="AE582" s="161">
        <f t="shared" si="6"/>
        <v>0</v>
      </c>
      <c r="AF582" s="167">
        <f t="shared" si="7"/>
        <v>0</v>
      </c>
      <c r="AG582" s="167">
        <f t="shared" si="8"/>
        <v>0</v>
      </c>
      <c r="AH582" s="158"/>
      <c r="AI582" s="158"/>
    </row>
    <row r="583" ht="12.75" customHeight="1">
      <c r="B583" s="160" t="str">
        <f>iferror(VLOOKUP((LEFT(A583,6)),CUSTOMER_DETAILS,2,FALSE),"-")</f>
        <v>-</v>
      </c>
      <c r="C583" s="161" t="s">
        <v>89</v>
      </c>
      <c r="D583" s="162"/>
      <c r="E583" s="161" t="s">
        <v>89</v>
      </c>
      <c r="F583" s="30" t="s">
        <v>89</v>
      </c>
      <c r="G583" s="30" t="s">
        <v>89</v>
      </c>
      <c r="H583" s="30" t="s">
        <v>89</v>
      </c>
      <c r="I583" s="48" t="s">
        <v>108</v>
      </c>
      <c r="J583" s="188" t="str">
        <f t="shared" si="15"/>
        <v/>
      </c>
      <c r="L583" s="48" t="s">
        <v>108</v>
      </c>
      <c r="O583" s="30" t="s">
        <v>89</v>
      </c>
      <c r="Q583" s="192"/>
      <c r="R583" s="161" t="str">
        <f>IFERROR(VLOOKUP(Q583,'PRODUCT TABLE'!$A$2:$B$26,2,FALSE),"-")</f>
        <v>-</v>
      </c>
      <c r="V583" s="161">
        <f t="shared" si="14"/>
        <v>0</v>
      </c>
      <c r="Y583" s="30"/>
      <c r="Z583" s="169">
        <f t="shared" si="2"/>
        <v>0</v>
      </c>
      <c r="AA583" s="167">
        <f t="shared" si="3"/>
        <v>0</v>
      </c>
      <c r="AB583" s="161"/>
      <c r="AC583" s="161">
        <f t="shared" si="4"/>
        <v>0</v>
      </c>
      <c r="AD583" s="161">
        <f t="shared" si="5"/>
        <v>0</v>
      </c>
      <c r="AE583" s="161">
        <f t="shared" si="6"/>
        <v>0</v>
      </c>
      <c r="AF583" s="167">
        <f t="shared" si="7"/>
        <v>0</v>
      </c>
      <c r="AG583" s="167">
        <f t="shared" si="8"/>
        <v>0</v>
      </c>
      <c r="AH583" s="158"/>
      <c r="AI583" s="158"/>
    </row>
    <row r="584" ht="12.75" customHeight="1">
      <c r="B584" s="160" t="str">
        <f>iferror(VLOOKUP((LEFT(A584,6)),CUSTOMER_DETAILS,2,FALSE),"-")</f>
        <v>-</v>
      </c>
      <c r="C584" s="161" t="s">
        <v>89</v>
      </c>
      <c r="D584" s="162"/>
      <c r="E584" s="161" t="s">
        <v>89</v>
      </c>
      <c r="F584" s="30" t="s">
        <v>89</v>
      </c>
      <c r="G584" s="30" t="s">
        <v>89</v>
      </c>
      <c r="H584" s="30" t="s">
        <v>89</v>
      </c>
      <c r="I584" s="48" t="s">
        <v>108</v>
      </c>
      <c r="J584" s="188" t="str">
        <f t="shared" si="15"/>
        <v/>
      </c>
      <c r="L584" s="48" t="s">
        <v>108</v>
      </c>
      <c r="O584" s="30" t="s">
        <v>89</v>
      </c>
      <c r="Q584" s="192"/>
      <c r="R584" s="161" t="str">
        <f>IFERROR(VLOOKUP(Q584,'PRODUCT TABLE'!$A$2:$B$26,2,FALSE),"-")</f>
        <v>-</v>
      </c>
      <c r="V584" s="161">
        <f t="shared" si="14"/>
        <v>0</v>
      </c>
      <c r="Y584" s="30"/>
      <c r="Z584" s="169">
        <f t="shared" si="2"/>
        <v>0</v>
      </c>
      <c r="AA584" s="167">
        <f t="shared" si="3"/>
        <v>0</v>
      </c>
      <c r="AB584" s="161"/>
      <c r="AC584" s="161">
        <f t="shared" si="4"/>
        <v>0</v>
      </c>
      <c r="AD584" s="161">
        <f t="shared" si="5"/>
        <v>0</v>
      </c>
      <c r="AE584" s="161">
        <f t="shared" si="6"/>
        <v>0</v>
      </c>
      <c r="AF584" s="167">
        <f t="shared" si="7"/>
        <v>0</v>
      </c>
      <c r="AG584" s="167">
        <f t="shared" si="8"/>
        <v>0</v>
      </c>
      <c r="AH584" s="158"/>
      <c r="AI584" s="158"/>
    </row>
    <row r="585" ht="12.75" customHeight="1">
      <c r="B585" s="160" t="str">
        <f>iferror(VLOOKUP((LEFT(A585,6)),CUSTOMER_DETAILS,2,FALSE),"-")</f>
        <v>-</v>
      </c>
      <c r="C585" s="161" t="s">
        <v>89</v>
      </c>
      <c r="D585" s="162"/>
      <c r="E585" s="161" t="s">
        <v>89</v>
      </c>
      <c r="F585" s="30" t="s">
        <v>89</v>
      </c>
      <c r="G585" s="30" t="s">
        <v>89</v>
      </c>
      <c r="H585" s="30" t="s">
        <v>89</v>
      </c>
      <c r="I585" s="48" t="s">
        <v>108</v>
      </c>
      <c r="J585" s="188" t="str">
        <f t="shared" si="15"/>
        <v/>
      </c>
      <c r="L585" s="48" t="s">
        <v>108</v>
      </c>
      <c r="O585" s="30" t="s">
        <v>89</v>
      </c>
      <c r="Q585" s="192"/>
      <c r="R585" s="161" t="str">
        <f>IFERROR(VLOOKUP(Q585,'PRODUCT TABLE'!$A$2:$B$26,2,FALSE),"-")</f>
        <v>-</v>
      </c>
      <c r="V585" s="161">
        <f t="shared" si="14"/>
        <v>0</v>
      </c>
      <c r="Y585" s="30"/>
      <c r="Z585" s="169">
        <f t="shared" si="2"/>
        <v>0</v>
      </c>
      <c r="AA585" s="167">
        <f t="shared" si="3"/>
        <v>0</v>
      </c>
      <c r="AB585" s="161"/>
      <c r="AC585" s="161">
        <f t="shared" si="4"/>
        <v>0</v>
      </c>
      <c r="AD585" s="161">
        <f t="shared" si="5"/>
        <v>0</v>
      </c>
      <c r="AE585" s="161">
        <f t="shared" si="6"/>
        <v>0</v>
      </c>
      <c r="AF585" s="167">
        <f t="shared" si="7"/>
        <v>0</v>
      </c>
      <c r="AG585" s="167">
        <f t="shared" si="8"/>
        <v>0</v>
      </c>
      <c r="AH585" s="158"/>
      <c r="AI585" s="158"/>
    </row>
    <row r="586" ht="12.75" customHeight="1">
      <c r="B586" s="160" t="str">
        <f>iferror(VLOOKUP((LEFT(A586,6)),CUSTOMER_DETAILS,2,FALSE),"-")</f>
        <v>-</v>
      </c>
      <c r="C586" s="161" t="s">
        <v>89</v>
      </c>
      <c r="D586" s="162"/>
      <c r="E586" s="161" t="s">
        <v>89</v>
      </c>
      <c r="F586" s="30" t="s">
        <v>89</v>
      </c>
      <c r="G586" s="30" t="s">
        <v>89</v>
      </c>
      <c r="H586" s="30" t="s">
        <v>89</v>
      </c>
      <c r="I586" s="48" t="s">
        <v>108</v>
      </c>
      <c r="J586" s="188" t="str">
        <f t="shared" si="15"/>
        <v/>
      </c>
      <c r="L586" s="48" t="s">
        <v>108</v>
      </c>
      <c r="O586" s="30" t="s">
        <v>89</v>
      </c>
      <c r="Q586" s="192"/>
      <c r="R586" s="161" t="str">
        <f>IFERROR(VLOOKUP(Q586,'PRODUCT TABLE'!$A$2:$B$26,2,FALSE),"-")</f>
        <v>-</v>
      </c>
      <c r="V586" s="161">
        <f t="shared" si="14"/>
        <v>0</v>
      </c>
      <c r="Y586" s="30"/>
      <c r="Z586" s="169">
        <f t="shared" si="2"/>
        <v>0</v>
      </c>
      <c r="AA586" s="167">
        <f t="shared" si="3"/>
        <v>0</v>
      </c>
      <c r="AB586" s="161"/>
      <c r="AC586" s="161">
        <f t="shared" si="4"/>
        <v>0</v>
      </c>
      <c r="AD586" s="161">
        <f t="shared" si="5"/>
        <v>0</v>
      </c>
      <c r="AE586" s="161">
        <f t="shared" si="6"/>
        <v>0</v>
      </c>
      <c r="AF586" s="167">
        <f t="shared" si="7"/>
        <v>0</v>
      </c>
      <c r="AG586" s="167">
        <f t="shared" si="8"/>
        <v>0</v>
      </c>
      <c r="AH586" s="158"/>
      <c r="AI586" s="158"/>
    </row>
    <row r="587" ht="12.75" customHeight="1">
      <c r="B587" s="160" t="str">
        <f>iferror(VLOOKUP((LEFT(A587,6)),CUSTOMER_DETAILS,2,FALSE),"-")</f>
        <v>-</v>
      </c>
      <c r="C587" s="161" t="s">
        <v>89</v>
      </c>
      <c r="D587" s="162"/>
      <c r="E587" s="161" t="s">
        <v>89</v>
      </c>
      <c r="F587" s="30" t="s">
        <v>89</v>
      </c>
      <c r="G587" s="30" t="s">
        <v>89</v>
      </c>
      <c r="H587" s="30" t="s">
        <v>89</v>
      </c>
      <c r="I587" s="48" t="s">
        <v>108</v>
      </c>
      <c r="J587" s="188" t="str">
        <f t="shared" si="15"/>
        <v/>
      </c>
      <c r="L587" s="48" t="s">
        <v>108</v>
      </c>
      <c r="O587" s="30" t="s">
        <v>89</v>
      </c>
      <c r="Q587" s="192"/>
      <c r="R587" s="161" t="str">
        <f>IFERROR(VLOOKUP(Q587,'PRODUCT TABLE'!$A$2:$B$26,2,FALSE),"-")</f>
        <v>-</v>
      </c>
      <c r="V587" s="161">
        <f t="shared" si="14"/>
        <v>0</v>
      </c>
      <c r="Y587" s="30"/>
      <c r="Z587" s="169">
        <f t="shared" si="2"/>
        <v>0</v>
      </c>
      <c r="AA587" s="167">
        <f t="shared" si="3"/>
        <v>0</v>
      </c>
      <c r="AB587" s="161"/>
      <c r="AC587" s="161">
        <f t="shared" si="4"/>
        <v>0</v>
      </c>
      <c r="AD587" s="161">
        <f t="shared" si="5"/>
        <v>0</v>
      </c>
      <c r="AE587" s="161">
        <f t="shared" si="6"/>
        <v>0</v>
      </c>
      <c r="AF587" s="167">
        <f t="shared" si="7"/>
        <v>0</v>
      </c>
      <c r="AG587" s="167">
        <f t="shared" si="8"/>
        <v>0</v>
      </c>
      <c r="AH587" s="158"/>
      <c r="AI587" s="158"/>
    </row>
    <row r="588" ht="12.75" customHeight="1">
      <c r="B588" s="160" t="str">
        <f>iferror(VLOOKUP((LEFT(A588,6)),CUSTOMER_DETAILS,2,FALSE),"-")</f>
        <v>-</v>
      </c>
      <c r="C588" s="161" t="s">
        <v>89</v>
      </c>
      <c r="D588" s="162"/>
      <c r="E588" s="161" t="s">
        <v>89</v>
      </c>
      <c r="F588" s="30" t="s">
        <v>89</v>
      </c>
      <c r="G588" s="30" t="s">
        <v>89</v>
      </c>
      <c r="H588" s="30" t="s">
        <v>89</v>
      </c>
      <c r="I588" s="48" t="s">
        <v>108</v>
      </c>
      <c r="J588" s="188" t="str">
        <f t="shared" si="15"/>
        <v/>
      </c>
      <c r="L588" s="48" t="s">
        <v>108</v>
      </c>
      <c r="O588" s="30" t="s">
        <v>89</v>
      </c>
      <c r="Q588" s="192"/>
      <c r="R588" s="161" t="str">
        <f>IFERROR(VLOOKUP(Q588,'PRODUCT TABLE'!$A$2:$B$26,2,FALSE),"-")</f>
        <v>-</v>
      </c>
      <c r="V588" s="161">
        <f t="shared" si="14"/>
        <v>0</v>
      </c>
      <c r="Y588" s="30"/>
      <c r="Z588" s="169">
        <f t="shared" si="2"/>
        <v>0</v>
      </c>
      <c r="AA588" s="167">
        <f t="shared" si="3"/>
        <v>0</v>
      </c>
      <c r="AB588" s="161"/>
      <c r="AC588" s="161">
        <f t="shared" si="4"/>
        <v>0</v>
      </c>
      <c r="AD588" s="161">
        <f t="shared" si="5"/>
        <v>0</v>
      </c>
      <c r="AE588" s="161">
        <f t="shared" si="6"/>
        <v>0</v>
      </c>
      <c r="AF588" s="167">
        <f t="shared" si="7"/>
        <v>0</v>
      </c>
      <c r="AG588" s="167">
        <f t="shared" si="8"/>
        <v>0</v>
      </c>
      <c r="AH588" s="158"/>
      <c r="AI588" s="158"/>
    </row>
    <row r="589" ht="12.75" customHeight="1">
      <c r="B589" s="160" t="str">
        <f>iferror(VLOOKUP((LEFT(A589,6)),CUSTOMER_DETAILS,2,FALSE),"-")</f>
        <v>-</v>
      </c>
      <c r="C589" s="161" t="s">
        <v>89</v>
      </c>
      <c r="D589" s="162"/>
      <c r="E589" s="161" t="s">
        <v>89</v>
      </c>
      <c r="F589" s="30" t="s">
        <v>89</v>
      </c>
      <c r="G589" s="30" t="s">
        <v>89</v>
      </c>
      <c r="H589" s="30" t="s">
        <v>89</v>
      </c>
      <c r="I589" s="48" t="s">
        <v>108</v>
      </c>
      <c r="J589" s="188" t="str">
        <f t="shared" si="15"/>
        <v/>
      </c>
      <c r="L589" s="48" t="s">
        <v>108</v>
      </c>
      <c r="O589" s="30" t="s">
        <v>89</v>
      </c>
      <c r="Q589" s="192"/>
      <c r="R589" s="161" t="str">
        <f>IFERROR(VLOOKUP(Q589,'PRODUCT TABLE'!$A$2:$B$26,2,FALSE),"-")</f>
        <v>-</v>
      </c>
      <c r="V589" s="161">
        <f t="shared" si="14"/>
        <v>0</v>
      </c>
      <c r="Y589" s="30"/>
      <c r="Z589" s="169">
        <f t="shared" si="2"/>
        <v>0</v>
      </c>
      <c r="AA589" s="167">
        <f t="shared" si="3"/>
        <v>0</v>
      </c>
      <c r="AB589" s="161"/>
      <c r="AC589" s="161">
        <f t="shared" si="4"/>
        <v>0</v>
      </c>
      <c r="AD589" s="161">
        <f t="shared" si="5"/>
        <v>0</v>
      </c>
      <c r="AE589" s="161">
        <f t="shared" si="6"/>
        <v>0</v>
      </c>
      <c r="AF589" s="167">
        <f t="shared" si="7"/>
        <v>0</v>
      </c>
      <c r="AG589" s="167">
        <f t="shared" si="8"/>
        <v>0</v>
      </c>
      <c r="AH589" s="158"/>
      <c r="AI589" s="158"/>
    </row>
    <row r="590" ht="12.75" customHeight="1">
      <c r="B590" s="160" t="str">
        <f>iferror(VLOOKUP((LEFT(A590,6)),CUSTOMER_DETAILS,2,FALSE),"-")</f>
        <v>-</v>
      </c>
      <c r="C590" s="161" t="s">
        <v>89</v>
      </c>
      <c r="D590" s="162"/>
      <c r="E590" s="161" t="s">
        <v>89</v>
      </c>
      <c r="F590" s="30" t="s">
        <v>89</v>
      </c>
      <c r="G590" s="30" t="s">
        <v>89</v>
      </c>
      <c r="H590" s="30" t="s">
        <v>89</v>
      </c>
      <c r="I590" s="48" t="s">
        <v>108</v>
      </c>
      <c r="J590" s="188" t="str">
        <f t="shared" si="15"/>
        <v/>
      </c>
      <c r="L590" s="48" t="s">
        <v>108</v>
      </c>
      <c r="O590" s="30" t="s">
        <v>89</v>
      </c>
      <c r="Q590" s="192"/>
      <c r="R590" s="161" t="str">
        <f>IFERROR(VLOOKUP(Q590,'PRODUCT TABLE'!$A$2:$B$26,2,FALSE),"-")</f>
        <v>-</v>
      </c>
      <c r="V590" s="161">
        <f t="shared" si="14"/>
        <v>0</v>
      </c>
      <c r="Y590" s="30"/>
      <c r="Z590" s="169">
        <f t="shared" si="2"/>
        <v>0</v>
      </c>
      <c r="AA590" s="167">
        <f t="shared" si="3"/>
        <v>0</v>
      </c>
      <c r="AB590" s="161"/>
      <c r="AC590" s="161">
        <f t="shared" si="4"/>
        <v>0</v>
      </c>
      <c r="AD590" s="161">
        <f t="shared" si="5"/>
        <v>0</v>
      </c>
      <c r="AE590" s="161">
        <f t="shared" si="6"/>
        <v>0</v>
      </c>
      <c r="AF590" s="167">
        <f t="shared" si="7"/>
        <v>0</v>
      </c>
      <c r="AG590" s="167">
        <f t="shared" si="8"/>
        <v>0</v>
      </c>
      <c r="AH590" s="158"/>
      <c r="AI590" s="158"/>
    </row>
    <row r="591" ht="12.75" customHeight="1">
      <c r="B591" s="160" t="str">
        <f>iferror(VLOOKUP((LEFT(A591,6)),CUSTOMER_DETAILS,2,FALSE),"-")</f>
        <v>-</v>
      </c>
      <c r="C591" s="161" t="s">
        <v>89</v>
      </c>
      <c r="D591" s="162"/>
      <c r="E591" s="161" t="s">
        <v>89</v>
      </c>
      <c r="F591" s="30" t="s">
        <v>89</v>
      </c>
      <c r="G591" s="30" t="s">
        <v>89</v>
      </c>
      <c r="H591" s="30" t="s">
        <v>89</v>
      </c>
      <c r="I591" s="48" t="s">
        <v>108</v>
      </c>
      <c r="J591" s="188" t="str">
        <f t="shared" si="15"/>
        <v/>
      </c>
      <c r="L591" s="48" t="s">
        <v>108</v>
      </c>
      <c r="O591" s="30" t="s">
        <v>89</v>
      </c>
      <c r="Q591" s="192"/>
      <c r="R591" s="161" t="str">
        <f>IFERROR(VLOOKUP(Q591,'PRODUCT TABLE'!$A$2:$B$26,2,FALSE),"-")</f>
        <v>-</v>
      </c>
      <c r="V591" s="161">
        <f t="shared" si="14"/>
        <v>0</v>
      </c>
      <c r="Y591" s="30"/>
      <c r="Z591" s="169">
        <f t="shared" si="2"/>
        <v>0</v>
      </c>
      <c r="AA591" s="167">
        <f t="shared" si="3"/>
        <v>0</v>
      </c>
      <c r="AB591" s="161"/>
      <c r="AC591" s="161">
        <f t="shared" si="4"/>
        <v>0</v>
      </c>
      <c r="AD591" s="161">
        <f t="shared" si="5"/>
        <v>0</v>
      </c>
      <c r="AE591" s="161">
        <f t="shared" si="6"/>
        <v>0</v>
      </c>
      <c r="AF591" s="167">
        <f t="shared" si="7"/>
        <v>0</v>
      </c>
      <c r="AG591" s="167">
        <f t="shared" si="8"/>
        <v>0</v>
      </c>
      <c r="AH591" s="158"/>
      <c r="AI591" s="158"/>
    </row>
    <row r="592" ht="12.75" customHeight="1">
      <c r="B592" s="160" t="str">
        <f>iferror(VLOOKUP((LEFT(A592,6)),CUSTOMER_DETAILS,2,FALSE),"-")</f>
        <v>-</v>
      </c>
      <c r="C592" s="161" t="s">
        <v>89</v>
      </c>
      <c r="D592" s="162"/>
      <c r="E592" s="161" t="s">
        <v>89</v>
      </c>
      <c r="F592" s="30" t="s">
        <v>89</v>
      </c>
      <c r="G592" s="30" t="s">
        <v>89</v>
      </c>
      <c r="H592" s="30" t="s">
        <v>89</v>
      </c>
      <c r="I592" s="48" t="s">
        <v>108</v>
      </c>
      <c r="J592" s="188" t="str">
        <f t="shared" si="15"/>
        <v/>
      </c>
      <c r="L592" s="48" t="s">
        <v>108</v>
      </c>
      <c r="O592" s="30" t="s">
        <v>89</v>
      </c>
      <c r="Q592" s="192"/>
      <c r="R592" s="161" t="str">
        <f>IFERROR(VLOOKUP(Q592,'PRODUCT TABLE'!$A$2:$B$26,2,FALSE),"-")</f>
        <v>-</v>
      </c>
      <c r="V592" s="161">
        <f t="shared" si="14"/>
        <v>0</v>
      </c>
      <c r="Y592" s="30"/>
      <c r="Z592" s="169">
        <f t="shared" si="2"/>
        <v>0</v>
      </c>
      <c r="AA592" s="167">
        <f t="shared" si="3"/>
        <v>0</v>
      </c>
      <c r="AB592" s="161"/>
      <c r="AC592" s="161">
        <f t="shared" si="4"/>
        <v>0</v>
      </c>
      <c r="AD592" s="161">
        <f t="shared" si="5"/>
        <v>0</v>
      </c>
      <c r="AE592" s="161">
        <f t="shared" si="6"/>
        <v>0</v>
      </c>
      <c r="AF592" s="167">
        <f t="shared" si="7"/>
        <v>0</v>
      </c>
      <c r="AG592" s="167">
        <f t="shared" si="8"/>
        <v>0</v>
      </c>
      <c r="AH592" s="158"/>
      <c r="AI592" s="158"/>
    </row>
    <row r="593" ht="12.75" customHeight="1">
      <c r="B593" s="160" t="str">
        <f>iferror(VLOOKUP((LEFT(A593,6)),CUSTOMER_DETAILS,2,FALSE),"-")</f>
        <v>-</v>
      </c>
      <c r="C593" s="161" t="s">
        <v>89</v>
      </c>
      <c r="D593" s="162"/>
      <c r="E593" s="161" t="s">
        <v>89</v>
      </c>
      <c r="F593" s="30" t="s">
        <v>89</v>
      </c>
      <c r="G593" s="30" t="s">
        <v>89</v>
      </c>
      <c r="H593" s="30" t="s">
        <v>89</v>
      </c>
      <c r="I593" s="48" t="s">
        <v>108</v>
      </c>
      <c r="J593" s="188" t="str">
        <f t="shared" si="15"/>
        <v/>
      </c>
      <c r="L593" s="48" t="s">
        <v>108</v>
      </c>
      <c r="O593" s="30" t="s">
        <v>89</v>
      </c>
      <c r="Q593" s="192"/>
      <c r="R593" s="161" t="str">
        <f>IFERROR(VLOOKUP(Q593,'PRODUCT TABLE'!$A$2:$B$26,2,FALSE),"-")</f>
        <v>-</v>
      </c>
      <c r="V593" s="161">
        <f t="shared" si="14"/>
        <v>0</v>
      </c>
      <c r="Y593" s="30"/>
      <c r="Z593" s="169">
        <f t="shared" si="2"/>
        <v>0</v>
      </c>
      <c r="AA593" s="167">
        <f t="shared" si="3"/>
        <v>0</v>
      </c>
      <c r="AB593" s="161"/>
      <c r="AC593" s="161">
        <f t="shared" si="4"/>
        <v>0</v>
      </c>
      <c r="AD593" s="161">
        <f t="shared" si="5"/>
        <v>0</v>
      </c>
      <c r="AE593" s="161">
        <f t="shared" si="6"/>
        <v>0</v>
      </c>
      <c r="AF593" s="167">
        <f t="shared" si="7"/>
        <v>0</v>
      </c>
      <c r="AG593" s="167">
        <f t="shared" si="8"/>
        <v>0</v>
      </c>
      <c r="AH593" s="158"/>
      <c r="AI593" s="158"/>
    </row>
    <row r="594" ht="12.75" customHeight="1">
      <c r="B594" s="160" t="str">
        <f>iferror(VLOOKUP((LEFT(A594,6)),CUSTOMER_DETAILS,2,FALSE),"-")</f>
        <v>-</v>
      </c>
      <c r="C594" s="161" t="s">
        <v>89</v>
      </c>
      <c r="D594" s="162"/>
      <c r="E594" s="161" t="s">
        <v>89</v>
      </c>
      <c r="F594" s="30" t="s">
        <v>89</v>
      </c>
      <c r="G594" s="30" t="s">
        <v>89</v>
      </c>
      <c r="H594" s="30" t="s">
        <v>89</v>
      </c>
      <c r="I594" s="48" t="s">
        <v>108</v>
      </c>
      <c r="J594" s="188" t="str">
        <f t="shared" si="15"/>
        <v/>
      </c>
      <c r="L594" s="48" t="s">
        <v>108</v>
      </c>
      <c r="O594" s="30" t="s">
        <v>89</v>
      </c>
      <c r="Q594" s="192"/>
      <c r="R594" s="161" t="str">
        <f>IFERROR(VLOOKUP(Q594,'PRODUCT TABLE'!$A$2:$B$26,2,FALSE),"-")</f>
        <v>-</v>
      </c>
      <c r="V594" s="161">
        <f t="shared" si="14"/>
        <v>0</v>
      </c>
      <c r="Y594" s="30"/>
      <c r="Z594" s="169">
        <f t="shared" si="2"/>
        <v>0</v>
      </c>
      <c r="AA594" s="167">
        <f t="shared" si="3"/>
        <v>0</v>
      </c>
      <c r="AB594" s="161"/>
      <c r="AC594" s="161">
        <f t="shared" si="4"/>
        <v>0</v>
      </c>
      <c r="AD594" s="161">
        <f t="shared" si="5"/>
        <v>0</v>
      </c>
      <c r="AE594" s="161">
        <f t="shared" si="6"/>
        <v>0</v>
      </c>
      <c r="AF594" s="167">
        <f t="shared" si="7"/>
        <v>0</v>
      </c>
      <c r="AG594" s="167">
        <f t="shared" si="8"/>
        <v>0</v>
      </c>
      <c r="AH594" s="158"/>
      <c r="AI594" s="158"/>
    </row>
    <row r="595" ht="12.75" customHeight="1">
      <c r="B595" s="160" t="str">
        <f>iferror(VLOOKUP((LEFT(A595,6)),CUSTOMER_DETAILS,2,FALSE),"-")</f>
        <v>-</v>
      </c>
      <c r="C595" s="161" t="s">
        <v>89</v>
      </c>
      <c r="D595" s="162"/>
      <c r="E595" s="161" t="s">
        <v>89</v>
      </c>
      <c r="F595" s="30" t="s">
        <v>89</v>
      </c>
      <c r="G595" s="30" t="s">
        <v>89</v>
      </c>
      <c r="H595" s="30" t="s">
        <v>89</v>
      </c>
      <c r="I595" s="48" t="s">
        <v>108</v>
      </c>
      <c r="J595" s="188" t="str">
        <f t="shared" si="15"/>
        <v/>
      </c>
      <c r="L595" s="48" t="s">
        <v>108</v>
      </c>
      <c r="O595" s="30" t="s">
        <v>89</v>
      </c>
      <c r="Q595" s="192"/>
      <c r="R595" s="161" t="str">
        <f>IFERROR(VLOOKUP(Q595,'PRODUCT TABLE'!$A$2:$B$26,2,FALSE),"-")</f>
        <v>-</v>
      </c>
      <c r="V595" s="161">
        <f t="shared" si="14"/>
        <v>0</v>
      </c>
      <c r="Y595" s="30"/>
      <c r="Z595" s="169">
        <f t="shared" si="2"/>
        <v>0</v>
      </c>
      <c r="AA595" s="167">
        <f t="shared" si="3"/>
        <v>0</v>
      </c>
      <c r="AB595" s="161"/>
      <c r="AC595" s="161">
        <f t="shared" si="4"/>
        <v>0</v>
      </c>
      <c r="AD595" s="161">
        <f t="shared" si="5"/>
        <v>0</v>
      </c>
      <c r="AE595" s="161">
        <f t="shared" si="6"/>
        <v>0</v>
      </c>
      <c r="AF595" s="167">
        <f t="shared" si="7"/>
        <v>0</v>
      </c>
      <c r="AG595" s="167">
        <f t="shared" si="8"/>
        <v>0</v>
      </c>
      <c r="AH595" s="158"/>
      <c r="AI595" s="158"/>
    </row>
    <row r="596" ht="12.75" customHeight="1">
      <c r="B596" s="160" t="str">
        <f>iferror(VLOOKUP((LEFT(A596,6)),CUSTOMER_DETAILS,2,FALSE),"-")</f>
        <v>-</v>
      </c>
      <c r="C596" s="161" t="s">
        <v>89</v>
      </c>
      <c r="D596" s="162"/>
      <c r="E596" s="161" t="s">
        <v>89</v>
      </c>
      <c r="F596" s="30" t="s">
        <v>89</v>
      </c>
      <c r="G596" s="30" t="s">
        <v>89</v>
      </c>
      <c r="H596" s="30" t="s">
        <v>89</v>
      </c>
      <c r="I596" s="48" t="s">
        <v>108</v>
      </c>
      <c r="J596" s="188" t="str">
        <f t="shared" si="15"/>
        <v/>
      </c>
      <c r="L596" s="48" t="s">
        <v>108</v>
      </c>
      <c r="O596" s="30" t="s">
        <v>89</v>
      </c>
      <c r="Q596" s="192"/>
      <c r="R596" s="161" t="str">
        <f>IFERROR(VLOOKUP(Q596,'PRODUCT TABLE'!$A$2:$B$26,2,FALSE),"-")</f>
        <v>-</v>
      </c>
      <c r="V596" s="161">
        <f t="shared" si="14"/>
        <v>0</v>
      </c>
      <c r="Y596" s="30"/>
      <c r="Z596" s="169">
        <f t="shared" si="2"/>
        <v>0</v>
      </c>
      <c r="AA596" s="167">
        <f t="shared" si="3"/>
        <v>0</v>
      </c>
      <c r="AB596" s="161"/>
      <c r="AC596" s="161">
        <f t="shared" si="4"/>
        <v>0</v>
      </c>
      <c r="AD596" s="161">
        <f t="shared" si="5"/>
        <v>0</v>
      </c>
      <c r="AE596" s="161">
        <f t="shared" si="6"/>
        <v>0</v>
      </c>
      <c r="AF596" s="167">
        <f t="shared" si="7"/>
        <v>0</v>
      </c>
      <c r="AG596" s="167">
        <f t="shared" si="8"/>
        <v>0</v>
      </c>
      <c r="AH596" s="158"/>
      <c r="AI596" s="158"/>
    </row>
    <row r="597" ht="12.75" customHeight="1">
      <c r="B597" s="160" t="str">
        <f>iferror(VLOOKUP((LEFT(A597,6)),CUSTOMER_DETAILS,2,FALSE),"-")</f>
        <v>-</v>
      </c>
      <c r="C597" s="161" t="s">
        <v>89</v>
      </c>
      <c r="D597" s="162"/>
      <c r="E597" s="161" t="s">
        <v>89</v>
      </c>
      <c r="F597" s="30" t="s">
        <v>89</v>
      </c>
      <c r="G597" s="30" t="s">
        <v>89</v>
      </c>
      <c r="H597" s="30" t="s">
        <v>89</v>
      </c>
      <c r="I597" s="48" t="s">
        <v>108</v>
      </c>
      <c r="J597" s="188" t="str">
        <f t="shared" si="15"/>
        <v/>
      </c>
      <c r="L597" s="48" t="s">
        <v>108</v>
      </c>
      <c r="O597" s="30" t="s">
        <v>89</v>
      </c>
      <c r="Q597" s="192"/>
      <c r="R597" s="161" t="str">
        <f>IFERROR(VLOOKUP(Q597,'PRODUCT TABLE'!$A$2:$B$26,2,FALSE),"-")</f>
        <v>-</v>
      </c>
      <c r="V597" s="161">
        <f t="shared" si="14"/>
        <v>0</v>
      </c>
      <c r="Y597" s="30"/>
      <c r="Z597" s="169">
        <f t="shared" si="2"/>
        <v>0</v>
      </c>
      <c r="AA597" s="167">
        <f t="shared" si="3"/>
        <v>0</v>
      </c>
      <c r="AB597" s="161"/>
      <c r="AC597" s="161">
        <f t="shared" si="4"/>
        <v>0</v>
      </c>
      <c r="AD597" s="161">
        <f t="shared" si="5"/>
        <v>0</v>
      </c>
      <c r="AE597" s="161">
        <f t="shared" si="6"/>
        <v>0</v>
      </c>
      <c r="AF597" s="167">
        <f t="shared" si="7"/>
        <v>0</v>
      </c>
      <c r="AG597" s="167">
        <f t="shared" si="8"/>
        <v>0</v>
      </c>
      <c r="AH597" s="158"/>
      <c r="AI597" s="158"/>
    </row>
    <row r="598" ht="12.75" customHeight="1">
      <c r="B598" s="160" t="str">
        <f>iferror(VLOOKUP((LEFT(A598,6)),CUSTOMER_DETAILS,2,FALSE),"-")</f>
        <v>-</v>
      </c>
      <c r="C598" s="161" t="s">
        <v>89</v>
      </c>
      <c r="D598" s="162"/>
      <c r="E598" s="161" t="s">
        <v>89</v>
      </c>
      <c r="F598" s="30" t="s">
        <v>89</v>
      </c>
      <c r="G598" s="30" t="s">
        <v>89</v>
      </c>
      <c r="H598" s="30" t="s">
        <v>89</v>
      </c>
      <c r="I598" s="48" t="s">
        <v>108</v>
      </c>
      <c r="J598" s="188" t="str">
        <f t="shared" si="15"/>
        <v/>
      </c>
      <c r="L598" s="48" t="s">
        <v>108</v>
      </c>
      <c r="O598" s="30" t="s">
        <v>89</v>
      </c>
      <c r="Q598" s="192"/>
      <c r="R598" s="161" t="str">
        <f>IFERROR(VLOOKUP(Q598,'PRODUCT TABLE'!$A$2:$B$26,2,FALSE),"-")</f>
        <v>-</v>
      </c>
      <c r="V598" s="161">
        <f t="shared" si="14"/>
        <v>0</v>
      </c>
      <c r="Y598" s="30"/>
      <c r="Z598" s="169">
        <f t="shared" si="2"/>
        <v>0</v>
      </c>
      <c r="AA598" s="167">
        <f t="shared" si="3"/>
        <v>0</v>
      </c>
      <c r="AB598" s="161"/>
      <c r="AC598" s="161">
        <f t="shared" si="4"/>
        <v>0</v>
      </c>
      <c r="AD598" s="161">
        <f t="shared" si="5"/>
        <v>0</v>
      </c>
      <c r="AE598" s="161">
        <f t="shared" si="6"/>
        <v>0</v>
      </c>
      <c r="AF598" s="167">
        <f t="shared" si="7"/>
        <v>0</v>
      </c>
      <c r="AG598" s="167">
        <f t="shared" si="8"/>
        <v>0</v>
      </c>
      <c r="AH598" s="158"/>
      <c r="AI598" s="158"/>
    </row>
    <row r="599" ht="12.75" customHeight="1">
      <c r="B599" s="160" t="str">
        <f>iferror(VLOOKUP((LEFT(A599,6)),CUSTOMER_DETAILS,2,FALSE),"-")</f>
        <v>-</v>
      </c>
      <c r="C599" s="161" t="s">
        <v>89</v>
      </c>
      <c r="D599" s="162"/>
      <c r="E599" s="161" t="s">
        <v>89</v>
      </c>
      <c r="F599" s="30" t="s">
        <v>89</v>
      </c>
      <c r="G599" s="30" t="s">
        <v>89</v>
      </c>
      <c r="H599" s="30" t="s">
        <v>89</v>
      </c>
      <c r="I599" s="48" t="s">
        <v>108</v>
      </c>
      <c r="J599" s="188" t="str">
        <f t="shared" si="15"/>
        <v/>
      </c>
      <c r="L599" s="48" t="s">
        <v>108</v>
      </c>
      <c r="O599" s="30" t="s">
        <v>89</v>
      </c>
      <c r="Q599" s="192"/>
      <c r="R599" s="161" t="str">
        <f>IFERROR(VLOOKUP(Q599,'PRODUCT TABLE'!$A$2:$B$26,2,FALSE),"-")</f>
        <v>-</v>
      </c>
      <c r="V599" s="161">
        <f t="shared" si="14"/>
        <v>0</v>
      </c>
      <c r="Y599" s="30"/>
      <c r="Z599" s="169">
        <f t="shared" si="2"/>
        <v>0</v>
      </c>
      <c r="AA599" s="167">
        <f t="shared" si="3"/>
        <v>0</v>
      </c>
      <c r="AB599" s="161"/>
      <c r="AC599" s="161">
        <f t="shared" si="4"/>
        <v>0</v>
      </c>
      <c r="AD599" s="161">
        <f t="shared" si="5"/>
        <v>0</v>
      </c>
      <c r="AE599" s="161">
        <f t="shared" si="6"/>
        <v>0</v>
      </c>
      <c r="AF599" s="167">
        <f t="shared" si="7"/>
        <v>0</v>
      </c>
      <c r="AG599" s="167">
        <f t="shared" si="8"/>
        <v>0</v>
      </c>
      <c r="AH599" s="158"/>
      <c r="AI599" s="158"/>
    </row>
    <row r="600" ht="12.75" customHeight="1">
      <c r="B600" s="160" t="str">
        <f>iferror(VLOOKUP((LEFT(A600,6)),CUSTOMER_DETAILS,2,FALSE),"-")</f>
        <v>-</v>
      </c>
      <c r="C600" s="161" t="s">
        <v>89</v>
      </c>
      <c r="D600" s="162"/>
      <c r="E600" s="161" t="s">
        <v>89</v>
      </c>
      <c r="F600" s="30" t="s">
        <v>89</v>
      </c>
      <c r="G600" s="30" t="s">
        <v>89</v>
      </c>
      <c r="H600" s="30" t="s">
        <v>89</v>
      </c>
      <c r="I600" s="48" t="s">
        <v>108</v>
      </c>
      <c r="J600" s="188" t="str">
        <f t="shared" si="15"/>
        <v/>
      </c>
      <c r="L600" s="48" t="s">
        <v>108</v>
      </c>
      <c r="O600" s="30" t="s">
        <v>89</v>
      </c>
      <c r="Q600" s="192"/>
      <c r="R600" s="161" t="str">
        <f>IFERROR(VLOOKUP(Q600,'PRODUCT TABLE'!$A$2:$B$26,2,FALSE),"-")</f>
        <v>-</v>
      </c>
      <c r="V600" s="161">
        <f t="shared" si="14"/>
        <v>0</v>
      </c>
      <c r="Y600" s="30"/>
      <c r="Z600" s="169">
        <f t="shared" si="2"/>
        <v>0</v>
      </c>
      <c r="AA600" s="167">
        <f t="shared" si="3"/>
        <v>0</v>
      </c>
      <c r="AB600" s="161"/>
      <c r="AC600" s="161">
        <f t="shared" si="4"/>
        <v>0</v>
      </c>
      <c r="AD600" s="161">
        <f t="shared" si="5"/>
        <v>0</v>
      </c>
      <c r="AE600" s="161">
        <f t="shared" si="6"/>
        <v>0</v>
      </c>
      <c r="AF600" s="167">
        <f t="shared" si="7"/>
        <v>0</v>
      </c>
      <c r="AG600" s="167">
        <f t="shared" si="8"/>
        <v>0</v>
      </c>
      <c r="AH600" s="158"/>
      <c r="AI600" s="158"/>
    </row>
    <row r="601" ht="12.75" customHeight="1">
      <c r="B601" s="160" t="str">
        <f>iferror(VLOOKUP((LEFT(A601,6)),CUSTOMER_DETAILS,2,FALSE),"-")</f>
        <v>-</v>
      </c>
      <c r="C601" s="161" t="s">
        <v>89</v>
      </c>
      <c r="D601" s="162"/>
      <c r="E601" s="161" t="s">
        <v>89</v>
      </c>
      <c r="F601" s="30" t="s">
        <v>89</v>
      </c>
      <c r="G601" s="30" t="s">
        <v>89</v>
      </c>
      <c r="H601" s="30" t="s">
        <v>89</v>
      </c>
      <c r="I601" s="48" t="s">
        <v>108</v>
      </c>
      <c r="J601" s="188" t="str">
        <f t="shared" si="15"/>
        <v/>
      </c>
      <c r="L601" s="48" t="s">
        <v>108</v>
      </c>
      <c r="O601" s="30" t="s">
        <v>89</v>
      </c>
      <c r="Q601" s="192"/>
      <c r="R601" s="161" t="str">
        <f>IFERROR(VLOOKUP(Q601,'PRODUCT TABLE'!$A$2:$B$26,2,FALSE),"-")</f>
        <v>-</v>
      </c>
      <c r="V601" s="161">
        <f t="shared" si="14"/>
        <v>0</v>
      </c>
      <c r="Y601" s="30"/>
      <c r="Z601" s="169">
        <f t="shared" si="2"/>
        <v>0</v>
      </c>
      <c r="AA601" s="167">
        <f t="shared" si="3"/>
        <v>0</v>
      </c>
      <c r="AB601" s="161"/>
      <c r="AC601" s="161">
        <f t="shared" si="4"/>
        <v>0</v>
      </c>
      <c r="AD601" s="161">
        <f t="shared" si="5"/>
        <v>0</v>
      </c>
      <c r="AE601" s="161">
        <f t="shared" si="6"/>
        <v>0</v>
      </c>
      <c r="AF601" s="167">
        <f t="shared" si="7"/>
        <v>0</v>
      </c>
      <c r="AG601" s="167">
        <f t="shared" si="8"/>
        <v>0</v>
      </c>
      <c r="AH601" s="158"/>
      <c r="AI601" s="158"/>
    </row>
    <row r="602" ht="12.75" customHeight="1">
      <c r="B602" s="160" t="str">
        <f>iferror(VLOOKUP((LEFT(A602,6)),CUSTOMER_DETAILS,2,FALSE),"-")</f>
        <v>-</v>
      </c>
      <c r="C602" s="161" t="s">
        <v>89</v>
      </c>
      <c r="D602" s="162"/>
      <c r="E602" s="161" t="s">
        <v>89</v>
      </c>
      <c r="F602" s="30" t="s">
        <v>89</v>
      </c>
      <c r="G602" s="30" t="s">
        <v>89</v>
      </c>
      <c r="H602" s="30" t="s">
        <v>89</v>
      </c>
      <c r="I602" s="48" t="s">
        <v>108</v>
      </c>
      <c r="J602" s="188" t="str">
        <f t="shared" si="15"/>
        <v/>
      </c>
      <c r="L602" s="48" t="s">
        <v>108</v>
      </c>
      <c r="O602" s="30" t="s">
        <v>89</v>
      </c>
      <c r="Q602" s="192"/>
      <c r="R602" s="161" t="str">
        <f>IFERROR(VLOOKUP(Q602,'PRODUCT TABLE'!$A$2:$B$26,2,FALSE),"-")</f>
        <v>-</v>
      </c>
      <c r="V602" s="161">
        <f t="shared" si="14"/>
        <v>0</v>
      </c>
      <c r="Y602" s="30"/>
      <c r="Z602" s="169">
        <f t="shared" si="2"/>
        <v>0</v>
      </c>
      <c r="AA602" s="167">
        <f t="shared" si="3"/>
        <v>0</v>
      </c>
      <c r="AB602" s="161"/>
      <c r="AC602" s="161">
        <f t="shared" si="4"/>
        <v>0</v>
      </c>
      <c r="AD602" s="161">
        <f t="shared" si="5"/>
        <v>0</v>
      </c>
      <c r="AE602" s="161">
        <f t="shared" si="6"/>
        <v>0</v>
      </c>
      <c r="AF602" s="167">
        <f t="shared" si="7"/>
        <v>0</v>
      </c>
      <c r="AG602" s="167">
        <f t="shared" si="8"/>
        <v>0</v>
      </c>
      <c r="AH602" s="158"/>
      <c r="AI602" s="158"/>
    </row>
    <row r="603" ht="12.75" customHeight="1">
      <c r="B603" s="160" t="str">
        <f>iferror(VLOOKUP((LEFT(A603,6)),CUSTOMER_DETAILS,2,FALSE),"-")</f>
        <v>-</v>
      </c>
      <c r="C603" s="161" t="s">
        <v>89</v>
      </c>
      <c r="D603" s="162"/>
      <c r="E603" s="161" t="s">
        <v>89</v>
      </c>
      <c r="F603" s="30" t="s">
        <v>89</v>
      </c>
      <c r="G603" s="30" t="s">
        <v>89</v>
      </c>
      <c r="H603" s="30" t="s">
        <v>89</v>
      </c>
      <c r="I603" s="48" t="s">
        <v>108</v>
      </c>
      <c r="J603" s="188" t="str">
        <f t="shared" si="15"/>
        <v/>
      </c>
      <c r="L603" s="48" t="s">
        <v>108</v>
      </c>
      <c r="O603" s="30" t="s">
        <v>89</v>
      </c>
      <c r="Q603" s="192"/>
      <c r="R603" s="161" t="str">
        <f>IFERROR(VLOOKUP(Q603,'PRODUCT TABLE'!$A$2:$B$26,2,FALSE),"-")</f>
        <v>-</v>
      </c>
      <c r="V603" s="161">
        <f t="shared" si="14"/>
        <v>0</v>
      </c>
      <c r="Y603" s="30"/>
      <c r="Z603" s="169">
        <f t="shared" si="2"/>
        <v>0</v>
      </c>
      <c r="AA603" s="167">
        <f t="shared" si="3"/>
        <v>0</v>
      </c>
      <c r="AB603" s="161"/>
      <c r="AC603" s="161">
        <f t="shared" si="4"/>
        <v>0</v>
      </c>
      <c r="AD603" s="161">
        <f t="shared" si="5"/>
        <v>0</v>
      </c>
      <c r="AE603" s="161">
        <f t="shared" si="6"/>
        <v>0</v>
      </c>
      <c r="AF603" s="167">
        <f t="shared" si="7"/>
        <v>0</v>
      </c>
      <c r="AG603" s="167">
        <f t="shared" si="8"/>
        <v>0</v>
      </c>
      <c r="AH603" s="158"/>
      <c r="AI603" s="158"/>
    </row>
    <row r="604" ht="12.75" customHeight="1">
      <c r="B604" s="160" t="str">
        <f>iferror(VLOOKUP((LEFT(A604,6)),CUSTOMER_DETAILS,2,FALSE),"-")</f>
        <v>-</v>
      </c>
      <c r="C604" s="161" t="s">
        <v>89</v>
      </c>
      <c r="D604" s="162"/>
      <c r="E604" s="161" t="s">
        <v>89</v>
      </c>
      <c r="F604" s="30" t="s">
        <v>89</v>
      </c>
      <c r="G604" s="30" t="s">
        <v>89</v>
      </c>
      <c r="H604" s="30" t="s">
        <v>89</v>
      </c>
      <c r="I604" s="48" t="s">
        <v>108</v>
      </c>
      <c r="J604" s="188" t="str">
        <f t="shared" si="15"/>
        <v/>
      </c>
      <c r="L604" s="48" t="s">
        <v>108</v>
      </c>
      <c r="O604" s="30" t="s">
        <v>89</v>
      </c>
      <c r="Q604" s="192"/>
      <c r="R604" s="161" t="str">
        <f>IFERROR(VLOOKUP(Q604,'PRODUCT TABLE'!$A$2:$B$26,2,FALSE),"-")</f>
        <v>-</v>
      </c>
      <c r="V604" s="161">
        <f t="shared" si="14"/>
        <v>0</v>
      </c>
      <c r="Y604" s="30"/>
      <c r="Z604" s="169">
        <f t="shared" si="2"/>
        <v>0</v>
      </c>
      <c r="AA604" s="167">
        <f t="shared" si="3"/>
        <v>0</v>
      </c>
      <c r="AB604" s="161"/>
      <c r="AC604" s="161">
        <f t="shared" si="4"/>
        <v>0</v>
      </c>
      <c r="AD604" s="161">
        <f t="shared" si="5"/>
        <v>0</v>
      </c>
      <c r="AE604" s="161">
        <f t="shared" si="6"/>
        <v>0</v>
      </c>
      <c r="AF604" s="167">
        <f t="shared" si="7"/>
        <v>0</v>
      </c>
      <c r="AG604" s="167">
        <f t="shared" si="8"/>
        <v>0</v>
      </c>
      <c r="AH604" s="158"/>
      <c r="AI604" s="158"/>
    </row>
    <row r="605" ht="12.75" customHeight="1">
      <c r="B605" s="160" t="str">
        <f>iferror(VLOOKUP((LEFT(A605,6)),CUSTOMER_DETAILS,2,FALSE),"-")</f>
        <v>-</v>
      </c>
      <c r="C605" s="161" t="s">
        <v>89</v>
      </c>
      <c r="D605" s="162"/>
      <c r="E605" s="161" t="s">
        <v>89</v>
      </c>
      <c r="F605" s="30" t="s">
        <v>89</v>
      </c>
      <c r="G605" s="30" t="s">
        <v>89</v>
      </c>
      <c r="H605" s="30" t="s">
        <v>89</v>
      </c>
      <c r="I605" s="48" t="s">
        <v>108</v>
      </c>
      <c r="J605" s="188" t="str">
        <f t="shared" si="15"/>
        <v/>
      </c>
      <c r="L605" s="48" t="s">
        <v>108</v>
      </c>
      <c r="O605" s="30" t="s">
        <v>89</v>
      </c>
      <c r="Q605" s="192"/>
      <c r="R605" s="161" t="str">
        <f>IFERROR(VLOOKUP(Q605,'PRODUCT TABLE'!$A$2:$B$26,2,FALSE),"-")</f>
        <v>-</v>
      </c>
      <c r="V605" s="161">
        <f t="shared" si="14"/>
        <v>0</v>
      </c>
      <c r="Y605" s="30"/>
      <c r="Z605" s="169">
        <f t="shared" si="2"/>
        <v>0</v>
      </c>
      <c r="AA605" s="167">
        <f t="shared" si="3"/>
        <v>0</v>
      </c>
      <c r="AB605" s="161"/>
      <c r="AC605" s="161">
        <f t="shared" si="4"/>
        <v>0</v>
      </c>
      <c r="AD605" s="161">
        <f t="shared" si="5"/>
        <v>0</v>
      </c>
      <c r="AE605" s="161">
        <f t="shared" si="6"/>
        <v>0</v>
      </c>
      <c r="AF605" s="167">
        <f t="shared" si="7"/>
        <v>0</v>
      </c>
      <c r="AG605" s="167">
        <f t="shared" si="8"/>
        <v>0</v>
      </c>
      <c r="AH605" s="158"/>
      <c r="AI605" s="158"/>
    </row>
    <row r="606" ht="12.75" customHeight="1">
      <c r="B606" s="160" t="str">
        <f>iferror(VLOOKUP((LEFT(A606,6)),CUSTOMER_DETAILS,2,FALSE),"-")</f>
        <v>-</v>
      </c>
      <c r="C606" s="161" t="s">
        <v>89</v>
      </c>
      <c r="D606" s="162"/>
      <c r="E606" s="161" t="s">
        <v>89</v>
      </c>
      <c r="F606" s="30" t="s">
        <v>89</v>
      </c>
      <c r="G606" s="30" t="s">
        <v>89</v>
      </c>
      <c r="H606" s="30" t="s">
        <v>89</v>
      </c>
      <c r="I606" s="48" t="s">
        <v>108</v>
      </c>
      <c r="J606" s="188" t="str">
        <f t="shared" si="15"/>
        <v/>
      </c>
      <c r="L606" s="48" t="s">
        <v>108</v>
      </c>
      <c r="O606" s="30" t="s">
        <v>89</v>
      </c>
      <c r="Q606" s="192"/>
      <c r="R606" s="161" t="str">
        <f>IFERROR(VLOOKUP(Q606,'PRODUCT TABLE'!$A$2:$B$26,2,FALSE),"-")</f>
        <v>-</v>
      </c>
      <c r="V606" s="161">
        <f t="shared" si="14"/>
        <v>0</v>
      </c>
      <c r="Y606" s="30"/>
      <c r="Z606" s="169">
        <f t="shared" si="2"/>
        <v>0</v>
      </c>
      <c r="AA606" s="167">
        <f t="shared" si="3"/>
        <v>0</v>
      </c>
      <c r="AB606" s="161"/>
      <c r="AC606" s="161">
        <f t="shared" si="4"/>
        <v>0</v>
      </c>
      <c r="AD606" s="161">
        <f t="shared" si="5"/>
        <v>0</v>
      </c>
      <c r="AE606" s="161">
        <f t="shared" si="6"/>
        <v>0</v>
      </c>
      <c r="AF606" s="167">
        <f t="shared" si="7"/>
        <v>0</v>
      </c>
      <c r="AG606" s="167">
        <f t="shared" si="8"/>
        <v>0</v>
      </c>
      <c r="AH606" s="158"/>
      <c r="AI606" s="158"/>
    </row>
    <row r="607" ht="12.75" customHeight="1">
      <c r="B607" s="160" t="str">
        <f>iferror(VLOOKUP((LEFT(A607,6)),CUSTOMER_DETAILS,2,FALSE),"-")</f>
        <v>-</v>
      </c>
      <c r="C607" s="161" t="s">
        <v>89</v>
      </c>
      <c r="D607" s="162"/>
      <c r="E607" s="161" t="s">
        <v>89</v>
      </c>
      <c r="F607" s="30" t="s">
        <v>89</v>
      </c>
      <c r="G607" s="30" t="s">
        <v>89</v>
      </c>
      <c r="H607" s="30" t="s">
        <v>89</v>
      </c>
      <c r="I607" s="48" t="s">
        <v>108</v>
      </c>
      <c r="J607" s="188" t="str">
        <f t="shared" si="15"/>
        <v/>
      </c>
      <c r="L607" s="48" t="s">
        <v>108</v>
      </c>
      <c r="O607" s="30" t="s">
        <v>89</v>
      </c>
      <c r="Q607" s="192"/>
      <c r="R607" s="161" t="str">
        <f>IFERROR(VLOOKUP(Q607,'PRODUCT TABLE'!$A$2:$B$26,2,FALSE),"-")</f>
        <v>-</v>
      </c>
      <c r="V607" s="161">
        <f t="shared" si="14"/>
        <v>0</v>
      </c>
      <c r="Y607" s="30"/>
      <c r="Z607" s="169">
        <f t="shared" si="2"/>
        <v>0</v>
      </c>
      <c r="AA607" s="167">
        <f t="shared" si="3"/>
        <v>0</v>
      </c>
      <c r="AB607" s="161"/>
      <c r="AC607" s="161">
        <f t="shared" si="4"/>
        <v>0</v>
      </c>
      <c r="AD607" s="161">
        <f t="shared" si="5"/>
        <v>0</v>
      </c>
      <c r="AE607" s="161">
        <f t="shared" si="6"/>
        <v>0</v>
      </c>
      <c r="AF607" s="167">
        <f t="shared" si="7"/>
        <v>0</v>
      </c>
      <c r="AG607" s="167">
        <f t="shared" si="8"/>
        <v>0</v>
      </c>
      <c r="AH607" s="158"/>
      <c r="AI607" s="158"/>
    </row>
    <row r="608" ht="12.75" customHeight="1">
      <c r="B608" s="160" t="str">
        <f>iferror(VLOOKUP((LEFT(A608,6)),CUSTOMER_DETAILS,2,FALSE),"-")</f>
        <v>-</v>
      </c>
      <c r="C608" s="161" t="s">
        <v>89</v>
      </c>
      <c r="D608" s="162"/>
      <c r="E608" s="161" t="s">
        <v>89</v>
      </c>
      <c r="F608" s="30" t="s">
        <v>89</v>
      </c>
      <c r="G608" s="30" t="s">
        <v>89</v>
      </c>
      <c r="H608" s="30" t="s">
        <v>89</v>
      </c>
      <c r="I608" s="48" t="s">
        <v>108</v>
      </c>
      <c r="J608" s="188" t="str">
        <f t="shared" si="15"/>
        <v/>
      </c>
      <c r="L608" s="48" t="s">
        <v>108</v>
      </c>
      <c r="O608" s="30" t="s">
        <v>89</v>
      </c>
      <c r="Q608" s="192"/>
      <c r="R608" s="161" t="str">
        <f>IFERROR(VLOOKUP(Q608,'PRODUCT TABLE'!$A$2:$B$26,2,FALSE),"-")</f>
        <v>-</v>
      </c>
      <c r="V608" s="161">
        <f t="shared" si="14"/>
        <v>0</v>
      </c>
      <c r="Y608" s="30"/>
      <c r="Z608" s="169">
        <f t="shared" si="2"/>
        <v>0</v>
      </c>
      <c r="AA608" s="167">
        <f t="shared" si="3"/>
        <v>0</v>
      </c>
      <c r="AB608" s="161"/>
      <c r="AC608" s="161">
        <f t="shared" si="4"/>
        <v>0</v>
      </c>
      <c r="AD608" s="161">
        <f t="shared" si="5"/>
        <v>0</v>
      </c>
      <c r="AE608" s="161">
        <f t="shared" si="6"/>
        <v>0</v>
      </c>
      <c r="AF608" s="167">
        <f t="shared" si="7"/>
        <v>0</v>
      </c>
      <c r="AG608" s="167">
        <f t="shared" si="8"/>
        <v>0</v>
      </c>
      <c r="AH608" s="158"/>
      <c r="AI608" s="158"/>
    </row>
    <row r="609" ht="12.75" customHeight="1">
      <c r="B609" s="160" t="str">
        <f>iferror(VLOOKUP((LEFT(A609,6)),CUSTOMER_DETAILS,2,FALSE),"-")</f>
        <v>-</v>
      </c>
      <c r="C609" s="161" t="s">
        <v>89</v>
      </c>
      <c r="D609" s="162"/>
      <c r="E609" s="161" t="s">
        <v>89</v>
      </c>
      <c r="F609" s="30" t="s">
        <v>89</v>
      </c>
      <c r="G609" s="30" t="s">
        <v>89</v>
      </c>
      <c r="H609" s="30" t="s">
        <v>89</v>
      </c>
      <c r="I609" s="48" t="s">
        <v>108</v>
      </c>
      <c r="J609" s="188" t="str">
        <f t="shared" si="15"/>
        <v/>
      </c>
      <c r="L609" s="48" t="s">
        <v>108</v>
      </c>
      <c r="O609" s="30" t="s">
        <v>89</v>
      </c>
      <c r="Q609" s="192"/>
      <c r="R609" s="161" t="str">
        <f>IFERROR(VLOOKUP(Q609,'PRODUCT TABLE'!$A$2:$B$26,2,FALSE),"-")</f>
        <v>-</v>
      </c>
      <c r="V609" s="161">
        <f t="shared" si="14"/>
        <v>0</v>
      </c>
      <c r="Y609" s="30"/>
      <c r="Z609" s="169">
        <f t="shared" si="2"/>
        <v>0</v>
      </c>
      <c r="AA609" s="167">
        <f t="shared" si="3"/>
        <v>0</v>
      </c>
      <c r="AB609" s="161"/>
      <c r="AC609" s="161">
        <f t="shared" si="4"/>
        <v>0</v>
      </c>
      <c r="AD609" s="161">
        <f t="shared" si="5"/>
        <v>0</v>
      </c>
      <c r="AE609" s="161">
        <f t="shared" si="6"/>
        <v>0</v>
      </c>
      <c r="AF609" s="167">
        <f t="shared" si="7"/>
        <v>0</v>
      </c>
      <c r="AG609" s="167">
        <f t="shared" si="8"/>
        <v>0</v>
      </c>
      <c r="AH609" s="158"/>
      <c r="AI609" s="158"/>
    </row>
    <row r="610" ht="12.75" customHeight="1">
      <c r="B610" s="160" t="str">
        <f>iferror(VLOOKUP((LEFT(A610,6)),CUSTOMER_DETAILS,2,FALSE),"-")</f>
        <v>-</v>
      </c>
      <c r="C610" s="161" t="s">
        <v>89</v>
      </c>
      <c r="D610" s="162"/>
      <c r="E610" s="161" t="s">
        <v>89</v>
      </c>
      <c r="F610" s="30" t="s">
        <v>89</v>
      </c>
      <c r="G610" s="30" t="s">
        <v>89</v>
      </c>
      <c r="H610" s="30" t="s">
        <v>89</v>
      </c>
      <c r="I610" s="48" t="s">
        <v>108</v>
      </c>
      <c r="J610" s="188" t="str">
        <f t="shared" si="15"/>
        <v/>
      </c>
      <c r="L610" s="48" t="s">
        <v>108</v>
      </c>
      <c r="O610" s="30" t="s">
        <v>89</v>
      </c>
      <c r="Q610" s="192"/>
      <c r="R610" s="161" t="str">
        <f>IFERROR(VLOOKUP(Q610,'PRODUCT TABLE'!$A$2:$B$26,2,FALSE),"-")</f>
        <v>-</v>
      </c>
      <c r="V610" s="161">
        <f t="shared" si="14"/>
        <v>0</v>
      </c>
      <c r="Y610" s="30"/>
      <c r="Z610" s="169">
        <f t="shared" si="2"/>
        <v>0</v>
      </c>
      <c r="AA610" s="167">
        <f t="shared" si="3"/>
        <v>0</v>
      </c>
      <c r="AB610" s="161"/>
      <c r="AC610" s="161">
        <f t="shared" si="4"/>
        <v>0</v>
      </c>
      <c r="AD610" s="161">
        <f t="shared" si="5"/>
        <v>0</v>
      </c>
      <c r="AE610" s="161">
        <f t="shared" si="6"/>
        <v>0</v>
      </c>
      <c r="AF610" s="167">
        <f t="shared" si="7"/>
        <v>0</v>
      </c>
      <c r="AG610" s="167">
        <f t="shared" si="8"/>
        <v>0</v>
      </c>
      <c r="AH610" s="158"/>
      <c r="AI610" s="158"/>
    </row>
    <row r="611" ht="12.75" customHeight="1">
      <c r="B611" s="160" t="str">
        <f>iferror(VLOOKUP((LEFT(A611,6)),CUSTOMER_DETAILS,2,FALSE),"-")</f>
        <v>-</v>
      </c>
      <c r="C611" s="161" t="s">
        <v>89</v>
      </c>
      <c r="D611" s="162"/>
      <c r="E611" s="161" t="s">
        <v>89</v>
      </c>
      <c r="F611" s="30" t="s">
        <v>89</v>
      </c>
      <c r="G611" s="30" t="s">
        <v>89</v>
      </c>
      <c r="H611" s="30" t="s">
        <v>89</v>
      </c>
      <c r="I611" s="48" t="s">
        <v>108</v>
      </c>
      <c r="J611" s="188" t="str">
        <f t="shared" si="15"/>
        <v/>
      </c>
      <c r="L611" s="48" t="s">
        <v>108</v>
      </c>
      <c r="O611" s="30" t="s">
        <v>89</v>
      </c>
      <c r="Q611" s="192"/>
      <c r="R611" s="161" t="str">
        <f>IFERROR(VLOOKUP(Q611,'PRODUCT TABLE'!$A$2:$B$26,2,FALSE),"-")</f>
        <v>-</v>
      </c>
      <c r="V611" s="161">
        <f t="shared" si="14"/>
        <v>0</v>
      </c>
      <c r="Y611" s="30"/>
      <c r="Z611" s="169">
        <f t="shared" si="2"/>
        <v>0</v>
      </c>
      <c r="AA611" s="167">
        <f t="shared" si="3"/>
        <v>0</v>
      </c>
      <c r="AB611" s="161"/>
      <c r="AC611" s="161">
        <f t="shared" si="4"/>
        <v>0</v>
      </c>
      <c r="AD611" s="161">
        <f t="shared" si="5"/>
        <v>0</v>
      </c>
      <c r="AE611" s="161">
        <f t="shared" si="6"/>
        <v>0</v>
      </c>
      <c r="AF611" s="167">
        <f t="shared" si="7"/>
        <v>0</v>
      </c>
      <c r="AG611" s="167">
        <f t="shared" si="8"/>
        <v>0</v>
      </c>
      <c r="AH611" s="158"/>
      <c r="AI611" s="158"/>
    </row>
    <row r="612" ht="12.75" customHeight="1">
      <c r="B612" s="160" t="str">
        <f>iferror(VLOOKUP((LEFT(A612,6)),CUSTOMER_DETAILS,2,FALSE),"-")</f>
        <v>-</v>
      </c>
      <c r="C612" s="161" t="s">
        <v>89</v>
      </c>
      <c r="D612" s="162"/>
      <c r="E612" s="161" t="s">
        <v>89</v>
      </c>
      <c r="F612" s="30" t="s">
        <v>89</v>
      </c>
      <c r="G612" s="30" t="s">
        <v>89</v>
      </c>
      <c r="H612" s="30" t="s">
        <v>89</v>
      </c>
      <c r="I612" s="48" t="s">
        <v>108</v>
      </c>
      <c r="J612" s="188" t="str">
        <f t="shared" si="15"/>
        <v/>
      </c>
      <c r="L612" s="48" t="s">
        <v>108</v>
      </c>
      <c r="O612" s="30" t="s">
        <v>89</v>
      </c>
      <c r="Q612" s="192"/>
      <c r="R612" s="161" t="str">
        <f>IFERROR(VLOOKUP(Q612,'PRODUCT TABLE'!$A$2:$B$26,2,FALSE),"-")</f>
        <v>-</v>
      </c>
      <c r="V612" s="161">
        <f t="shared" si="14"/>
        <v>0</v>
      </c>
      <c r="Y612" s="30"/>
      <c r="Z612" s="169">
        <f t="shared" si="2"/>
        <v>0</v>
      </c>
      <c r="AA612" s="167">
        <f t="shared" si="3"/>
        <v>0</v>
      </c>
      <c r="AB612" s="161"/>
      <c r="AC612" s="161">
        <f t="shared" si="4"/>
        <v>0</v>
      </c>
      <c r="AD612" s="161">
        <f t="shared" si="5"/>
        <v>0</v>
      </c>
      <c r="AE612" s="161">
        <f t="shared" si="6"/>
        <v>0</v>
      </c>
      <c r="AF612" s="167">
        <f t="shared" si="7"/>
        <v>0</v>
      </c>
      <c r="AG612" s="167">
        <f t="shared" si="8"/>
        <v>0</v>
      </c>
      <c r="AH612" s="158"/>
      <c r="AI612" s="158"/>
    </row>
    <row r="613" ht="12.75" customHeight="1">
      <c r="B613" s="160" t="str">
        <f>iferror(VLOOKUP((LEFT(A613,6)),CUSTOMER_DETAILS,2,FALSE),"-")</f>
        <v>-</v>
      </c>
      <c r="C613" s="161" t="s">
        <v>89</v>
      </c>
      <c r="D613" s="162"/>
      <c r="E613" s="161" t="s">
        <v>89</v>
      </c>
      <c r="F613" s="30" t="s">
        <v>89</v>
      </c>
      <c r="G613" s="30" t="s">
        <v>89</v>
      </c>
      <c r="H613" s="30" t="s">
        <v>89</v>
      </c>
      <c r="I613" s="48" t="s">
        <v>108</v>
      </c>
      <c r="J613" s="188" t="str">
        <f t="shared" si="15"/>
        <v/>
      </c>
      <c r="L613" s="48" t="s">
        <v>108</v>
      </c>
      <c r="O613" s="30" t="s">
        <v>89</v>
      </c>
      <c r="Q613" s="192"/>
      <c r="R613" s="161" t="str">
        <f>IFERROR(VLOOKUP(Q613,'PRODUCT TABLE'!$A$2:$B$26,2,FALSE),"-")</f>
        <v>-</v>
      </c>
      <c r="V613" s="161">
        <f t="shared" si="14"/>
        <v>0</v>
      </c>
      <c r="Y613" s="30"/>
      <c r="Z613" s="169">
        <f t="shared" si="2"/>
        <v>0</v>
      </c>
      <c r="AA613" s="167">
        <f t="shared" si="3"/>
        <v>0</v>
      </c>
      <c r="AB613" s="161"/>
      <c r="AC613" s="161">
        <f t="shared" si="4"/>
        <v>0</v>
      </c>
      <c r="AD613" s="161">
        <f t="shared" si="5"/>
        <v>0</v>
      </c>
      <c r="AE613" s="161">
        <f t="shared" si="6"/>
        <v>0</v>
      </c>
      <c r="AF613" s="167">
        <f t="shared" si="7"/>
        <v>0</v>
      </c>
      <c r="AG613" s="167">
        <f t="shared" si="8"/>
        <v>0</v>
      </c>
      <c r="AH613" s="158"/>
      <c r="AI613" s="158"/>
    </row>
    <row r="614" ht="12.75" customHeight="1">
      <c r="B614" s="160" t="str">
        <f>iferror(VLOOKUP((LEFT(A614,6)),CUSTOMER_DETAILS,2,FALSE),"-")</f>
        <v>-</v>
      </c>
      <c r="C614" s="161" t="s">
        <v>89</v>
      </c>
      <c r="D614" s="162"/>
      <c r="E614" s="161" t="s">
        <v>89</v>
      </c>
      <c r="F614" s="30" t="s">
        <v>89</v>
      </c>
      <c r="G614" s="30" t="s">
        <v>89</v>
      </c>
      <c r="H614" s="30" t="s">
        <v>89</v>
      </c>
      <c r="I614" s="48" t="s">
        <v>108</v>
      </c>
      <c r="J614" s="188" t="str">
        <f t="shared" si="15"/>
        <v/>
      </c>
      <c r="L614" s="48" t="s">
        <v>108</v>
      </c>
      <c r="O614" s="30" t="s">
        <v>89</v>
      </c>
      <c r="Q614" s="192"/>
      <c r="R614" s="161" t="str">
        <f>IFERROR(VLOOKUP(Q614,'PRODUCT TABLE'!$A$2:$B$26,2,FALSE),"-")</f>
        <v>-</v>
      </c>
      <c r="V614" s="161">
        <f t="shared" si="14"/>
        <v>0</v>
      </c>
      <c r="Y614" s="30"/>
      <c r="Z614" s="169">
        <f t="shared" si="2"/>
        <v>0</v>
      </c>
      <c r="AA614" s="167">
        <f t="shared" si="3"/>
        <v>0</v>
      </c>
      <c r="AB614" s="161"/>
      <c r="AC614" s="161">
        <f t="shared" si="4"/>
        <v>0</v>
      </c>
      <c r="AD614" s="161">
        <f t="shared" si="5"/>
        <v>0</v>
      </c>
      <c r="AE614" s="161">
        <f t="shared" si="6"/>
        <v>0</v>
      </c>
      <c r="AF614" s="167">
        <f t="shared" si="7"/>
        <v>0</v>
      </c>
      <c r="AG614" s="167">
        <f t="shared" si="8"/>
        <v>0</v>
      </c>
      <c r="AH614" s="158"/>
      <c r="AI614" s="158"/>
    </row>
    <row r="615" ht="12.75" customHeight="1">
      <c r="B615" s="160" t="str">
        <f>iferror(VLOOKUP((LEFT(A615,6)),CUSTOMER_DETAILS,2,FALSE),"-")</f>
        <v>-</v>
      </c>
      <c r="C615" s="161" t="s">
        <v>89</v>
      </c>
      <c r="D615" s="162"/>
      <c r="E615" s="161" t="s">
        <v>89</v>
      </c>
      <c r="F615" s="30" t="s">
        <v>89</v>
      </c>
      <c r="G615" s="30" t="s">
        <v>89</v>
      </c>
      <c r="H615" s="30" t="s">
        <v>89</v>
      </c>
      <c r="I615" s="48" t="s">
        <v>108</v>
      </c>
      <c r="J615" s="188" t="str">
        <f t="shared" si="15"/>
        <v/>
      </c>
      <c r="L615" s="48" t="s">
        <v>108</v>
      </c>
      <c r="O615" s="30" t="s">
        <v>89</v>
      </c>
      <c r="Q615" s="192"/>
      <c r="R615" s="161" t="str">
        <f>IFERROR(VLOOKUP(Q615,'PRODUCT TABLE'!$A$2:$B$26,2,FALSE),"-")</f>
        <v>-</v>
      </c>
      <c r="V615" s="161">
        <f t="shared" si="14"/>
        <v>0</v>
      </c>
      <c r="Y615" s="30"/>
      <c r="Z615" s="169">
        <f t="shared" si="2"/>
        <v>0</v>
      </c>
      <c r="AA615" s="167">
        <f t="shared" si="3"/>
        <v>0</v>
      </c>
      <c r="AB615" s="161"/>
      <c r="AC615" s="161">
        <f t="shared" si="4"/>
        <v>0</v>
      </c>
      <c r="AD615" s="161">
        <f t="shared" si="5"/>
        <v>0</v>
      </c>
      <c r="AE615" s="161">
        <f t="shared" si="6"/>
        <v>0</v>
      </c>
      <c r="AF615" s="167">
        <f t="shared" si="7"/>
        <v>0</v>
      </c>
      <c r="AG615" s="167">
        <f t="shared" si="8"/>
        <v>0</v>
      </c>
      <c r="AH615" s="158"/>
      <c r="AI615" s="158"/>
    </row>
    <row r="616" ht="12.75" customHeight="1">
      <c r="B616" s="160" t="str">
        <f>iferror(VLOOKUP((LEFT(A616,6)),CUSTOMER_DETAILS,2,FALSE),"-")</f>
        <v>-</v>
      </c>
      <c r="C616" s="161" t="s">
        <v>89</v>
      </c>
      <c r="D616" s="162"/>
      <c r="E616" s="161" t="s">
        <v>89</v>
      </c>
      <c r="F616" s="30" t="s">
        <v>89</v>
      </c>
      <c r="G616" s="30" t="s">
        <v>89</v>
      </c>
      <c r="H616" s="30" t="s">
        <v>89</v>
      </c>
      <c r="I616" s="48" t="s">
        <v>108</v>
      </c>
      <c r="J616" s="188" t="str">
        <f t="shared" si="15"/>
        <v/>
      </c>
      <c r="L616" s="48" t="s">
        <v>108</v>
      </c>
      <c r="O616" s="30" t="s">
        <v>89</v>
      </c>
      <c r="Q616" s="192"/>
      <c r="R616" s="161" t="str">
        <f>IFERROR(VLOOKUP(Q616,'PRODUCT TABLE'!$A$2:$B$26,2,FALSE),"-")</f>
        <v>-</v>
      </c>
      <c r="V616" s="161">
        <f t="shared" si="14"/>
        <v>0</v>
      </c>
      <c r="Y616" s="30"/>
      <c r="Z616" s="169">
        <f t="shared" si="2"/>
        <v>0</v>
      </c>
      <c r="AA616" s="167">
        <f t="shared" si="3"/>
        <v>0</v>
      </c>
      <c r="AB616" s="161"/>
      <c r="AC616" s="161">
        <f t="shared" si="4"/>
        <v>0</v>
      </c>
      <c r="AD616" s="161">
        <f t="shared" si="5"/>
        <v>0</v>
      </c>
      <c r="AE616" s="161">
        <f t="shared" si="6"/>
        <v>0</v>
      </c>
      <c r="AF616" s="167">
        <f t="shared" si="7"/>
        <v>0</v>
      </c>
      <c r="AG616" s="167">
        <f t="shared" si="8"/>
        <v>0</v>
      </c>
      <c r="AH616" s="158"/>
      <c r="AI616" s="158"/>
    </row>
    <row r="617" ht="12.75" customHeight="1">
      <c r="B617" s="160" t="str">
        <f>iferror(VLOOKUP((LEFT(A617,6)),CUSTOMER_DETAILS,2,FALSE),"-")</f>
        <v>-</v>
      </c>
      <c r="C617" s="161" t="s">
        <v>89</v>
      </c>
      <c r="D617" s="162"/>
      <c r="E617" s="161" t="s">
        <v>89</v>
      </c>
      <c r="F617" s="30" t="s">
        <v>89</v>
      </c>
      <c r="G617" s="30" t="s">
        <v>89</v>
      </c>
      <c r="H617" s="30" t="s">
        <v>89</v>
      </c>
      <c r="I617" s="48" t="s">
        <v>108</v>
      </c>
      <c r="J617" s="188" t="str">
        <f t="shared" si="15"/>
        <v/>
      </c>
      <c r="L617" s="48" t="s">
        <v>108</v>
      </c>
      <c r="O617" s="30" t="s">
        <v>89</v>
      </c>
      <c r="Q617" s="192"/>
      <c r="R617" s="161" t="str">
        <f>IFERROR(VLOOKUP(Q617,'PRODUCT TABLE'!$A$2:$B$26,2,FALSE),"-")</f>
        <v>-</v>
      </c>
      <c r="V617" s="161">
        <f t="shared" si="14"/>
        <v>0</v>
      </c>
      <c r="Y617" s="30"/>
      <c r="Z617" s="169">
        <f t="shared" si="2"/>
        <v>0</v>
      </c>
      <c r="AA617" s="167">
        <f t="shared" si="3"/>
        <v>0</v>
      </c>
      <c r="AB617" s="161"/>
      <c r="AC617" s="161">
        <f t="shared" si="4"/>
        <v>0</v>
      </c>
      <c r="AD617" s="161">
        <f t="shared" si="5"/>
        <v>0</v>
      </c>
      <c r="AE617" s="161">
        <f t="shared" si="6"/>
        <v>0</v>
      </c>
      <c r="AF617" s="167">
        <f t="shared" si="7"/>
        <v>0</v>
      </c>
      <c r="AG617" s="167">
        <f t="shared" si="8"/>
        <v>0</v>
      </c>
      <c r="AH617" s="158"/>
      <c r="AI617" s="158"/>
    </row>
    <row r="618" ht="12.75" customHeight="1">
      <c r="B618" s="160" t="str">
        <f>iferror(VLOOKUP((LEFT(A618,6)),CUSTOMER_DETAILS,2,FALSE),"-")</f>
        <v>-</v>
      </c>
      <c r="C618" s="161" t="s">
        <v>89</v>
      </c>
      <c r="D618" s="162"/>
      <c r="E618" s="161" t="s">
        <v>89</v>
      </c>
      <c r="F618" s="30" t="s">
        <v>89</v>
      </c>
      <c r="G618" s="30" t="s">
        <v>89</v>
      </c>
      <c r="H618" s="30" t="s">
        <v>89</v>
      </c>
      <c r="I618" s="48" t="s">
        <v>108</v>
      </c>
      <c r="J618" s="188" t="str">
        <f t="shared" si="15"/>
        <v/>
      </c>
      <c r="L618" s="48" t="s">
        <v>108</v>
      </c>
      <c r="O618" s="30" t="s">
        <v>89</v>
      </c>
      <c r="Q618" s="192"/>
      <c r="R618" s="161" t="str">
        <f>IFERROR(VLOOKUP(Q618,'PRODUCT TABLE'!$A$2:$B$26,2,FALSE),"-")</f>
        <v>-</v>
      </c>
      <c r="V618" s="161">
        <f t="shared" si="14"/>
        <v>0</v>
      </c>
      <c r="Y618" s="30"/>
      <c r="Z618" s="169">
        <f t="shared" si="2"/>
        <v>0</v>
      </c>
      <c r="AA618" s="167">
        <f t="shared" si="3"/>
        <v>0</v>
      </c>
      <c r="AB618" s="161"/>
      <c r="AC618" s="161">
        <f t="shared" si="4"/>
        <v>0</v>
      </c>
      <c r="AD618" s="161">
        <f t="shared" si="5"/>
        <v>0</v>
      </c>
      <c r="AE618" s="161">
        <f t="shared" si="6"/>
        <v>0</v>
      </c>
      <c r="AF618" s="167">
        <f t="shared" si="7"/>
        <v>0</v>
      </c>
      <c r="AG618" s="167">
        <f t="shared" si="8"/>
        <v>0</v>
      </c>
      <c r="AH618" s="158"/>
      <c r="AI618" s="158"/>
    </row>
    <row r="619" ht="12.75" customHeight="1">
      <c r="B619" s="160" t="str">
        <f>iferror(VLOOKUP((LEFT(A619,6)),CUSTOMER_DETAILS,2,FALSE),"-")</f>
        <v>-</v>
      </c>
      <c r="C619" s="161" t="s">
        <v>89</v>
      </c>
      <c r="D619" s="162"/>
      <c r="E619" s="161" t="s">
        <v>89</v>
      </c>
      <c r="F619" s="30" t="s">
        <v>89</v>
      </c>
      <c r="G619" s="30" t="s">
        <v>89</v>
      </c>
      <c r="H619" s="30" t="s">
        <v>89</v>
      </c>
      <c r="I619" s="48" t="s">
        <v>108</v>
      </c>
      <c r="J619" s="188" t="str">
        <f t="shared" si="15"/>
        <v/>
      </c>
      <c r="L619" s="48" t="s">
        <v>108</v>
      </c>
      <c r="O619" s="30" t="s">
        <v>89</v>
      </c>
      <c r="Q619" s="192"/>
      <c r="R619" s="161" t="str">
        <f>IFERROR(VLOOKUP(Q619,'PRODUCT TABLE'!$A$2:$B$26,2,FALSE),"-")</f>
        <v>-</v>
      </c>
      <c r="V619" s="161">
        <f t="shared" si="14"/>
        <v>0</v>
      </c>
      <c r="Y619" s="30"/>
      <c r="Z619" s="169">
        <f t="shared" si="2"/>
        <v>0</v>
      </c>
      <c r="AA619" s="167">
        <f t="shared" si="3"/>
        <v>0</v>
      </c>
      <c r="AB619" s="161"/>
      <c r="AC619" s="161">
        <f t="shared" si="4"/>
        <v>0</v>
      </c>
      <c r="AD619" s="161">
        <f t="shared" si="5"/>
        <v>0</v>
      </c>
      <c r="AE619" s="161">
        <f t="shared" si="6"/>
        <v>0</v>
      </c>
      <c r="AF619" s="167">
        <f t="shared" si="7"/>
        <v>0</v>
      </c>
      <c r="AG619" s="167">
        <f t="shared" si="8"/>
        <v>0</v>
      </c>
      <c r="AH619" s="158"/>
      <c r="AI619" s="158"/>
    </row>
    <row r="620" ht="12.75" customHeight="1">
      <c r="B620" s="160" t="str">
        <f>iferror(VLOOKUP((LEFT(A620,6)),CUSTOMER_DETAILS,2,FALSE),"-")</f>
        <v>-</v>
      </c>
      <c r="C620" s="161" t="s">
        <v>89</v>
      </c>
      <c r="D620" s="162"/>
      <c r="E620" s="161" t="s">
        <v>89</v>
      </c>
      <c r="F620" s="30" t="s">
        <v>89</v>
      </c>
      <c r="G620" s="30" t="s">
        <v>89</v>
      </c>
      <c r="H620" s="30" t="s">
        <v>89</v>
      </c>
      <c r="I620" s="48" t="s">
        <v>108</v>
      </c>
      <c r="J620" s="188" t="str">
        <f t="shared" si="15"/>
        <v/>
      </c>
      <c r="L620" s="48" t="s">
        <v>108</v>
      </c>
      <c r="O620" s="30" t="s">
        <v>89</v>
      </c>
      <c r="Q620" s="192"/>
      <c r="R620" s="161" t="str">
        <f>IFERROR(VLOOKUP(Q620,'PRODUCT TABLE'!$A$2:$B$26,2,FALSE),"-")</f>
        <v>-</v>
      </c>
      <c r="V620" s="161">
        <f t="shared" si="14"/>
        <v>0</v>
      </c>
      <c r="Y620" s="30"/>
      <c r="Z620" s="169">
        <f t="shared" si="2"/>
        <v>0</v>
      </c>
      <c r="AA620" s="167">
        <f t="shared" si="3"/>
        <v>0</v>
      </c>
      <c r="AB620" s="161"/>
      <c r="AC620" s="161">
        <f t="shared" si="4"/>
        <v>0</v>
      </c>
      <c r="AD620" s="161">
        <f t="shared" si="5"/>
        <v>0</v>
      </c>
      <c r="AE620" s="161">
        <f t="shared" si="6"/>
        <v>0</v>
      </c>
      <c r="AF620" s="167">
        <f t="shared" si="7"/>
        <v>0</v>
      </c>
      <c r="AG620" s="167">
        <f t="shared" si="8"/>
        <v>0</v>
      </c>
      <c r="AH620" s="158"/>
      <c r="AI620" s="158"/>
    </row>
    <row r="621" ht="12.75" customHeight="1">
      <c r="B621" s="160" t="str">
        <f>iferror(VLOOKUP((LEFT(A621,6)),CUSTOMER_DETAILS,2,FALSE),"-")</f>
        <v>-</v>
      </c>
      <c r="C621" s="161" t="s">
        <v>89</v>
      </c>
      <c r="D621" s="162"/>
      <c r="E621" s="161" t="s">
        <v>89</v>
      </c>
      <c r="F621" s="30" t="s">
        <v>89</v>
      </c>
      <c r="G621" s="30" t="s">
        <v>89</v>
      </c>
      <c r="H621" s="30" t="s">
        <v>89</v>
      </c>
      <c r="I621" s="48" t="s">
        <v>108</v>
      </c>
      <c r="J621" s="188" t="str">
        <f t="shared" si="15"/>
        <v/>
      </c>
      <c r="L621" s="48" t="s">
        <v>108</v>
      </c>
      <c r="O621" s="30" t="s">
        <v>89</v>
      </c>
      <c r="Q621" s="192"/>
      <c r="R621" s="161" t="str">
        <f>IFERROR(VLOOKUP(Q621,'PRODUCT TABLE'!$A$2:$B$26,2,FALSE),"-")</f>
        <v>-</v>
      </c>
      <c r="V621" s="161">
        <f t="shared" si="14"/>
        <v>0</v>
      </c>
      <c r="Y621" s="30"/>
      <c r="Z621" s="169">
        <f t="shared" si="2"/>
        <v>0</v>
      </c>
      <c r="AA621" s="167">
        <f t="shared" si="3"/>
        <v>0</v>
      </c>
      <c r="AB621" s="161"/>
      <c r="AC621" s="161">
        <f t="shared" si="4"/>
        <v>0</v>
      </c>
      <c r="AD621" s="161">
        <f t="shared" si="5"/>
        <v>0</v>
      </c>
      <c r="AE621" s="161">
        <f t="shared" si="6"/>
        <v>0</v>
      </c>
      <c r="AF621" s="167">
        <f t="shared" si="7"/>
        <v>0</v>
      </c>
      <c r="AG621" s="167">
        <f t="shared" si="8"/>
        <v>0</v>
      </c>
      <c r="AH621" s="158"/>
      <c r="AI621" s="158"/>
    </row>
    <row r="622" ht="12.75" customHeight="1">
      <c r="B622" s="160" t="str">
        <f>iferror(VLOOKUP((LEFT(A622,6)),CUSTOMER_DETAILS,2,FALSE),"-")</f>
        <v>-</v>
      </c>
      <c r="C622" s="161" t="s">
        <v>89</v>
      </c>
      <c r="D622" s="162"/>
      <c r="E622" s="161" t="s">
        <v>89</v>
      </c>
      <c r="F622" s="30" t="s">
        <v>89</v>
      </c>
      <c r="G622" s="30" t="s">
        <v>89</v>
      </c>
      <c r="H622" s="30" t="s">
        <v>89</v>
      </c>
      <c r="I622" s="48" t="s">
        <v>108</v>
      </c>
      <c r="J622" s="188" t="str">
        <f t="shared" si="15"/>
        <v/>
      </c>
      <c r="L622" s="48" t="s">
        <v>108</v>
      </c>
      <c r="O622" s="30" t="s">
        <v>89</v>
      </c>
      <c r="Q622" s="192"/>
      <c r="R622" s="161" t="str">
        <f>IFERROR(VLOOKUP(Q622,'PRODUCT TABLE'!$A$2:$B$26,2,FALSE),"-")</f>
        <v>-</v>
      </c>
      <c r="V622" s="161">
        <f t="shared" si="14"/>
        <v>0</v>
      </c>
      <c r="Y622" s="30"/>
      <c r="Z622" s="169">
        <f t="shared" si="2"/>
        <v>0</v>
      </c>
      <c r="AA622" s="167">
        <f t="shared" si="3"/>
        <v>0</v>
      </c>
      <c r="AB622" s="161"/>
      <c r="AC622" s="161">
        <f t="shared" si="4"/>
        <v>0</v>
      </c>
      <c r="AD622" s="161">
        <f t="shared" si="5"/>
        <v>0</v>
      </c>
      <c r="AE622" s="161">
        <f t="shared" si="6"/>
        <v>0</v>
      </c>
      <c r="AF622" s="167">
        <f t="shared" si="7"/>
        <v>0</v>
      </c>
      <c r="AG622" s="167">
        <f t="shared" si="8"/>
        <v>0</v>
      </c>
      <c r="AH622" s="158"/>
      <c r="AI622" s="158"/>
    </row>
    <row r="623" ht="12.75" customHeight="1">
      <c r="B623" s="160" t="str">
        <f>iferror(VLOOKUP((LEFT(A623,6)),CUSTOMER_DETAILS,2,FALSE),"-")</f>
        <v>-</v>
      </c>
      <c r="C623" s="161" t="s">
        <v>89</v>
      </c>
      <c r="D623" s="162"/>
      <c r="E623" s="161" t="s">
        <v>89</v>
      </c>
      <c r="F623" s="30" t="s">
        <v>89</v>
      </c>
      <c r="G623" s="30" t="s">
        <v>89</v>
      </c>
      <c r="H623" s="30" t="s">
        <v>89</v>
      </c>
      <c r="I623" s="48" t="s">
        <v>108</v>
      </c>
      <c r="J623" s="188" t="str">
        <f t="shared" si="15"/>
        <v/>
      </c>
      <c r="L623" s="48" t="s">
        <v>108</v>
      </c>
      <c r="O623" s="30" t="s">
        <v>89</v>
      </c>
      <c r="Q623" s="192"/>
      <c r="R623" s="161" t="str">
        <f>IFERROR(VLOOKUP(Q623,'PRODUCT TABLE'!$A$2:$B$26,2,FALSE),"-")</f>
        <v>-</v>
      </c>
      <c r="V623" s="161">
        <f t="shared" si="14"/>
        <v>0</v>
      </c>
      <c r="Y623" s="30"/>
      <c r="Z623" s="169">
        <f t="shared" si="2"/>
        <v>0</v>
      </c>
      <c r="AA623" s="167">
        <f t="shared" si="3"/>
        <v>0</v>
      </c>
      <c r="AB623" s="161"/>
      <c r="AC623" s="161">
        <f t="shared" si="4"/>
        <v>0</v>
      </c>
      <c r="AD623" s="161">
        <f t="shared" si="5"/>
        <v>0</v>
      </c>
      <c r="AE623" s="161">
        <f t="shared" si="6"/>
        <v>0</v>
      </c>
      <c r="AF623" s="167">
        <f t="shared" si="7"/>
        <v>0</v>
      </c>
      <c r="AG623" s="167">
        <f t="shared" si="8"/>
        <v>0</v>
      </c>
      <c r="AH623" s="158"/>
      <c r="AI623" s="158"/>
    </row>
    <row r="624" ht="12.75" customHeight="1">
      <c r="B624" s="160" t="str">
        <f>iferror(VLOOKUP((LEFT(A624,6)),CUSTOMER_DETAILS,2,FALSE),"-")</f>
        <v>-</v>
      </c>
      <c r="C624" s="161" t="s">
        <v>89</v>
      </c>
      <c r="D624" s="162"/>
      <c r="E624" s="161" t="s">
        <v>89</v>
      </c>
      <c r="F624" s="30" t="s">
        <v>89</v>
      </c>
      <c r="G624" s="30" t="s">
        <v>89</v>
      </c>
      <c r="H624" s="30" t="s">
        <v>89</v>
      </c>
      <c r="I624" s="48" t="s">
        <v>108</v>
      </c>
      <c r="J624" s="188" t="str">
        <f t="shared" si="15"/>
        <v/>
      </c>
      <c r="L624" s="48" t="s">
        <v>108</v>
      </c>
      <c r="O624" s="30" t="s">
        <v>89</v>
      </c>
      <c r="Q624" s="192"/>
      <c r="R624" s="161" t="str">
        <f>IFERROR(VLOOKUP(Q624,'PRODUCT TABLE'!$A$2:$B$26,2,FALSE),"-")</f>
        <v>-</v>
      </c>
      <c r="V624" s="161">
        <f t="shared" si="14"/>
        <v>0</v>
      </c>
      <c r="Y624" s="30"/>
      <c r="Z624" s="169">
        <f t="shared" si="2"/>
        <v>0</v>
      </c>
      <c r="AA624" s="167">
        <f t="shared" si="3"/>
        <v>0</v>
      </c>
      <c r="AB624" s="161"/>
      <c r="AC624" s="161">
        <f t="shared" si="4"/>
        <v>0</v>
      </c>
      <c r="AD624" s="161">
        <f t="shared" si="5"/>
        <v>0</v>
      </c>
      <c r="AE624" s="161">
        <f t="shared" si="6"/>
        <v>0</v>
      </c>
      <c r="AF624" s="167">
        <f t="shared" si="7"/>
        <v>0</v>
      </c>
      <c r="AG624" s="167">
        <f t="shared" si="8"/>
        <v>0</v>
      </c>
      <c r="AH624" s="158"/>
      <c r="AI624" s="158"/>
    </row>
    <row r="625" ht="12.75" customHeight="1">
      <c r="B625" s="160" t="str">
        <f>iferror(VLOOKUP((LEFT(A625,6)),CUSTOMER_DETAILS,2,FALSE),"-")</f>
        <v>-</v>
      </c>
      <c r="C625" s="161" t="s">
        <v>89</v>
      </c>
      <c r="D625" s="162"/>
      <c r="E625" s="161" t="s">
        <v>89</v>
      </c>
      <c r="F625" s="30" t="s">
        <v>89</v>
      </c>
      <c r="G625" s="30" t="s">
        <v>89</v>
      </c>
      <c r="H625" s="30" t="s">
        <v>89</v>
      </c>
      <c r="I625" s="48" t="s">
        <v>108</v>
      </c>
      <c r="J625" s="188" t="str">
        <f t="shared" si="15"/>
        <v/>
      </c>
      <c r="L625" s="48" t="s">
        <v>108</v>
      </c>
      <c r="O625" s="30" t="s">
        <v>89</v>
      </c>
      <c r="Q625" s="192"/>
      <c r="R625" s="161" t="str">
        <f>IFERROR(VLOOKUP(Q625,'PRODUCT TABLE'!$A$2:$B$26,2,FALSE),"-")</f>
        <v>-</v>
      </c>
      <c r="V625" s="161">
        <f t="shared" si="14"/>
        <v>0</v>
      </c>
      <c r="Y625" s="30"/>
      <c r="Z625" s="169">
        <f t="shared" si="2"/>
        <v>0</v>
      </c>
      <c r="AA625" s="167">
        <f t="shared" si="3"/>
        <v>0</v>
      </c>
      <c r="AB625" s="161"/>
      <c r="AC625" s="161">
        <f t="shared" si="4"/>
        <v>0</v>
      </c>
      <c r="AD625" s="161">
        <f t="shared" si="5"/>
        <v>0</v>
      </c>
      <c r="AE625" s="161">
        <f t="shared" si="6"/>
        <v>0</v>
      </c>
      <c r="AF625" s="167">
        <f t="shared" si="7"/>
        <v>0</v>
      </c>
      <c r="AG625" s="167">
        <f t="shared" si="8"/>
        <v>0</v>
      </c>
      <c r="AH625" s="158"/>
      <c r="AI625" s="158"/>
    </row>
    <row r="626" ht="12.75" customHeight="1">
      <c r="B626" s="160" t="str">
        <f>iferror(VLOOKUP((LEFT(A626,6)),CUSTOMER_DETAILS,2,FALSE),"-")</f>
        <v>-</v>
      </c>
      <c r="C626" s="161" t="s">
        <v>89</v>
      </c>
      <c r="D626" s="162"/>
      <c r="E626" s="161" t="s">
        <v>89</v>
      </c>
      <c r="F626" s="30" t="s">
        <v>89</v>
      </c>
      <c r="G626" s="30" t="s">
        <v>89</v>
      </c>
      <c r="H626" s="30" t="s">
        <v>89</v>
      </c>
      <c r="I626" s="48" t="s">
        <v>108</v>
      </c>
      <c r="J626" s="188" t="str">
        <f t="shared" si="15"/>
        <v/>
      </c>
      <c r="L626" s="48" t="s">
        <v>108</v>
      </c>
      <c r="O626" s="30" t="s">
        <v>89</v>
      </c>
      <c r="Q626" s="192"/>
      <c r="R626" s="161" t="str">
        <f>IFERROR(VLOOKUP(Q626,'PRODUCT TABLE'!$A$2:$B$26,2,FALSE),"-")</f>
        <v>-</v>
      </c>
      <c r="V626" s="161">
        <f t="shared" si="14"/>
        <v>0</v>
      </c>
      <c r="Y626" s="30"/>
      <c r="Z626" s="169">
        <f t="shared" si="2"/>
        <v>0</v>
      </c>
      <c r="AA626" s="167">
        <f t="shared" si="3"/>
        <v>0</v>
      </c>
      <c r="AB626" s="161"/>
      <c r="AC626" s="161">
        <f t="shared" si="4"/>
        <v>0</v>
      </c>
      <c r="AD626" s="161">
        <f t="shared" si="5"/>
        <v>0</v>
      </c>
      <c r="AE626" s="161">
        <f t="shared" si="6"/>
        <v>0</v>
      </c>
      <c r="AF626" s="167">
        <f t="shared" si="7"/>
        <v>0</v>
      </c>
      <c r="AG626" s="167">
        <f t="shared" si="8"/>
        <v>0</v>
      </c>
      <c r="AH626" s="158"/>
      <c r="AI626" s="158"/>
    </row>
    <row r="627" ht="12.75" customHeight="1">
      <c r="B627" s="160" t="str">
        <f>iferror(VLOOKUP((LEFT(A627,6)),CUSTOMER_DETAILS,2,FALSE),"-")</f>
        <v>-</v>
      </c>
      <c r="C627" s="161" t="s">
        <v>89</v>
      </c>
      <c r="D627" s="162"/>
      <c r="E627" s="161" t="s">
        <v>89</v>
      </c>
      <c r="F627" s="30" t="s">
        <v>89</v>
      </c>
      <c r="G627" s="30" t="s">
        <v>89</v>
      </c>
      <c r="H627" s="30" t="s">
        <v>89</v>
      </c>
      <c r="I627" s="48" t="s">
        <v>108</v>
      </c>
      <c r="J627" s="188" t="str">
        <f t="shared" si="15"/>
        <v/>
      </c>
      <c r="L627" s="48" t="s">
        <v>108</v>
      </c>
      <c r="O627" s="30" t="s">
        <v>89</v>
      </c>
      <c r="Q627" s="192"/>
      <c r="R627" s="161" t="str">
        <f>IFERROR(VLOOKUP(Q627,'PRODUCT TABLE'!$A$2:$B$26,2,FALSE),"-")</f>
        <v>-</v>
      </c>
      <c r="V627" s="161">
        <f t="shared" si="14"/>
        <v>0</v>
      </c>
      <c r="Y627" s="30"/>
      <c r="Z627" s="169">
        <f t="shared" si="2"/>
        <v>0</v>
      </c>
      <c r="AA627" s="167">
        <f t="shared" si="3"/>
        <v>0</v>
      </c>
      <c r="AB627" s="161"/>
      <c r="AC627" s="161">
        <f t="shared" si="4"/>
        <v>0</v>
      </c>
      <c r="AD627" s="161">
        <f t="shared" si="5"/>
        <v>0</v>
      </c>
      <c r="AE627" s="161">
        <f t="shared" si="6"/>
        <v>0</v>
      </c>
      <c r="AF627" s="167">
        <f t="shared" si="7"/>
        <v>0</v>
      </c>
      <c r="AG627" s="167">
        <f t="shared" si="8"/>
        <v>0</v>
      </c>
      <c r="AH627" s="158"/>
      <c r="AI627" s="158"/>
    </row>
    <row r="628" ht="12.75" customHeight="1">
      <c r="B628" s="160" t="str">
        <f>iferror(VLOOKUP((LEFT(A628,6)),CUSTOMER_DETAILS,2,FALSE),"-")</f>
        <v>-</v>
      </c>
      <c r="C628" s="161" t="s">
        <v>89</v>
      </c>
      <c r="D628" s="162"/>
      <c r="E628" s="161" t="s">
        <v>89</v>
      </c>
      <c r="F628" s="30" t="s">
        <v>89</v>
      </c>
      <c r="G628" s="30" t="s">
        <v>89</v>
      </c>
      <c r="H628" s="30" t="s">
        <v>89</v>
      </c>
      <c r="I628" s="48" t="s">
        <v>108</v>
      </c>
      <c r="J628" s="188" t="str">
        <f t="shared" si="15"/>
        <v/>
      </c>
      <c r="L628" s="48" t="s">
        <v>108</v>
      </c>
      <c r="O628" s="30" t="s">
        <v>89</v>
      </c>
      <c r="Q628" s="192"/>
      <c r="R628" s="161" t="str">
        <f>IFERROR(VLOOKUP(Q628,'PRODUCT TABLE'!$A$2:$B$26,2,FALSE),"-")</f>
        <v>-</v>
      </c>
      <c r="V628" s="161">
        <f t="shared" si="14"/>
        <v>0</v>
      </c>
      <c r="Y628" s="30"/>
      <c r="Z628" s="169">
        <f t="shared" si="2"/>
        <v>0</v>
      </c>
      <c r="AA628" s="167">
        <f t="shared" si="3"/>
        <v>0</v>
      </c>
      <c r="AB628" s="161"/>
      <c r="AC628" s="161">
        <f t="shared" si="4"/>
        <v>0</v>
      </c>
      <c r="AD628" s="161">
        <f t="shared" si="5"/>
        <v>0</v>
      </c>
      <c r="AE628" s="161">
        <f t="shared" si="6"/>
        <v>0</v>
      </c>
      <c r="AF628" s="167">
        <f t="shared" si="7"/>
        <v>0</v>
      </c>
      <c r="AG628" s="167">
        <f t="shared" si="8"/>
        <v>0</v>
      </c>
      <c r="AH628" s="158"/>
      <c r="AI628" s="158"/>
    </row>
    <row r="629" ht="12.75" customHeight="1">
      <c r="B629" s="160" t="str">
        <f>iferror(VLOOKUP((LEFT(A629,6)),CUSTOMER_DETAILS,2,FALSE),"-")</f>
        <v>-</v>
      </c>
      <c r="C629" s="161" t="s">
        <v>89</v>
      </c>
      <c r="D629" s="162"/>
      <c r="E629" s="161" t="s">
        <v>89</v>
      </c>
      <c r="F629" s="30" t="s">
        <v>89</v>
      </c>
      <c r="G629" s="30" t="s">
        <v>89</v>
      </c>
      <c r="H629" s="30" t="s">
        <v>89</v>
      </c>
      <c r="I629" s="48" t="s">
        <v>108</v>
      </c>
      <c r="J629" s="188" t="str">
        <f t="shared" si="15"/>
        <v/>
      </c>
      <c r="L629" s="48" t="s">
        <v>108</v>
      </c>
      <c r="O629" s="30" t="s">
        <v>89</v>
      </c>
      <c r="Q629" s="192"/>
      <c r="R629" s="161" t="str">
        <f>IFERROR(VLOOKUP(Q629,'PRODUCT TABLE'!$A$2:$B$26,2,FALSE),"-")</f>
        <v>-</v>
      </c>
      <c r="V629" s="161">
        <f t="shared" si="14"/>
        <v>0</v>
      </c>
      <c r="Y629" s="30"/>
      <c r="Z629" s="169">
        <f t="shared" si="2"/>
        <v>0</v>
      </c>
      <c r="AA629" s="167">
        <f t="shared" si="3"/>
        <v>0</v>
      </c>
      <c r="AB629" s="161"/>
      <c r="AC629" s="161">
        <f t="shared" si="4"/>
        <v>0</v>
      </c>
      <c r="AD629" s="161">
        <f t="shared" si="5"/>
        <v>0</v>
      </c>
      <c r="AE629" s="161">
        <f t="shared" si="6"/>
        <v>0</v>
      </c>
      <c r="AF629" s="167">
        <f t="shared" si="7"/>
        <v>0</v>
      </c>
      <c r="AG629" s="167">
        <f t="shared" si="8"/>
        <v>0</v>
      </c>
      <c r="AH629" s="158"/>
      <c r="AI629" s="158"/>
    </row>
    <row r="630" ht="12.75" customHeight="1">
      <c r="B630" s="160" t="str">
        <f>iferror(VLOOKUP((LEFT(A630,6)),CUSTOMER_DETAILS,2,FALSE),"-")</f>
        <v>-</v>
      </c>
      <c r="C630" s="161" t="s">
        <v>89</v>
      </c>
      <c r="D630" s="162"/>
      <c r="E630" s="161" t="s">
        <v>89</v>
      </c>
      <c r="F630" s="30" t="s">
        <v>89</v>
      </c>
      <c r="G630" s="30" t="s">
        <v>89</v>
      </c>
      <c r="H630" s="30" t="s">
        <v>89</v>
      </c>
      <c r="I630" s="48" t="s">
        <v>108</v>
      </c>
      <c r="J630" s="188" t="str">
        <f t="shared" si="15"/>
        <v/>
      </c>
      <c r="L630" s="48" t="s">
        <v>108</v>
      </c>
      <c r="O630" s="30" t="s">
        <v>89</v>
      </c>
      <c r="Q630" s="192"/>
      <c r="R630" s="161" t="str">
        <f>IFERROR(VLOOKUP(Q630,'PRODUCT TABLE'!$A$2:$B$26,2,FALSE),"-")</f>
        <v>-</v>
      </c>
      <c r="V630" s="161">
        <f t="shared" si="14"/>
        <v>0</v>
      </c>
      <c r="Y630" s="30"/>
      <c r="Z630" s="169">
        <f t="shared" si="2"/>
        <v>0</v>
      </c>
      <c r="AA630" s="167">
        <f t="shared" si="3"/>
        <v>0</v>
      </c>
      <c r="AB630" s="161"/>
      <c r="AC630" s="161">
        <f t="shared" si="4"/>
        <v>0</v>
      </c>
      <c r="AD630" s="161">
        <f t="shared" si="5"/>
        <v>0</v>
      </c>
      <c r="AE630" s="161">
        <f t="shared" si="6"/>
        <v>0</v>
      </c>
      <c r="AF630" s="167">
        <f t="shared" si="7"/>
        <v>0</v>
      </c>
      <c r="AG630" s="167">
        <f t="shared" si="8"/>
        <v>0</v>
      </c>
      <c r="AH630" s="158"/>
      <c r="AI630" s="158"/>
    </row>
    <row r="631" ht="12.75" customHeight="1">
      <c r="B631" s="160" t="str">
        <f>iferror(VLOOKUP((LEFT(A631,6)),CUSTOMER_DETAILS,2,FALSE),"-")</f>
        <v>-</v>
      </c>
      <c r="C631" s="161" t="s">
        <v>89</v>
      </c>
      <c r="D631" s="162"/>
      <c r="E631" s="161" t="s">
        <v>89</v>
      </c>
      <c r="F631" s="30" t="s">
        <v>89</v>
      </c>
      <c r="G631" s="30" t="s">
        <v>89</v>
      </c>
      <c r="H631" s="30" t="s">
        <v>89</v>
      </c>
      <c r="I631" s="48" t="s">
        <v>108</v>
      </c>
      <c r="J631" s="188" t="str">
        <f t="shared" si="15"/>
        <v/>
      </c>
      <c r="L631" s="48" t="s">
        <v>108</v>
      </c>
      <c r="O631" s="30" t="s">
        <v>89</v>
      </c>
      <c r="Q631" s="192"/>
      <c r="R631" s="161" t="str">
        <f>IFERROR(VLOOKUP(Q631,'PRODUCT TABLE'!$A$2:$B$26,2,FALSE),"-")</f>
        <v>-</v>
      </c>
      <c r="V631" s="161">
        <f t="shared" si="14"/>
        <v>0</v>
      </c>
      <c r="Y631" s="30"/>
      <c r="Z631" s="169">
        <f t="shared" si="2"/>
        <v>0</v>
      </c>
      <c r="AA631" s="167">
        <f t="shared" si="3"/>
        <v>0</v>
      </c>
      <c r="AB631" s="161"/>
      <c r="AC631" s="161">
        <f t="shared" si="4"/>
        <v>0</v>
      </c>
      <c r="AD631" s="161">
        <f t="shared" si="5"/>
        <v>0</v>
      </c>
      <c r="AE631" s="161">
        <f t="shared" si="6"/>
        <v>0</v>
      </c>
      <c r="AF631" s="167">
        <f t="shared" si="7"/>
        <v>0</v>
      </c>
      <c r="AG631" s="167">
        <f t="shared" si="8"/>
        <v>0</v>
      </c>
      <c r="AH631" s="158"/>
      <c r="AI631" s="158"/>
    </row>
    <row r="632" ht="12.75" customHeight="1">
      <c r="B632" s="160" t="str">
        <f>iferror(VLOOKUP((LEFT(A632,6)),CUSTOMER_DETAILS,2,FALSE),"-")</f>
        <v>-</v>
      </c>
      <c r="C632" s="161" t="s">
        <v>89</v>
      </c>
      <c r="D632" s="162"/>
      <c r="E632" s="161" t="s">
        <v>89</v>
      </c>
      <c r="F632" s="30" t="s">
        <v>89</v>
      </c>
      <c r="G632" s="30" t="s">
        <v>89</v>
      </c>
      <c r="H632" s="30" t="s">
        <v>89</v>
      </c>
      <c r="I632" s="48" t="s">
        <v>108</v>
      </c>
      <c r="J632" s="188" t="str">
        <f t="shared" si="15"/>
        <v/>
      </c>
      <c r="L632" s="48" t="s">
        <v>108</v>
      </c>
      <c r="O632" s="30" t="s">
        <v>89</v>
      </c>
      <c r="Q632" s="192"/>
      <c r="R632" s="161" t="str">
        <f>IFERROR(VLOOKUP(Q632,'PRODUCT TABLE'!$A$2:$B$26,2,FALSE),"-")</f>
        <v>-</v>
      </c>
      <c r="V632" s="161">
        <f t="shared" si="14"/>
        <v>0</v>
      </c>
      <c r="Y632" s="30"/>
      <c r="Z632" s="169">
        <f t="shared" si="2"/>
        <v>0</v>
      </c>
      <c r="AA632" s="167">
        <f t="shared" si="3"/>
        <v>0</v>
      </c>
      <c r="AB632" s="161"/>
      <c r="AC632" s="161">
        <f t="shared" si="4"/>
        <v>0</v>
      </c>
      <c r="AD632" s="161">
        <f t="shared" si="5"/>
        <v>0</v>
      </c>
      <c r="AE632" s="161">
        <f t="shared" si="6"/>
        <v>0</v>
      </c>
      <c r="AF632" s="167">
        <f t="shared" si="7"/>
        <v>0</v>
      </c>
      <c r="AG632" s="167">
        <f t="shared" si="8"/>
        <v>0</v>
      </c>
      <c r="AH632" s="158"/>
      <c r="AI632" s="158"/>
    </row>
    <row r="633" ht="12.75" customHeight="1">
      <c r="B633" s="160" t="str">
        <f>iferror(VLOOKUP((LEFT(A633,6)),CUSTOMER_DETAILS,2,FALSE),"-")</f>
        <v>-</v>
      </c>
      <c r="C633" s="161" t="s">
        <v>89</v>
      </c>
      <c r="D633" s="162"/>
      <c r="E633" s="161" t="s">
        <v>89</v>
      </c>
      <c r="F633" s="30" t="s">
        <v>89</v>
      </c>
      <c r="G633" s="30" t="s">
        <v>89</v>
      </c>
      <c r="H633" s="30" t="s">
        <v>89</v>
      </c>
      <c r="I633" s="48" t="s">
        <v>108</v>
      </c>
      <c r="J633" s="188" t="str">
        <f t="shared" si="15"/>
        <v/>
      </c>
      <c r="L633" s="48" t="s">
        <v>108</v>
      </c>
      <c r="O633" s="30" t="s">
        <v>89</v>
      </c>
      <c r="Q633" s="192"/>
      <c r="R633" s="161" t="str">
        <f>IFERROR(VLOOKUP(Q633,'PRODUCT TABLE'!$A$2:$B$26,2,FALSE),"-")</f>
        <v>-</v>
      </c>
      <c r="V633" s="161">
        <f t="shared" si="14"/>
        <v>0</v>
      </c>
      <c r="Y633" s="30"/>
      <c r="Z633" s="169">
        <f t="shared" si="2"/>
        <v>0</v>
      </c>
      <c r="AA633" s="167">
        <f t="shared" si="3"/>
        <v>0</v>
      </c>
      <c r="AB633" s="161"/>
      <c r="AC633" s="161">
        <f t="shared" si="4"/>
        <v>0</v>
      </c>
      <c r="AD633" s="161">
        <f t="shared" si="5"/>
        <v>0</v>
      </c>
      <c r="AE633" s="161">
        <f t="shared" si="6"/>
        <v>0</v>
      </c>
      <c r="AF633" s="167">
        <f t="shared" si="7"/>
        <v>0</v>
      </c>
      <c r="AG633" s="167">
        <f t="shared" si="8"/>
        <v>0</v>
      </c>
      <c r="AH633" s="158"/>
      <c r="AI633" s="158"/>
    </row>
    <row r="634" ht="12.75" customHeight="1">
      <c r="B634" s="160" t="str">
        <f>iferror(VLOOKUP((LEFT(A634,6)),CUSTOMER_DETAILS,2,FALSE),"-")</f>
        <v>-</v>
      </c>
      <c r="C634" s="161" t="s">
        <v>89</v>
      </c>
      <c r="D634" s="162"/>
      <c r="E634" s="161" t="s">
        <v>89</v>
      </c>
      <c r="F634" s="30" t="s">
        <v>89</v>
      </c>
      <c r="G634" s="30" t="s">
        <v>89</v>
      </c>
      <c r="H634" s="30" t="s">
        <v>89</v>
      </c>
      <c r="I634" s="48" t="s">
        <v>108</v>
      </c>
      <c r="J634" s="188" t="str">
        <f t="shared" si="15"/>
        <v/>
      </c>
      <c r="L634" s="48" t="s">
        <v>108</v>
      </c>
      <c r="O634" s="30" t="s">
        <v>89</v>
      </c>
      <c r="Q634" s="192"/>
      <c r="R634" s="161" t="str">
        <f>IFERROR(VLOOKUP(Q634,'PRODUCT TABLE'!$A$2:$B$26,2,FALSE),"-")</f>
        <v>-</v>
      </c>
      <c r="V634" s="161">
        <f t="shared" si="14"/>
        <v>0</v>
      </c>
      <c r="Y634" s="30"/>
      <c r="Z634" s="169">
        <f t="shared" si="2"/>
        <v>0</v>
      </c>
      <c r="AA634" s="167">
        <f t="shared" si="3"/>
        <v>0</v>
      </c>
      <c r="AB634" s="161"/>
      <c r="AC634" s="161">
        <f t="shared" si="4"/>
        <v>0</v>
      </c>
      <c r="AD634" s="161">
        <f t="shared" si="5"/>
        <v>0</v>
      </c>
      <c r="AE634" s="161">
        <f t="shared" si="6"/>
        <v>0</v>
      </c>
      <c r="AF634" s="167">
        <f t="shared" si="7"/>
        <v>0</v>
      </c>
      <c r="AG634" s="167">
        <f t="shared" si="8"/>
        <v>0</v>
      </c>
      <c r="AH634" s="158"/>
      <c r="AI634" s="158"/>
    </row>
    <row r="635" ht="12.75" customHeight="1">
      <c r="B635" s="160" t="str">
        <f>iferror(VLOOKUP((LEFT(A635,6)),CUSTOMER_DETAILS,2,FALSE),"-")</f>
        <v>-</v>
      </c>
      <c r="C635" s="161" t="s">
        <v>89</v>
      </c>
      <c r="D635" s="162"/>
      <c r="E635" s="161" t="s">
        <v>89</v>
      </c>
      <c r="F635" s="30" t="s">
        <v>89</v>
      </c>
      <c r="G635" s="30" t="s">
        <v>89</v>
      </c>
      <c r="H635" s="30" t="s">
        <v>89</v>
      </c>
      <c r="I635" s="48" t="s">
        <v>108</v>
      </c>
      <c r="J635" s="188" t="str">
        <f t="shared" si="15"/>
        <v/>
      </c>
      <c r="L635" s="48" t="s">
        <v>108</v>
      </c>
      <c r="O635" s="30" t="s">
        <v>89</v>
      </c>
      <c r="Q635" s="192"/>
      <c r="R635" s="161" t="str">
        <f>IFERROR(VLOOKUP(Q635,'PRODUCT TABLE'!$A$2:$B$26,2,FALSE),"-")</f>
        <v>-</v>
      </c>
      <c r="V635" s="161">
        <f t="shared" si="14"/>
        <v>0</v>
      </c>
      <c r="Y635" s="30"/>
      <c r="Z635" s="169">
        <f t="shared" si="2"/>
        <v>0</v>
      </c>
      <c r="AA635" s="167">
        <f t="shared" si="3"/>
        <v>0</v>
      </c>
      <c r="AB635" s="161"/>
      <c r="AC635" s="161">
        <f t="shared" si="4"/>
        <v>0</v>
      </c>
      <c r="AD635" s="161">
        <f t="shared" si="5"/>
        <v>0</v>
      </c>
      <c r="AE635" s="161">
        <f t="shared" si="6"/>
        <v>0</v>
      </c>
      <c r="AF635" s="167">
        <f t="shared" si="7"/>
        <v>0</v>
      </c>
      <c r="AG635" s="167">
        <f t="shared" si="8"/>
        <v>0</v>
      </c>
      <c r="AH635" s="158"/>
      <c r="AI635" s="158"/>
    </row>
    <row r="636" ht="12.75" customHeight="1">
      <c r="B636" s="160" t="str">
        <f>iferror(VLOOKUP((LEFT(A636,6)),CUSTOMER_DETAILS,2,FALSE),"-")</f>
        <v>-</v>
      </c>
      <c r="C636" s="161" t="s">
        <v>89</v>
      </c>
      <c r="D636" s="162"/>
      <c r="E636" s="161" t="s">
        <v>89</v>
      </c>
      <c r="F636" s="30" t="s">
        <v>89</v>
      </c>
      <c r="G636" s="30" t="s">
        <v>89</v>
      </c>
      <c r="H636" s="30" t="s">
        <v>89</v>
      </c>
      <c r="I636" s="48" t="s">
        <v>108</v>
      </c>
      <c r="J636" s="188" t="str">
        <f t="shared" si="15"/>
        <v/>
      </c>
      <c r="L636" s="48" t="s">
        <v>108</v>
      </c>
      <c r="O636" s="30" t="s">
        <v>89</v>
      </c>
      <c r="Q636" s="192"/>
      <c r="R636" s="161" t="str">
        <f>IFERROR(VLOOKUP(Q636,'PRODUCT TABLE'!$A$2:$B$26,2,FALSE),"-")</f>
        <v>-</v>
      </c>
      <c r="V636" s="161">
        <f t="shared" si="14"/>
        <v>0</v>
      </c>
      <c r="Y636" s="30"/>
      <c r="Z636" s="169">
        <f t="shared" si="2"/>
        <v>0</v>
      </c>
      <c r="AA636" s="167">
        <f t="shared" si="3"/>
        <v>0</v>
      </c>
      <c r="AB636" s="161"/>
      <c r="AC636" s="161">
        <f t="shared" si="4"/>
        <v>0</v>
      </c>
      <c r="AD636" s="161">
        <f t="shared" si="5"/>
        <v>0</v>
      </c>
      <c r="AE636" s="161">
        <f t="shared" si="6"/>
        <v>0</v>
      </c>
      <c r="AF636" s="167">
        <f t="shared" si="7"/>
        <v>0</v>
      </c>
      <c r="AG636" s="167">
        <f t="shared" si="8"/>
        <v>0</v>
      </c>
      <c r="AH636" s="158"/>
      <c r="AI636" s="158"/>
    </row>
    <row r="637" ht="12.75" customHeight="1">
      <c r="B637" s="160" t="str">
        <f>iferror(VLOOKUP((LEFT(A637,6)),CUSTOMER_DETAILS,2,FALSE),"-")</f>
        <v>-</v>
      </c>
      <c r="C637" s="161" t="s">
        <v>89</v>
      </c>
      <c r="D637" s="162"/>
      <c r="E637" s="161" t="s">
        <v>89</v>
      </c>
      <c r="F637" s="30" t="s">
        <v>89</v>
      </c>
      <c r="G637" s="30" t="s">
        <v>89</v>
      </c>
      <c r="H637" s="30" t="s">
        <v>89</v>
      </c>
      <c r="I637" s="48" t="s">
        <v>108</v>
      </c>
      <c r="J637" s="188" t="str">
        <f t="shared" si="15"/>
        <v/>
      </c>
      <c r="L637" s="48" t="s">
        <v>108</v>
      </c>
      <c r="O637" s="30" t="s">
        <v>89</v>
      </c>
      <c r="Q637" s="192"/>
      <c r="R637" s="161" t="str">
        <f>IFERROR(VLOOKUP(Q637,'PRODUCT TABLE'!$A$2:$B$26,2,FALSE),"-")</f>
        <v>-</v>
      </c>
      <c r="V637" s="161">
        <f t="shared" si="14"/>
        <v>0</v>
      </c>
      <c r="Y637" s="30"/>
      <c r="Z637" s="169">
        <f t="shared" si="2"/>
        <v>0</v>
      </c>
      <c r="AA637" s="167">
        <f t="shared" si="3"/>
        <v>0</v>
      </c>
      <c r="AB637" s="161"/>
      <c r="AC637" s="161">
        <f t="shared" si="4"/>
        <v>0</v>
      </c>
      <c r="AD637" s="161">
        <f t="shared" si="5"/>
        <v>0</v>
      </c>
      <c r="AE637" s="161">
        <f t="shared" si="6"/>
        <v>0</v>
      </c>
      <c r="AF637" s="167">
        <f t="shared" si="7"/>
        <v>0</v>
      </c>
      <c r="AG637" s="167">
        <f t="shared" si="8"/>
        <v>0</v>
      </c>
      <c r="AH637" s="158"/>
      <c r="AI637" s="158"/>
    </row>
    <row r="638" ht="12.75" customHeight="1">
      <c r="B638" s="160" t="str">
        <f>iferror(VLOOKUP((LEFT(A638,6)),CUSTOMER_DETAILS,2,FALSE),"-")</f>
        <v>-</v>
      </c>
      <c r="C638" s="161" t="s">
        <v>89</v>
      </c>
      <c r="D638" s="162"/>
      <c r="E638" s="161" t="s">
        <v>89</v>
      </c>
      <c r="F638" s="30" t="s">
        <v>89</v>
      </c>
      <c r="G638" s="30" t="s">
        <v>89</v>
      </c>
      <c r="H638" s="30" t="s">
        <v>89</v>
      </c>
      <c r="I638" s="48" t="s">
        <v>108</v>
      </c>
      <c r="J638" s="188" t="str">
        <f t="shared" si="15"/>
        <v/>
      </c>
      <c r="L638" s="48" t="s">
        <v>108</v>
      </c>
      <c r="O638" s="30" t="s">
        <v>89</v>
      </c>
      <c r="Q638" s="192"/>
      <c r="R638" s="161" t="str">
        <f>IFERROR(VLOOKUP(Q638,'PRODUCT TABLE'!$A$2:$B$26,2,FALSE),"-")</f>
        <v>-</v>
      </c>
      <c r="V638" s="161">
        <f t="shared" si="14"/>
        <v>0</v>
      </c>
      <c r="Y638" s="30"/>
      <c r="Z638" s="169">
        <f t="shared" si="2"/>
        <v>0</v>
      </c>
      <c r="AA638" s="167">
        <f t="shared" si="3"/>
        <v>0</v>
      </c>
      <c r="AB638" s="161"/>
      <c r="AC638" s="161">
        <f t="shared" si="4"/>
        <v>0</v>
      </c>
      <c r="AD638" s="161">
        <f t="shared" si="5"/>
        <v>0</v>
      </c>
      <c r="AE638" s="161">
        <f t="shared" si="6"/>
        <v>0</v>
      </c>
      <c r="AF638" s="167">
        <f t="shared" si="7"/>
        <v>0</v>
      </c>
      <c r="AG638" s="167">
        <f t="shared" si="8"/>
        <v>0</v>
      </c>
      <c r="AH638" s="158"/>
      <c r="AI638" s="158"/>
    </row>
    <row r="639" ht="12.75" customHeight="1">
      <c r="B639" s="160" t="str">
        <f>iferror(VLOOKUP((LEFT(A639,6)),CUSTOMER_DETAILS,2,FALSE),"-")</f>
        <v>-</v>
      </c>
      <c r="C639" s="161" t="s">
        <v>89</v>
      </c>
      <c r="D639" s="162"/>
      <c r="E639" s="161" t="s">
        <v>89</v>
      </c>
      <c r="F639" s="30" t="s">
        <v>89</v>
      </c>
      <c r="G639" s="30" t="s">
        <v>89</v>
      </c>
      <c r="H639" s="30" t="s">
        <v>89</v>
      </c>
      <c r="I639" s="48" t="s">
        <v>108</v>
      </c>
      <c r="J639" s="188" t="str">
        <f t="shared" si="15"/>
        <v/>
      </c>
      <c r="L639" s="48" t="s">
        <v>108</v>
      </c>
      <c r="O639" s="30" t="s">
        <v>89</v>
      </c>
      <c r="Q639" s="192"/>
      <c r="R639" s="161" t="str">
        <f>IFERROR(VLOOKUP(Q639,'PRODUCT TABLE'!$A$2:$B$26,2,FALSE),"-")</f>
        <v>-</v>
      </c>
      <c r="V639" s="161">
        <f t="shared" si="14"/>
        <v>0</v>
      </c>
      <c r="Y639" s="30"/>
      <c r="Z639" s="169">
        <f t="shared" si="2"/>
        <v>0</v>
      </c>
      <c r="AA639" s="167">
        <f t="shared" si="3"/>
        <v>0</v>
      </c>
      <c r="AB639" s="161"/>
      <c r="AC639" s="161">
        <f t="shared" si="4"/>
        <v>0</v>
      </c>
      <c r="AD639" s="161">
        <f t="shared" si="5"/>
        <v>0</v>
      </c>
      <c r="AE639" s="161">
        <f t="shared" si="6"/>
        <v>0</v>
      </c>
      <c r="AF639" s="167">
        <f t="shared" si="7"/>
        <v>0</v>
      </c>
      <c r="AG639" s="167">
        <f t="shared" si="8"/>
        <v>0</v>
      </c>
      <c r="AH639" s="158"/>
      <c r="AI639" s="158"/>
    </row>
    <row r="640" ht="12.75" customHeight="1">
      <c r="B640" s="160" t="str">
        <f>iferror(VLOOKUP((LEFT(A640,6)),CUSTOMER_DETAILS,2,FALSE),"-")</f>
        <v>-</v>
      </c>
      <c r="C640" s="161" t="s">
        <v>89</v>
      </c>
      <c r="D640" s="162"/>
      <c r="E640" s="161" t="s">
        <v>89</v>
      </c>
      <c r="F640" s="30" t="s">
        <v>89</v>
      </c>
      <c r="G640" s="30" t="s">
        <v>89</v>
      </c>
      <c r="H640" s="30" t="s">
        <v>89</v>
      </c>
      <c r="I640" s="48" t="s">
        <v>108</v>
      </c>
      <c r="J640" s="188" t="str">
        <f t="shared" si="15"/>
        <v/>
      </c>
      <c r="L640" s="48" t="s">
        <v>108</v>
      </c>
      <c r="O640" s="30" t="s">
        <v>89</v>
      </c>
      <c r="Q640" s="192"/>
      <c r="R640" s="161" t="str">
        <f>IFERROR(VLOOKUP(Q640,'PRODUCT TABLE'!$A$2:$B$26,2,FALSE),"-")</f>
        <v>-</v>
      </c>
      <c r="V640" s="161">
        <f t="shared" si="14"/>
        <v>0</v>
      </c>
      <c r="Y640" s="30"/>
      <c r="Z640" s="169">
        <f t="shared" si="2"/>
        <v>0</v>
      </c>
      <c r="AA640" s="167">
        <f t="shared" si="3"/>
        <v>0</v>
      </c>
      <c r="AB640" s="161"/>
      <c r="AC640" s="161">
        <f t="shared" si="4"/>
        <v>0</v>
      </c>
      <c r="AD640" s="161">
        <f t="shared" si="5"/>
        <v>0</v>
      </c>
      <c r="AE640" s="161">
        <f t="shared" si="6"/>
        <v>0</v>
      </c>
      <c r="AF640" s="167">
        <f t="shared" si="7"/>
        <v>0</v>
      </c>
      <c r="AG640" s="167">
        <f t="shared" si="8"/>
        <v>0</v>
      </c>
      <c r="AH640" s="158"/>
      <c r="AI640" s="158"/>
    </row>
    <row r="641" ht="12.75" customHeight="1">
      <c r="B641" s="160" t="str">
        <f>iferror(VLOOKUP((LEFT(A641,6)),CUSTOMER_DETAILS,2,FALSE),"-")</f>
        <v>-</v>
      </c>
      <c r="C641" s="161" t="s">
        <v>89</v>
      </c>
      <c r="D641" s="162"/>
      <c r="E641" s="161" t="s">
        <v>89</v>
      </c>
      <c r="F641" s="30" t="s">
        <v>89</v>
      </c>
      <c r="G641" s="30" t="s">
        <v>89</v>
      </c>
      <c r="H641" s="30" t="s">
        <v>89</v>
      </c>
      <c r="I641" s="48" t="s">
        <v>108</v>
      </c>
      <c r="J641" s="188" t="str">
        <f t="shared" si="15"/>
        <v/>
      </c>
      <c r="L641" s="48" t="s">
        <v>108</v>
      </c>
      <c r="O641" s="30" t="s">
        <v>89</v>
      </c>
      <c r="Q641" s="192"/>
      <c r="R641" s="161" t="str">
        <f>IFERROR(VLOOKUP(Q641,'PRODUCT TABLE'!$A$2:$B$26,2,FALSE),"-")</f>
        <v>-</v>
      </c>
      <c r="V641" s="161">
        <f t="shared" si="14"/>
        <v>0</v>
      </c>
      <c r="Y641" s="30"/>
      <c r="Z641" s="169">
        <f t="shared" si="2"/>
        <v>0</v>
      </c>
      <c r="AA641" s="167">
        <f t="shared" si="3"/>
        <v>0</v>
      </c>
      <c r="AB641" s="161"/>
      <c r="AC641" s="161">
        <f t="shared" si="4"/>
        <v>0</v>
      </c>
      <c r="AD641" s="161">
        <f t="shared" si="5"/>
        <v>0</v>
      </c>
      <c r="AE641" s="161">
        <f t="shared" si="6"/>
        <v>0</v>
      </c>
      <c r="AF641" s="167">
        <f t="shared" si="7"/>
        <v>0</v>
      </c>
      <c r="AG641" s="167">
        <f t="shared" si="8"/>
        <v>0</v>
      </c>
      <c r="AH641" s="158"/>
      <c r="AI641" s="158"/>
    </row>
    <row r="642" ht="12.75" customHeight="1">
      <c r="B642" s="160" t="str">
        <f>iferror(VLOOKUP((LEFT(A642,6)),CUSTOMER_DETAILS,2,FALSE),"-")</f>
        <v>-</v>
      </c>
      <c r="C642" s="161" t="s">
        <v>89</v>
      </c>
      <c r="D642" s="162"/>
      <c r="E642" s="161" t="s">
        <v>89</v>
      </c>
      <c r="F642" s="30" t="s">
        <v>89</v>
      </c>
      <c r="G642" s="30" t="s">
        <v>89</v>
      </c>
      <c r="H642" s="30" t="s">
        <v>89</v>
      </c>
      <c r="I642" s="48" t="s">
        <v>108</v>
      </c>
      <c r="J642" s="188" t="str">
        <f t="shared" si="15"/>
        <v/>
      </c>
      <c r="L642" s="48" t="s">
        <v>108</v>
      </c>
      <c r="O642" s="30" t="s">
        <v>89</v>
      </c>
      <c r="Q642" s="192"/>
      <c r="R642" s="161" t="str">
        <f>IFERROR(VLOOKUP(Q642,'PRODUCT TABLE'!$A$2:$B$26,2,FALSE),"-")</f>
        <v>-</v>
      </c>
      <c r="V642" s="161">
        <f t="shared" si="14"/>
        <v>0</v>
      </c>
      <c r="Y642" s="30"/>
      <c r="Z642" s="169">
        <f t="shared" si="2"/>
        <v>0</v>
      </c>
      <c r="AA642" s="167">
        <f t="shared" si="3"/>
        <v>0</v>
      </c>
      <c r="AB642" s="161"/>
      <c r="AC642" s="161">
        <f t="shared" si="4"/>
        <v>0</v>
      </c>
      <c r="AD642" s="161">
        <f t="shared" si="5"/>
        <v>0</v>
      </c>
      <c r="AE642" s="161">
        <f t="shared" si="6"/>
        <v>0</v>
      </c>
      <c r="AF642" s="167">
        <f t="shared" si="7"/>
        <v>0</v>
      </c>
      <c r="AG642" s="167">
        <f t="shared" si="8"/>
        <v>0</v>
      </c>
      <c r="AH642" s="158"/>
      <c r="AI642" s="158"/>
    </row>
    <row r="643" ht="12.75" customHeight="1">
      <c r="B643" s="160" t="str">
        <f>iferror(VLOOKUP((LEFT(A643,6)),CUSTOMER_DETAILS,2,FALSE),"-")</f>
        <v>-</v>
      </c>
      <c r="C643" s="161" t="s">
        <v>89</v>
      </c>
      <c r="D643" s="162"/>
      <c r="E643" s="161" t="s">
        <v>89</v>
      </c>
      <c r="F643" s="30" t="s">
        <v>89</v>
      </c>
      <c r="G643" s="30" t="s">
        <v>89</v>
      </c>
      <c r="H643" s="30" t="s">
        <v>89</v>
      </c>
      <c r="I643" s="48" t="s">
        <v>108</v>
      </c>
      <c r="J643" s="188" t="str">
        <f t="shared" si="15"/>
        <v/>
      </c>
      <c r="L643" s="48" t="s">
        <v>108</v>
      </c>
      <c r="O643" s="30" t="s">
        <v>89</v>
      </c>
      <c r="Q643" s="192"/>
      <c r="R643" s="161" t="str">
        <f>IFERROR(VLOOKUP(Q643,'PRODUCT TABLE'!$A$2:$B$26,2,FALSE),"-")</f>
        <v>-</v>
      </c>
      <c r="V643" s="161">
        <f t="shared" si="14"/>
        <v>0</v>
      </c>
      <c r="Y643" s="30"/>
      <c r="Z643" s="169">
        <f t="shared" si="2"/>
        <v>0</v>
      </c>
      <c r="AA643" s="167">
        <f t="shared" si="3"/>
        <v>0</v>
      </c>
      <c r="AB643" s="161"/>
      <c r="AC643" s="161">
        <f t="shared" si="4"/>
        <v>0</v>
      </c>
      <c r="AD643" s="161">
        <f t="shared" si="5"/>
        <v>0</v>
      </c>
      <c r="AE643" s="161">
        <f t="shared" si="6"/>
        <v>0</v>
      </c>
      <c r="AF643" s="167">
        <f t="shared" si="7"/>
        <v>0</v>
      </c>
      <c r="AG643" s="167">
        <f t="shared" si="8"/>
        <v>0</v>
      </c>
      <c r="AH643" s="158"/>
      <c r="AI643" s="158"/>
    </row>
    <row r="644" ht="12.75" customHeight="1">
      <c r="B644" s="160" t="str">
        <f>iferror(VLOOKUP((LEFT(A644,6)),CUSTOMER_DETAILS,2,FALSE),"-")</f>
        <v>-</v>
      </c>
      <c r="C644" s="161" t="s">
        <v>89</v>
      </c>
      <c r="D644" s="162"/>
      <c r="E644" s="161" t="s">
        <v>89</v>
      </c>
      <c r="F644" s="30" t="s">
        <v>89</v>
      </c>
      <c r="G644" s="30" t="s">
        <v>89</v>
      </c>
      <c r="H644" s="30" t="s">
        <v>89</v>
      </c>
      <c r="I644" s="48" t="s">
        <v>108</v>
      </c>
      <c r="J644" s="188" t="str">
        <f t="shared" si="15"/>
        <v/>
      </c>
      <c r="L644" s="48" t="s">
        <v>108</v>
      </c>
      <c r="O644" s="30" t="s">
        <v>89</v>
      </c>
      <c r="Q644" s="192"/>
      <c r="R644" s="161" t="str">
        <f>IFERROR(VLOOKUP(Q644,'PRODUCT TABLE'!$A$2:$B$26,2,FALSE),"-")</f>
        <v>-</v>
      </c>
      <c r="V644" s="161">
        <f t="shared" si="14"/>
        <v>0</v>
      </c>
      <c r="Y644" s="30"/>
      <c r="Z644" s="169">
        <f t="shared" si="2"/>
        <v>0</v>
      </c>
      <c r="AA644" s="167">
        <f t="shared" si="3"/>
        <v>0</v>
      </c>
      <c r="AB644" s="161"/>
      <c r="AC644" s="161">
        <f t="shared" si="4"/>
        <v>0</v>
      </c>
      <c r="AD644" s="161">
        <f t="shared" si="5"/>
        <v>0</v>
      </c>
      <c r="AE644" s="161">
        <f t="shared" si="6"/>
        <v>0</v>
      </c>
      <c r="AF644" s="167">
        <f t="shared" si="7"/>
        <v>0</v>
      </c>
      <c r="AG644" s="167">
        <f t="shared" si="8"/>
        <v>0</v>
      </c>
      <c r="AH644" s="158"/>
      <c r="AI644" s="158"/>
    </row>
    <row r="645" ht="12.75" customHeight="1">
      <c r="B645" s="160" t="str">
        <f>iferror(VLOOKUP((LEFT(A645,6)),CUSTOMER_DETAILS,2,FALSE),"-")</f>
        <v>-</v>
      </c>
      <c r="C645" s="161" t="s">
        <v>89</v>
      </c>
      <c r="D645" s="162"/>
      <c r="E645" s="161" t="s">
        <v>89</v>
      </c>
      <c r="F645" s="30" t="s">
        <v>89</v>
      </c>
      <c r="G645" s="30" t="s">
        <v>89</v>
      </c>
      <c r="H645" s="30" t="s">
        <v>89</v>
      </c>
      <c r="I645" s="48" t="s">
        <v>108</v>
      </c>
      <c r="J645" s="188" t="str">
        <f t="shared" si="15"/>
        <v/>
      </c>
      <c r="L645" s="48" t="s">
        <v>108</v>
      </c>
      <c r="O645" s="30" t="s">
        <v>89</v>
      </c>
      <c r="Q645" s="192"/>
      <c r="R645" s="161" t="str">
        <f>IFERROR(VLOOKUP(Q645,'PRODUCT TABLE'!$A$2:$B$26,2,FALSE),"-")</f>
        <v>-</v>
      </c>
      <c r="V645" s="161">
        <f t="shared" si="14"/>
        <v>0</v>
      </c>
      <c r="Y645" s="30"/>
      <c r="Z645" s="169">
        <f t="shared" si="2"/>
        <v>0</v>
      </c>
      <c r="AA645" s="167">
        <f t="shared" si="3"/>
        <v>0</v>
      </c>
      <c r="AB645" s="161"/>
      <c r="AC645" s="161">
        <f t="shared" si="4"/>
        <v>0</v>
      </c>
      <c r="AD645" s="161">
        <f t="shared" si="5"/>
        <v>0</v>
      </c>
      <c r="AE645" s="161">
        <f t="shared" si="6"/>
        <v>0</v>
      </c>
      <c r="AF645" s="167">
        <f t="shared" si="7"/>
        <v>0</v>
      </c>
      <c r="AG645" s="167">
        <f t="shared" si="8"/>
        <v>0</v>
      </c>
      <c r="AH645" s="158"/>
      <c r="AI645" s="158"/>
    </row>
    <row r="646" ht="12.75" customHeight="1">
      <c r="B646" s="160" t="str">
        <f>iferror(VLOOKUP((LEFT(A646,6)),CUSTOMER_DETAILS,2,FALSE),"-")</f>
        <v>-</v>
      </c>
      <c r="C646" s="161" t="s">
        <v>89</v>
      </c>
      <c r="D646" s="162"/>
      <c r="E646" s="161" t="s">
        <v>89</v>
      </c>
      <c r="F646" s="30" t="s">
        <v>89</v>
      </c>
      <c r="G646" s="30" t="s">
        <v>89</v>
      </c>
      <c r="H646" s="30" t="s">
        <v>89</v>
      </c>
      <c r="I646" s="48" t="s">
        <v>108</v>
      </c>
      <c r="J646" s="188" t="str">
        <f t="shared" si="15"/>
        <v/>
      </c>
      <c r="L646" s="48" t="s">
        <v>108</v>
      </c>
      <c r="O646" s="30" t="s">
        <v>89</v>
      </c>
      <c r="Q646" s="192"/>
      <c r="R646" s="161" t="str">
        <f>IFERROR(VLOOKUP(Q646,'PRODUCT TABLE'!$A$2:$B$26,2,FALSE),"-")</f>
        <v>-</v>
      </c>
      <c r="V646" s="161">
        <f t="shared" si="14"/>
        <v>0</v>
      </c>
      <c r="Y646" s="30"/>
      <c r="Z646" s="169">
        <f t="shared" si="2"/>
        <v>0</v>
      </c>
      <c r="AA646" s="167">
        <f t="shared" si="3"/>
        <v>0</v>
      </c>
      <c r="AB646" s="161"/>
      <c r="AC646" s="161">
        <f t="shared" si="4"/>
        <v>0</v>
      </c>
      <c r="AD646" s="161">
        <f t="shared" si="5"/>
        <v>0</v>
      </c>
      <c r="AE646" s="161">
        <f t="shared" si="6"/>
        <v>0</v>
      </c>
      <c r="AF646" s="167">
        <f t="shared" si="7"/>
        <v>0</v>
      </c>
      <c r="AG646" s="167">
        <f t="shared" si="8"/>
        <v>0</v>
      </c>
      <c r="AH646" s="158"/>
      <c r="AI646" s="158"/>
    </row>
    <row r="647" ht="12.75" customHeight="1">
      <c r="B647" s="160" t="str">
        <f>iferror(VLOOKUP((LEFT(A647,6)),CUSTOMER_DETAILS,2,FALSE),"-")</f>
        <v>-</v>
      </c>
      <c r="C647" s="161" t="s">
        <v>89</v>
      </c>
      <c r="D647" s="162"/>
      <c r="E647" s="161" t="s">
        <v>89</v>
      </c>
      <c r="F647" s="30" t="s">
        <v>89</v>
      </c>
      <c r="G647" s="30" t="s">
        <v>89</v>
      </c>
      <c r="H647" s="30" t="s">
        <v>89</v>
      </c>
      <c r="I647" s="48" t="s">
        <v>108</v>
      </c>
      <c r="J647" s="188" t="str">
        <f t="shared" si="15"/>
        <v/>
      </c>
      <c r="L647" s="48" t="s">
        <v>108</v>
      </c>
      <c r="O647" s="30" t="s">
        <v>89</v>
      </c>
      <c r="Q647" s="192"/>
      <c r="R647" s="161" t="str">
        <f>IFERROR(VLOOKUP(Q647,'PRODUCT TABLE'!$A$2:$B$26,2,FALSE),"-")</f>
        <v>-</v>
      </c>
      <c r="V647" s="161">
        <f t="shared" si="14"/>
        <v>0</v>
      </c>
      <c r="Y647" s="30"/>
      <c r="Z647" s="169">
        <f t="shared" si="2"/>
        <v>0</v>
      </c>
      <c r="AA647" s="167">
        <f t="shared" si="3"/>
        <v>0</v>
      </c>
      <c r="AB647" s="161"/>
      <c r="AC647" s="161">
        <f t="shared" si="4"/>
        <v>0</v>
      </c>
      <c r="AD647" s="161">
        <f t="shared" si="5"/>
        <v>0</v>
      </c>
      <c r="AE647" s="161">
        <f t="shared" si="6"/>
        <v>0</v>
      </c>
      <c r="AF647" s="167">
        <f t="shared" si="7"/>
        <v>0</v>
      </c>
      <c r="AG647" s="167">
        <f t="shared" si="8"/>
        <v>0</v>
      </c>
      <c r="AH647" s="158"/>
      <c r="AI647" s="158"/>
    </row>
    <row r="648" ht="12.75" customHeight="1">
      <c r="B648" s="160" t="str">
        <f>iferror(VLOOKUP((LEFT(A648,6)),CUSTOMER_DETAILS,2,FALSE),"-")</f>
        <v>-</v>
      </c>
      <c r="C648" s="161" t="s">
        <v>89</v>
      </c>
      <c r="D648" s="162"/>
      <c r="E648" s="161" t="s">
        <v>89</v>
      </c>
      <c r="F648" s="30" t="s">
        <v>89</v>
      </c>
      <c r="G648" s="30" t="s">
        <v>89</v>
      </c>
      <c r="H648" s="30" t="s">
        <v>89</v>
      </c>
      <c r="I648" s="48" t="s">
        <v>108</v>
      </c>
      <c r="J648" s="188" t="str">
        <f t="shared" si="15"/>
        <v/>
      </c>
      <c r="L648" s="48" t="s">
        <v>108</v>
      </c>
      <c r="O648" s="30" t="s">
        <v>89</v>
      </c>
      <c r="Q648" s="192"/>
      <c r="R648" s="161" t="str">
        <f>IFERROR(VLOOKUP(Q648,'PRODUCT TABLE'!$A$2:$B$26,2,FALSE),"-")</f>
        <v>-</v>
      </c>
      <c r="V648" s="161">
        <f t="shared" si="14"/>
        <v>0</v>
      </c>
      <c r="Y648" s="30"/>
      <c r="Z648" s="169">
        <f t="shared" si="2"/>
        <v>0</v>
      </c>
      <c r="AA648" s="167">
        <f t="shared" si="3"/>
        <v>0</v>
      </c>
      <c r="AB648" s="161"/>
      <c r="AC648" s="161">
        <f t="shared" si="4"/>
        <v>0</v>
      </c>
      <c r="AD648" s="161">
        <f t="shared" si="5"/>
        <v>0</v>
      </c>
      <c r="AE648" s="161">
        <f t="shared" si="6"/>
        <v>0</v>
      </c>
      <c r="AF648" s="167">
        <f t="shared" si="7"/>
        <v>0</v>
      </c>
      <c r="AG648" s="167">
        <f t="shared" si="8"/>
        <v>0</v>
      </c>
      <c r="AH648" s="158"/>
      <c r="AI648" s="158"/>
    </row>
    <row r="649" ht="12.75" customHeight="1">
      <c r="B649" s="160" t="str">
        <f>iferror(VLOOKUP((LEFT(A649,6)),CUSTOMER_DETAILS,2,FALSE),"-")</f>
        <v>-</v>
      </c>
      <c r="C649" s="161" t="s">
        <v>89</v>
      </c>
      <c r="D649" s="162"/>
      <c r="E649" s="161" t="s">
        <v>89</v>
      </c>
      <c r="F649" s="30" t="s">
        <v>89</v>
      </c>
      <c r="G649" s="30" t="s">
        <v>89</v>
      </c>
      <c r="H649" s="30" t="s">
        <v>89</v>
      </c>
      <c r="I649" s="48" t="s">
        <v>108</v>
      </c>
      <c r="J649" s="188" t="str">
        <f t="shared" si="15"/>
        <v/>
      </c>
      <c r="L649" s="48" t="s">
        <v>108</v>
      </c>
      <c r="O649" s="30" t="s">
        <v>89</v>
      </c>
      <c r="Q649" s="192"/>
      <c r="R649" s="161" t="str">
        <f>IFERROR(VLOOKUP(Q649,'PRODUCT TABLE'!$A$2:$B$26,2,FALSE),"-")</f>
        <v>-</v>
      </c>
      <c r="V649" s="161">
        <f t="shared" si="14"/>
        <v>0</v>
      </c>
      <c r="Y649" s="30"/>
      <c r="Z649" s="169">
        <f t="shared" si="2"/>
        <v>0</v>
      </c>
      <c r="AA649" s="167">
        <f t="shared" si="3"/>
        <v>0</v>
      </c>
      <c r="AB649" s="161"/>
      <c r="AC649" s="161">
        <f t="shared" si="4"/>
        <v>0</v>
      </c>
      <c r="AD649" s="161">
        <f t="shared" si="5"/>
        <v>0</v>
      </c>
      <c r="AE649" s="161">
        <f t="shared" si="6"/>
        <v>0</v>
      </c>
      <c r="AF649" s="167">
        <f t="shared" si="7"/>
        <v>0</v>
      </c>
      <c r="AG649" s="167">
        <f t="shared" si="8"/>
        <v>0</v>
      </c>
      <c r="AH649" s="158"/>
      <c r="AI649" s="158"/>
    </row>
    <row r="650" ht="12.75" customHeight="1">
      <c r="B650" s="160" t="str">
        <f>iferror(VLOOKUP((LEFT(A650,6)),CUSTOMER_DETAILS,2,FALSE),"-")</f>
        <v>-</v>
      </c>
      <c r="C650" s="161" t="s">
        <v>89</v>
      </c>
      <c r="D650" s="162"/>
      <c r="E650" s="161" t="s">
        <v>89</v>
      </c>
      <c r="F650" s="30" t="s">
        <v>89</v>
      </c>
      <c r="G650" s="30" t="s">
        <v>89</v>
      </c>
      <c r="H650" s="30" t="s">
        <v>89</v>
      </c>
      <c r="I650" s="48" t="s">
        <v>108</v>
      </c>
      <c r="J650" s="188" t="str">
        <f t="shared" si="15"/>
        <v/>
      </c>
      <c r="L650" s="48" t="s">
        <v>108</v>
      </c>
      <c r="O650" s="30" t="s">
        <v>89</v>
      </c>
      <c r="Q650" s="192"/>
      <c r="R650" s="161" t="str">
        <f>IFERROR(VLOOKUP(Q650,'PRODUCT TABLE'!$A$2:$B$26,2,FALSE),"-")</f>
        <v>-</v>
      </c>
      <c r="V650" s="161">
        <f t="shared" si="14"/>
        <v>0</v>
      </c>
      <c r="Y650" s="30"/>
      <c r="Z650" s="169">
        <f t="shared" si="2"/>
        <v>0</v>
      </c>
      <c r="AA650" s="167">
        <f t="shared" si="3"/>
        <v>0</v>
      </c>
      <c r="AB650" s="161"/>
      <c r="AC650" s="161">
        <f t="shared" si="4"/>
        <v>0</v>
      </c>
      <c r="AD650" s="161">
        <f t="shared" si="5"/>
        <v>0</v>
      </c>
      <c r="AE650" s="161">
        <f t="shared" si="6"/>
        <v>0</v>
      </c>
      <c r="AF650" s="167">
        <f t="shared" si="7"/>
        <v>0</v>
      </c>
      <c r="AG650" s="167">
        <f t="shared" si="8"/>
        <v>0</v>
      </c>
      <c r="AH650" s="158"/>
      <c r="AI650" s="158"/>
    </row>
    <row r="651" ht="12.75" customHeight="1">
      <c r="B651" s="160" t="str">
        <f>iferror(VLOOKUP((LEFT(A651,6)),CUSTOMER_DETAILS,2,FALSE),"-")</f>
        <v>-</v>
      </c>
      <c r="C651" s="161" t="s">
        <v>89</v>
      </c>
      <c r="D651" s="162"/>
      <c r="E651" s="161" t="s">
        <v>89</v>
      </c>
      <c r="F651" s="30" t="s">
        <v>89</v>
      </c>
      <c r="G651" s="30" t="s">
        <v>89</v>
      </c>
      <c r="H651" s="30" t="s">
        <v>89</v>
      </c>
      <c r="I651" s="48" t="s">
        <v>108</v>
      </c>
      <c r="J651" s="188" t="str">
        <f t="shared" si="15"/>
        <v/>
      </c>
      <c r="L651" s="48" t="s">
        <v>108</v>
      </c>
      <c r="O651" s="30" t="s">
        <v>89</v>
      </c>
      <c r="Q651" s="192"/>
      <c r="R651" s="161" t="str">
        <f>IFERROR(VLOOKUP(Q651,'PRODUCT TABLE'!$A$2:$B$26,2,FALSE),"-")</f>
        <v>-</v>
      </c>
      <c r="V651" s="161">
        <f t="shared" si="14"/>
        <v>0</v>
      </c>
      <c r="Y651" s="30"/>
      <c r="Z651" s="169">
        <f t="shared" si="2"/>
        <v>0</v>
      </c>
      <c r="AA651" s="167">
        <f t="shared" si="3"/>
        <v>0</v>
      </c>
      <c r="AB651" s="161"/>
      <c r="AC651" s="161">
        <f t="shared" si="4"/>
        <v>0</v>
      </c>
      <c r="AD651" s="161">
        <f t="shared" si="5"/>
        <v>0</v>
      </c>
      <c r="AE651" s="161">
        <f t="shared" si="6"/>
        <v>0</v>
      </c>
      <c r="AF651" s="167">
        <f t="shared" si="7"/>
        <v>0</v>
      </c>
      <c r="AG651" s="167">
        <f t="shared" si="8"/>
        <v>0</v>
      </c>
      <c r="AH651" s="158"/>
      <c r="AI651" s="158"/>
    </row>
    <row r="652" ht="12.75" customHeight="1">
      <c r="B652" s="160" t="str">
        <f>iferror(VLOOKUP((LEFT(A652,6)),CUSTOMER_DETAILS,2,FALSE),"-")</f>
        <v>-</v>
      </c>
      <c r="C652" s="161" t="s">
        <v>89</v>
      </c>
      <c r="D652" s="162"/>
      <c r="E652" s="161" t="s">
        <v>89</v>
      </c>
      <c r="F652" s="30" t="s">
        <v>89</v>
      </c>
      <c r="G652" s="30" t="s">
        <v>89</v>
      </c>
      <c r="H652" s="30" t="s">
        <v>89</v>
      </c>
      <c r="I652" s="48" t="s">
        <v>108</v>
      </c>
      <c r="J652" s="188" t="str">
        <f t="shared" si="15"/>
        <v/>
      </c>
      <c r="L652" s="48" t="s">
        <v>108</v>
      </c>
      <c r="O652" s="30" t="s">
        <v>89</v>
      </c>
      <c r="Q652" s="192"/>
      <c r="R652" s="161" t="str">
        <f>IFERROR(VLOOKUP(Q652,'PRODUCT TABLE'!$A$2:$B$26,2,FALSE),"-")</f>
        <v>-</v>
      </c>
      <c r="V652" s="161">
        <f t="shared" si="14"/>
        <v>0</v>
      </c>
      <c r="Y652" s="30"/>
      <c r="Z652" s="169">
        <f t="shared" si="2"/>
        <v>0</v>
      </c>
      <c r="AA652" s="167">
        <f t="shared" si="3"/>
        <v>0</v>
      </c>
      <c r="AB652" s="161"/>
      <c r="AC652" s="161">
        <f t="shared" si="4"/>
        <v>0</v>
      </c>
      <c r="AD652" s="161">
        <f t="shared" si="5"/>
        <v>0</v>
      </c>
      <c r="AE652" s="161">
        <f t="shared" si="6"/>
        <v>0</v>
      </c>
      <c r="AF652" s="167">
        <f t="shared" si="7"/>
        <v>0</v>
      </c>
      <c r="AG652" s="167">
        <f t="shared" si="8"/>
        <v>0</v>
      </c>
      <c r="AH652" s="158"/>
      <c r="AI652" s="158"/>
    </row>
    <row r="653" ht="12.75" customHeight="1">
      <c r="B653" s="160" t="str">
        <f>iferror(VLOOKUP((LEFT(A653,6)),CUSTOMER_DETAILS,2,FALSE),"-")</f>
        <v>-</v>
      </c>
      <c r="C653" s="161" t="s">
        <v>89</v>
      </c>
      <c r="D653" s="162"/>
      <c r="E653" s="161" t="s">
        <v>89</v>
      </c>
      <c r="F653" s="30" t="s">
        <v>89</v>
      </c>
      <c r="G653" s="30" t="s">
        <v>89</v>
      </c>
      <c r="H653" s="30" t="s">
        <v>89</v>
      </c>
      <c r="I653" s="48" t="s">
        <v>108</v>
      </c>
      <c r="J653" s="188" t="str">
        <f t="shared" si="15"/>
        <v/>
      </c>
      <c r="L653" s="48" t="s">
        <v>108</v>
      </c>
      <c r="O653" s="30" t="s">
        <v>89</v>
      </c>
      <c r="Q653" s="192"/>
      <c r="R653" s="161" t="str">
        <f>IFERROR(VLOOKUP(Q653,'PRODUCT TABLE'!$A$2:$B$26,2,FALSE),"-")</f>
        <v>-</v>
      </c>
      <c r="V653" s="161">
        <f t="shared" si="14"/>
        <v>0</v>
      </c>
      <c r="Y653" s="30"/>
      <c r="Z653" s="169">
        <f t="shared" si="2"/>
        <v>0</v>
      </c>
      <c r="AA653" s="167">
        <f t="shared" si="3"/>
        <v>0</v>
      </c>
      <c r="AB653" s="161"/>
      <c r="AC653" s="161">
        <f t="shared" si="4"/>
        <v>0</v>
      </c>
      <c r="AD653" s="161">
        <f t="shared" si="5"/>
        <v>0</v>
      </c>
      <c r="AE653" s="161">
        <f t="shared" si="6"/>
        <v>0</v>
      </c>
      <c r="AF653" s="167">
        <f t="shared" si="7"/>
        <v>0</v>
      </c>
      <c r="AG653" s="167">
        <f t="shared" si="8"/>
        <v>0</v>
      </c>
      <c r="AH653" s="158"/>
      <c r="AI653" s="158"/>
    </row>
    <row r="654" ht="12.75" customHeight="1">
      <c r="B654" s="160" t="str">
        <f>iferror(VLOOKUP((LEFT(A654,6)),CUSTOMER_DETAILS,2,FALSE),"-")</f>
        <v>-</v>
      </c>
      <c r="C654" s="161" t="s">
        <v>89</v>
      </c>
      <c r="D654" s="162"/>
      <c r="E654" s="161" t="s">
        <v>89</v>
      </c>
      <c r="F654" s="30" t="s">
        <v>89</v>
      </c>
      <c r="G654" s="30" t="s">
        <v>89</v>
      </c>
      <c r="H654" s="30" t="s">
        <v>89</v>
      </c>
      <c r="I654" s="48" t="s">
        <v>108</v>
      </c>
      <c r="J654" s="188" t="str">
        <f t="shared" si="15"/>
        <v/>
      </c>
      <c r="L654" s="48" t="s">
        <v>108</v>
      </c>
      <c r="O654" s="30" t="s">
        <v>89</v>
      </c>
      <c r="Q654" s="192"/>
      <c r="R654" s="161" t="str">
        <f>IFERROR(VLOOKUP(Q654,'PRODUCT TABLE'!$A$2:$B$26,2,FALSE),"-")</f>
        <v>-</v>
      </c>
      <c r="V654" s="161">
        <f t="shared" si="14"/>
        <v>0</v>
      </c>
      <c r="Y654" s="30"/>
      <c r="Z654" s="169">
        <f t="shared" si="2"/>
        <v>0</v>
      </c>
      <c r="AA654" s="167">
        <f t="shared" si="3"/>
        <v>0</v>
      </c>
      <c r="AB654" s="161"/>
      <c r="AC654" s="161">
        <f t="shared" si="4"/>
        <v>0</v>
      </c>
      <c r="AD654" s="161">
        <f t="shared" si="5"/>
        <v>0</v>
      </c>
      <c r="AE654" s="161">
        <f t="shared" si="6"/>
        <v>0</v>
      </c>
      <c r="AF654" s="167">
        <f t="shared" si="7"/>
        <v>0</v>
      </c>
      <c r="AG654" s="167">
        <f t="shared" si="8"/>
        <v>0</v>
      </c>
      <c r="AH654" s="158"/>
      <c r="AI654" s="158"/>
    </row>
    <row r="655" ht="12.75" customHeight="1">
      <c r="B655" s="160" t="str">
        <f>iferror(VLOOKUP((LEFT(A655,6)),CUSTOMER_DETAILS,2,FALSE),"-")</f>
        <v>-</v>
      </c>
      <c r="C655" s="161" t="s">
        <v>89</v>
      </c>
      <c r="D655" s="162"/>
      <c r="E655" s="161" t="s">
        <v>89</v>
      </c>
      <c r="F655" s="30" t="s">
        <v>89</v>
      </c>
      <c r="G655" s="30" t="s">
        <v>89</v>
      </c>
      <c r="H655" s="30" t="s">
        <v>89</v>
      </c>
      <c r="I655" s="48" t="s">
        <v>108</v>
      </c>
      <c r="J655" s="188" t="str">
        <f t="shared" si="15"/>
        <v/>
      </c>
      <c r="L655" s="48" t="s">
        <v>108</v>
      </c>
      <c r="O655" s="30" t="s">
        <v>89</v>
      </c>
      <c r="Q655" s="192"/>
      <c r="R655" s="161" t="str">
        <f>IFERROR(VLOOKUP(Q655,'PRODUCT TABLE'!$A$2:$B$26,2,FALSE),"-")</f>
        <v>-</v>
      </c>
      <c r="V655" s="161">
        <f t="shared" si="14"/>
        <v>0</v>
      </c>
      <c r="Y655" s="30"/>
      <c r="Z655" s="169">
        <f t="shared" si="2"/>
        <v>0</v>
      </c>
      <c r="AA655" s="167">
        <f t="shared" si="3"/>
        <v>0</v>
      </c>
      <c r="AB655" s="161"/>
      <c r="AC655" s="161">
        <f t="shared" si="4"/>
        <v>0</v>
      </c>
      <c r="AD655" s="161">
        <f t="shared" si="5"/>
        <v>0</v>
      </c>
      <c r="AE655" s="161">
        <f t="shared" si="6"/>
        <v>0</v>
      </c>
      <c r="AF655" s="167">
        <f t="shared" si="7"/>
        <v>0</v>
      </c>
      <c r="AG655" s="167">
        <f t="shared" si="8"/>
        <v>0</v>
      </c>
      <c r="AH655" s="158"/>
      <c r="AI655" s="158"/>
    </row>
    <row r="656" ht="12.75" customHeight="1">
      <c r="B656" s="160" t="str">
        <f>iferror(VLOOKUP((LEFT(A656,6)),CUSTOMER_DETAILS,2,FALSE),"-")</f>
        <v>-</v>
      </c>
      <c r="C656" s="161" t="s">
        <v>89</v>
      </c>
      <c r="D656" s="162"/>
      <c r="E656" s="161" t="s">
        <v>89</v>
      </c>
      <c r="F656" s="30" t="s">
        <v>89</v>
      </c>
      <c r="G656" s="30" t="s">
        <v>89</v>
      </c>
      <c r="H656" s="30" t="s">
        <v>89</v>
      </c>
      <c r="I656" s="48" t="s">
        <v>108</v>
      </c>
      <c r="J656" s="188" t="str">
        <f t="shared" si="15"/>
        <v/>
      </c>
      <c r="L656" s="48" t="s">
        <v>108</v>
      </c>
      <c r="O656" s="30" t="s">
        <v>89</v>
      </c>
      <c r="Q656" s="192"/>
      <c r="R656" s="161" t="str">
        <f>IFERROR(VLOOKUP(Q656,'PRODUCT TABLE'!$A$2:$B$26,2,FALSE),"-")</f>
        <v>-</v>
      </c>
      <c r="V656" s="161">
        <f t="shared" si="14"/>
        <v>0</v>
      </c>
      <c r="Y656" s="30"/>
      <c r="Z656" s="169">
        <f t="shared" si="2"/>
        <v>0</v>
      </c>
      <c r="AA656" s="167">
        <f t="shared" si="3"/>
        <v>0</v>
      </c>
      <c r="AB656" s="161"/>
      <c r="AC656" s="161">
        <f t="shared" si="4"/>
        <v>0</v>
      </c>
      <c r="AD656" s="161">
        <f t="shared" si="5"/>
        <v>0</v>
      </c>
      <c r="AE656" s="161">
        <f t="shared" si="6"/>
        <v>0</v>
      </c>
      <c r="AF656" s="167">
        <f t="shared" si="7"/>
        <v>0</v>
      </c>
      <c r="AG656" s="167">
        <f t="shared" si="8"/>
        <v>0</v>
      </c>
      <c r="AH656" s="158"/>
      <c r="AI656" s="158"/>
    </row>
    <row r="657" ht="12.75" customHeight="1">
      <c r="B657" s="160" t="str">
        <f>iferror(VLOOKUP((LEFT(A657,6)),CUSTOMER_DETAILS,2,FALSE),"-")</f>
        <v>-</v>
      </c>
      <c r="C657" s="161" t="s">
        <v>89</v>
      </c>
      <c r="D657" s="162"/>
      <c r="E657" s="161" t="s">
        <v>89</v>
      </c>
      <c r="F657" s="30" t="s">
        <v>89</v>
      </c>
      <c r="G657" s="30" t="s">
        <v>89</v>
      </c>
      <c r="H657" s="30" t="s">
        <v>89</v>
      </c>
      <c r="I657" s="48" t="s">
        <v>108</v>
      </c>
      <c r="J657" s="188" t="str">
        <f t="shared" si="15"/>
        <v/>
      </c>
      <c r="L657" s="48" t="s">
        <v>108</v>
      </c>
      <c r="O657" s="30" t="s">
        <v>89</v>
      </c>
      <c r="Q657" s="192"/>
      <c r="R657" s="161" t="str">
        <f>IFERROR(VLOOKUP(Q657,'PRODUCT TABLE'!$A$2:$B$26,2,FALSE),"-")</f>
        <v>-</v>
      </c>
      <c r="V657" s="161">
        <f t="shared" si="14"/>
        <v>0</v>
      </c>
      <c r="Y657" s="30"/>
      <c r="Z657" s="169">
        <f t="shared" si="2"/>
        <v>0</v>
      </c>
      <c r="AA657" s="167">
        <f t="shared" si="3"/>
        <v>0</v>
      </c>
      <c r="AB657" s="161"/>
      <c r="AC657" s="161">
        <f t="shared" si="4"/>
        <v>0</v>
      </c>
      <c r="AD657" s="161">
        <f t="shared" si="5"/>
        <v>0</v>
      </c>
      <c r="AE657" s="161">
        <f t="shared" si="6"/>
        <v>0</v>
      </c>
      <c r="AF657" s="167">
        <f t="shared" si="7"/>
        <v>0</v>
      </c>
      <c r="AG657" s="167">
        <f t="shared" si="8"/>
        <v>0</v>
      </c>
      <c r="AH657" s="158"/>
      <c r="AI657" s="158"/>
    </row>
    <row r="658" ht="12.75" customHeight="1">
      <c r="B658" s="160" t="str">
        <f>iferror(VLOOKUP((LEFT(A658,6)),CUSTOMER_DETAILS,2,FALSE),"-")</f>
        <v>-</v>
      </c>
      <c r="C658" s="161" t="s">
        <v>89</v>
      </c>
      <c r="D658" s="162"/>
      <c r="E658" s="161" t="s">
        <v>89</v>
      </c>
      <c r="F658" s="30" t="s">
        <v>89</v>
      </c>
      <c r="G658" s="30" t="s">
        <v>89</v>
      </c>
      <c r="H658" s="30" t="s">
        <v>89</v>
      </c>
      <c r="I658" s="48" t="s">
        <v>108</v>
      </c>
      <c r="J658" s="188" t="str">
        <f t="shared" si="15"/>
        <v/>
      </c>
      <c r="L658" s="48" t="s">
        <v>108</v>
      </c>
      <c r="O658" s="30" t="s">
        <v>89</v>
      </c>
      <c r="Q658" s="192"/>
      <c r="R658" s="161" t="str">
        <f>IFERROR(VLOOKUP(Q658,'PRODUCT TABLE'!$A$2:$B$26,2,FALSE),"-")</f>
        <v>-</v>
      </c>
      <c r="V658" s="161">
        <f t="shared" si="14"/>
        <v>0</v>
      </c>
      <c r="Y658" s="30"/>
      <c r="Z658" s="169">
        <f t="shared" si="2"/>
        <v>0</v>
      </c>
      <c r="AA658" s="167">
        <f t="shared" si="3"/>
        <v>0</v>
      </c>
      <c r="AB658" s="161"/>
      <c r="AC658" s="161">
        <f t="shared" si="4"/>
        <v>0</v>
      </c>
      <c r="AD658" s="161">
        <f t="shared" si="5"/>
        <v>0</v>
      </c>
      <c r="AE658" s="161">
        <f t="shared" si="6"/>
        <v>0</v>
      </c>
      <c r="AF658" s="167">
        <f t="shared" si="7"/>
        <v>0</v>
      </c>
      <c r="AG658" s="167">
        <f t="shared" si="8"/>
        <v>0</v>
      </c>
      <c r="AH658" s="158"/>
      <c r="AI658" s="158"/>
    </row>
    <row r="659" ht="12.75" customHeight="1">
      <c r="B659" s="160" t="str">
        <f>iferror(VLOOKUP((LEFT(A659,6)),CUSTOMER_DETAILS,2,FALSE),"-")</f>
        <v>-</v>
      </c>
      <c r="C659" s="161" t="s">
        <v>89</v>
      </c>
      <c r="D659" s="162"/>
      <c r="E659" s="161" t="s">
        <v>89</v>
      </c>
      <c r="F659" s="30" t="s">
        <v>89</v>
      </c>
      <c r="G659" s="30" t="s">
        <v>89</v>
      </c>
      <c r="H659" s="30" t="s">
        <v>89</v>
      </c>
      <c r="I659" s="48" t="s">
        <v>108</v>
      </c>
      <c r="J659" s="188" t="str">
        <f t="shared" si="15"/>
        <v/>
      </c>
      <c r="L659" s="48" t="s">
        <v>108</v>
      </c>
      <c r="O659" s="30" t="s">
        <v>89</v>
      </c>
      <c r="Q659" s="192"/>
      <c r="R659" s="161" t="str">
        <f>IFERROR(VLOOKUP(Q659,'PRODUCT TABLE'!$A$2:$B$26,2,FALSE),"-")</f>
        <v>-</v>
      </c>
      <c r="V659" s="161">
        <f t="shared" si="14"/>
        <v>0</v>
      </c>
      <c r="Y659" s="30"/>
      <c r="Z659" s="169">
        <f t="shared" si="2"/>
        <v>0</v>
      </c>
      <c r="AA659" s="167">
        <f t="shared" si="3"/>
        <v>0</v>
      </c>
      <c r="AB659" s="161"/>
      <c r="AC659" s="161">
        <f t="shared" si="4"/>
        <v>0</v>
      </c>
      <c r="AD659" s="161">
        <f t="shared" si="5"/>
        <v>0</v>
      </c>
      <c r="AE659" s="161">
        <f t="shared" si="6"/>
        <v>0</v>
      </c>
      <c r="AF659" s="167">
        <f t="shared" si="7"/>
        <v>0</v>
      </c>
      <c r="AG659" s="167">
        <f t="shared" si="8"/>
        <v>0</v>
      </c>
      <c r="AH659" s="158"/>
      <c r="AI659" s="158"/>
    </row>
    <row r="660" ht="12.75" customHeight="1">
      <c r="B660" s="160" t="str">
        <f>iferror(VLOOKUP((LEFT(A660,6)),CUSTOMER_DETAILS,2,FALSE),"-")</f>
        <v>-</v>
      </c>
      <c r="C660" s="161" t="s">
        <v>89</v>
      </c>
      <c r="D660" s="162"/>
      <c r="E660" s="161" t="s">
        <v>89</v>
      </c>
      <c r="F660" s="30" t="s">
        <v>89</v>
      </c>
      <c r="G660" s="30" t="s">
        <v>89</v>
      </c>
      <c r="H660" s="30" t="s">
        <v>89</v>
      </c>
      <c r="I660" s="48" t="s">
        <v>108</v>
      </c>
      <c r="J660" s="188" t="str">
        <f t="shared" si="15"/>
        <v/>
      </c>
      <c r="L660" s="48" t="s">
        <v>108</v>
      </c>
      <c r="O660" s="30" t="s">
        <v>89</v>
      </c>
      <c r="Q660" s="192"/>
      <c r="R660" s="161" t="str">
        <f>IFERROR(VLOOKUP(Q660,'PRODUCT TABLE'!$A$2:$B$26,2,FALSE),"-")</f>
        <v>-</v>
      </c>
      <c r="V660" s="161">
        <f t="shared" si="14"/>
        <v>0</v>
      </c>
      <c r="Y660" s="30"/>
      <c r="Z660" s="169">
        <f t="shared" si="2"/>
        <v>0</v>
      </c>
      <c r="AA660" s="167">
        <f t="shared" si="3"/>
        <v>0</v>
      </c>
      <c r="AB660" s="161"/>
      <c r="AC660" s="161">
        <f t="shared" si="4"/>
        <v>0</v>
      </c>
      <c r="AD660" s="161">
        <f t="shared" si="5"/>
        <v>0</v>
      </c>
      <c r="AE660" s="161">
        <f t="shared" si="6"/>
        <v>0</v>
      </c>
      <c r="AF660" s="167">
        <f t="shared" si="7"/>
        <v>0</v>
      </c>
      <c r="AG660" s="167">
        <f t="shared" si="8"/>
        <v>0</v>
      </c>
      <c r="AH660" s="158"/>
      <c r="AI660" s="158"/>
    </row>
    <row r="661" ht="12.75" customHeight="1">
      <c r="B661" s="160" t="str">
        <f>iferror(VLOOKUP((LEFT(A661,6)),CUSTOMER_DETAILS,2,FALSE),"-")</f>
        <v>-</v>
      </c>
      <c r="C661" s="161" t="s">
        <v>89</v>
      </c>
      <c r="D661" s="162"/>
      <c r="E661" s="161" t="s">
        <v>89</v>
      </c>
      <c r="F661" s="30" t="s">
        <v>89</v>
      </c>
      <c r="G661" s="30" t="s">
        <v>89</v>
      </c>
      <c r="H661" s="30" t="s">
        <v>89</v>
      </c>
      <c r="I661" s="48" t="s">
        <v>108</v>
      </c>
      <c r="J661" s="188" t="str">
        <f t="shared" si="15"/>
        <v/>
      </c>
      <c r="L661" s="48" t="s">
        <v>108</v>
      </c>
      <c r="O661" s="30" t="s">
        <v>89</v>
      </c>
      <c r="Q661" s="192"/>
      <c r="R661" s="161" t="str">
        <f>IFERROR(VLOOKUP(Q661,'PRODUCT TABLE'!$A$2:$B$26,2,FALSE),"-")</f>
        <v>-</v>
      </c>
      <c r="V661" s="161">
        <f t="shared" si="14"/>
        <v>0</v>
      </c>
      <c r="Y661" s="30"/>
      <c r="Z661" s="169">
        <f t="shared" si="2"/>
        <v>0</v>
      </c>
      <c r="AA661" s="167">
        <f t="shared" si="3"/>
        <v>0</v>
      </c>
      <c r="AB661" s="161"/>
      <c r="AC661" s="161">
        <f t="shared" si="4"/>
        <v>0</v>
      </c>
      <c r="AD661" s="161">
        <f t="shared" si="5"/>
        <v>0</v>
      </c>
      <c r="AE661" s="161">
        <f t="shared" si="6"/>
        <v>0</v>
      </c>
      <c r="AF661" s="167">
        <f t="shared" si="7"/>
        <v>0</v>
      </c>
      <c r="AG661" s="167">
        <f t="shared" si="8"/>
        <v>0</v>
      </c>
      <c r="AH661" s="158"/>
      <c r="AI661" s="158"/>
    </row>
    <row r="662" ht="12.75" customHeight="1">
      <c r="B662" s="160" t="str">
        <f>iferror(VLOOKUP((LEFT(A662,6)),CUSTOMER_DETAILS,2,FALSE),"-")</f>
        <v>-</v>
      </c>
      <c r="C662" s="161" t="s">
        <v>89</v>
      </c>
      <c r="D662" s="162"/>
      <c r="E662" s="161" t="s">
        <v>89</v>
      </c>
      <c r="F662" s="30" t="s">
        <v>89</v>
      </c>
      <c r="G662" s="30" t="s">
        <v>89</v>
      </c>
      <c r="H662" s="30" t="s">
        <v>89</v>
      </c>
      <c r="I662" s="48" t="s">
        <v>108</v>
      </c>
      <c r="J662" s="188" t="str">
        <f t="shared" si="15"/>
        <v/>
      </c>
      <c r="L662" s="48" t="s">
        <v>108</v>
      </c>
      <c r="O662" s="30" t="s">
        <v>89</v>
      </c>
      <c r="Q662" s="192"/>
      <c r="R662" s="161" t="str">
        <f>IFERROR(VLOOKUP(Q662,'PRODUCT TABLE'!$A$2:$B$26,2,FALSE),"-")</f>
        <v>-</v>
      </c>
      <c r="V662" s="161">
        <f t="shared" si="14"/>
        <v>0</v>
      </c>
      <c r="Y662" s="30"/>
      <c r="Z662" s="169">
        <f t="shared" si="2"/>
        <v>0</v>
      </c>
      <c r="AA662" s="167">
        <f t="shared" si="3"/>
        <v>0</v>
      </c>
      <c r="AB662" s="161"/>
      <c r="AC662" s="161">
        <f t="shared" si="4"/>
        <v>0</v>
      </c>
      <c r="AD662" s="161">
        <f t="shared" si="5"/>
        <v>0</v>
      </c>
      <c r="AE662" s="161">
        <f t="shared" si="6"/>
        <v>0</v>
      </c>
      <c r="AF662" s="167">
        <f t="shared" si="7"/>
        <v>0</v>
      </c>
      <c r="AG662" s="167">
        <f t="shared" si="8"/>
        <v>0</v>
      </c>
      <c r="AH662" s="158"/>
      <c r="AI662" s="158"/>
    </row>
    <row r="663" ht="12.75" customHeight="1">
      <c r="B663" s="160" t="str">
        <f>iferror(VLOOKUP((LEFT(A663,6)),CUSTOMER_DETAILS,2,FALSE),"-")</f>
        <v>-</v>
      </c>
      <c r="C663" s="161" t="s">
        <v>89</v>
      </c>
      <c r="D663" s="162"/>
      <c r="E663" s="161" t="s">
        <v>89</v>
      </c>
      <c r="F663" s="30" t="s">
        <v>89</v>
      </c>
      <c r="G663" s="30" t="s">
        <v>89</v>
      </c>
      <c r="H663" s="30" t="s">
        <v>89</v>
      </c>
      <c r="I663" s="48" t="s">
        <v>108</v>
      </c>
      <c r="J663" s="188" t="str">
        <f t="shared" si="15"/>
        <v/>
      </c>
      <c r="L663" s="48" t="s">
        <v>108</v>
      </c>
      <c r="O663" s="30" t="s">
        <v>89</v>
      </c>
      <c r="Q663" s="192"/>
      <c r="R663" s="161" t="str">
        <f>IFERROR(VLOOKUP(Q663,'PRODUCT TABLE'!$A$2:$B$26,2,FALSE),"-")</f>
        <v>-</v>
      </c>
      <c r="V663" s="161">
        <f t="shared" si="14"/>
        <v>0</v>
      </c>
      <c r="Y663" s="30"/>
      <c r="Z663" s="169">
        <f t="shared" si="2"/>
        <v>0</v>
      </c>
      <c r="AA663" s="167">
        <f t="shared" si="3"/>
        <v>0</v>
      </c>
      <c r="AB663" s="161"/>
      <c r="AC663" s="161">
        <f t="shared" si="4"/>
        <v>0</v>
      </c>
      <c r="AD663" s="161">
        <f t="shared" si="5"/>
        <v>0</v>
      </c>
      <c r="AE663" s="161">
        <f t="shared" si="6"/>
        <v>0</v>
      </c>
      <c r="AF663" s="167">
        <f t="shared" si="7"/>
        <v>0</v>
      </c>
      <c r="AG663" s="167">
        <f t="shared" si="8"/>
        <v>0</v>
      </c>
      <c r="AH663" s="158"/>
      <c r="AI663" s="158"/>
    </row>
    <row r="664" ht="12.75" customHeight="1">
      <c r="B664" s="160" t="str">
        <f>iferror(VLOOKUP((LEFT(A664,6)),CUSTOMER_DETAILS,2,FALSE),"-")</f>
        <v>-</v>
      </c>
      <c r="C664" s="161" t="s">
        <v>89</v>
      </c>
      <c r="D664" s="162"/>
      <c r="E664" s="161" t="s">
        <v>89</v>
      </c>
      <c r="F664" s="30" t="s">
        <v>89</v>
      </c>
      <c r="G664" s="30" t="s">
        <v>89</v>
      </c>
      <c r="H664" s="30" t="s">
        <v>89</v>
      </c>
      <c r="I664" s="48" t="s">
        <v>108</v>
      </c>
      <c r="J664" s="188" t="str">
        <f t="shared" si="15"/>
        <v/>
      </c>
      <c r="L664" s="48" t="s">
        <v>108</v>
      </c>
      <c r="O664" s="30" t="s">
        <v>89</v>
      </c>
      <c r="Q664" s="192"/>
      <c r="R664" s="161" t="str">
        <f>IFERROR(VLOOKUP(Q664,'PRODUCT TABLE'!$A$2:$B$26,2,FALSE),"-")</f>
        <v>-</v>
      </c>
      <c r="V664" s="161">
        <f t="shared" si="14"/>
        <v>0</v>
      </c>
      <c r="Y664" s="30"/>
      <c r="Z664" s="169">
        <f t="shared" si="2"/>
        <v>0</v>
      </c>
      <c r="AA664" s="167">
        <f t="shared" si="3"/>
        <v>0</v>
      </c>
      <c r="AB664" s="161"/>
      <c r="AC664" s="161">
        <f t="shared" si="4"/>
        <v>0</v>
      </c>
      <c r="AD664" s="161">
        <f t="shared" si="5"/>
        <v>0</v>
      </c>
      <c r="AE664" s="161">
        <f t="shared" si="6"/>
        <v>0</v>
      </c>
      <c r="AF664" s="167">
        <f t="shared" si="7"/>
        <v>0</v>
      </c>
      <c r="AG664" s="167">
        <f t="shared" si="8"/>
        <v>0</v>
      </c>
      <c r="AH664" s="158"/>
      <c r="AI664" s="158"/>
    </row>
    <row r="665" ht="12.75" customHeight="1">
      <c r="B665" s="160" t="str">
        <f>iferror(VLOOKUP((LEFT(A665,6)),CUSTOMER_DETAILS,2,FALSE),"-")</f>
        <v>-</v>
      </c>
      <c r="C665" s="161" t="s">
        <v>89</v>
      </c>
      <c r="D665" s="162"/>
      <c r="E665" s="161" t="s">
        <v>89</v>
      </c>
      <c r="F665" s="30" t="s">
        <v>89</v>
      </c>
      <c r="G665" s="30" t="s">
        <v>89</v>
      </c>
      <c r="H665" s="30" t="s">
        <v>89</v>
      </c>
      <c r="I665" s="48" t="s">
        <v>108</v>
      </c>
      <c r="J665" s="188" t="str">
        <f t="shared" si="15"/>
        <v/>
      </c>
      <c r="L665" s="48" t="s">
        <v>108</v>
      </c>
      <c r="O665" s="30" t="s">
        <v>89</v>
      </c>
      <c r="Q665" s="192"/>
      <c r="R665" s="161" t="str">
        <f>IFERROR(VLOOKUP(Q665,'PRODUCT TABLE'!$A$2:$B$26,2,FALSE),"-")</f>
        <v>-</v>
      </c>
      <c r="V665" s="161">
        <f t="shared" si="14"/>
        <v>0</v>
      </c>
      <c r="Y665" s="30"/>
      <c r="Z665" s="169">
        <f t="shared" si="2"/>
        <v>0</v>
      </c>
      <c r="AA665" s="167">
        <f t="shared" si="3"/>
        <v>0</v>
      </c>
      <c r="AB665" s="161"/>
      <c r="AC665" s="161">
        <f t="shared" si="4"/>
        <v>0</v>
      </c>
      <c r="AD665" s="161">
        <f t="shared" si="5"/>
        <v>0</v>
      </c>
      <c r="AE665" s="161">
        <f t="shared" si="6"/>
        <v>0</v>
      </c>
      <c r="AF665" s="167">
        <f t="shared" si="7"/>
        <v>0</v>
      </c>
      <c r="AG665" s="167">
        <f t="shared" si="8"/>
        <v>0</v>
      </c>
      <c r="AH665" s="158"/>
      <c r="AI665" s="158"/>
    </row>
    <row r="666" ht="12.75" customHeight="1">
      <c r="B666" s="160" t="str">
        <f>iferror(VLOOKUP((LEFT(A666,6)),CUSTOMER_DETAILS,2,FALSE),"-")</f>
        <v>-</v>
      </c>
      <c r="C666" s="161" t="s">
        <v>89</v>
      </c>
      <c r="D666" s="162"/>
      <c r="E666" s="161" t="s">
        <v>89</v>
      </c>
      <c r="F666" s="30" t="s">
        <v>89</v>
      </c>
      <c r="G666" s="30" t="s">
        <v>89</v>
      </c>
      <c r="H666" s="30" t="s">
        <v>89</v>
      </c>
      <c r="I666" s="48" t="s">
        <v>108</v>
      </c>
      <c r="J666" s="188" t="str">
        <f t="shared" si="15"/>
        <v/>
      </c>
      <c r="L666" s="48" t="s">
        <v>108</v>
      </c>
      <c r="O666" s="30" t="s">
        <v>89</v>
      </c>
      <c r="Q666" s="192"/>
      <c r="R666" s="161" t="str">
        <f>IFERROR(VLOOKUP(Q666,'PRODUCT TABLE'!$A$2:$B$26,2,FALSE),"-")</f>
        <v>-</v>
      </c>
      <c r="V666" s="161">
        <f t="shared" si="14"/>
        <v>0</v>
      </c>
      <c r="Y666" s="30"/>
      <c r="Z666" s="169">
        <f t="shared" si="2"/>
        <v>0</v>
      </c>
      <c r="AA666" s="167">
        <f t="shared" si="3"/>
        <v>0</v>
      </c>
      <c r="AB666" s="161"/>
      <c r="AC666" s="161">
        <f t="shared" si="4"/>
        <v>0</v>
      </c>
      <c r="AD666" s="161">
        <f t="shared" si="5"/>
        <v>0</v>
      </c>
      <c r="AE666" s="161">
        <f t="shared" si="6"/>
        <v>0</v>
      </c>
      <c r="AF666" s="167">
        <f t="shared" si="7"/>
        <v>0</v>
      </c>
      <c r="AG666" s="167">
        <f t="shared" si="8"/>
        <v>0</v>
      </c>
      <c r="AH666" s="158"/>
      <c r="AI666" s="158"/>
    </row>
    <row r="667" ht="12.75" customHeight="1">
      <c r="B667" s="160" t="str">
        <f>iferror(VLOOKUP((LEFT(A667,6)),CUSTOMER_DETAILS,2,FALSE),"-")</f>
        <v>-</v>
      </c>
      <c r="C667" s="161" t="s">
        <v>89</v>
      </c>
      <c r="D667" s="162"/>
      <c r="E667" s="161" t="s">
        <v>89</v>
      </c>
      <c r="F667" s="30" t="s">
        <v>89</v>
      </c>
      <c r="G667" s="30" t="s">
        <v>89</v>
      </c>
      <c r="H667" s="30" t="s">
        <v>89</v>
      </c>
      <c r="I667" s="48" t="s">
        <v>108</v>
      </c>
      <c r="J667" s="188" t="str">
        <f t="shared" si="15"/>
        <v/>
      </c>
      <c r="L667" s="48" t="s">
        <v>108</v>
      </c>
      <c r="O667" s="30" t="s">
        <v>89</v>
      </c>
      <c r="Q667" s="192"/>
      <c r="R667" s="161" t="str">
        <f>IFERROR(VLOOKUP(Q667,'PRODUCT TABLE'!$A$2:$B$26,2,FALSE),"-")</f>
        <v>-</v>
      </c>
      <c r="V667" s="161">
        <f t="shared" si="14"/>
        <v>0</v>
      </c>
      <c r="Y667" s="30"/>
      <c r="Z667" s="169">
        <f t="shared" si="2"/>
        <v>0</v>
      </c>
      <c r="AA667" s="167">
        <f t="shared" si="3"/>
        <v>0</v>
      </c>
      <c r="AB667" s="161"/>
      <c r="AC667" s="161">
        <f t="shared" si="4"/>
        <v>0</v>
      </c>
      <c r="AD667" s="161">
        <f t="shared" si="5"/>
        <v>0</v>
      </c>
      <c r="AE667" s="161">
        <f t="shared" si="6"/>
        <v>0</v>
      </c>
      <c r="AF667" s="167">
        <f t="shared" si="7"/>
        <v>0</v>
      </c>
      <c r="AG667" s="167">
        <f t="shared" si="8"/>
        <v>0</v>
      </c>
      <c r="AH667" s="158"/>
      <c r="AI667" s="158"/>
    </row>
    <row r="668" ht="12.75" customHeight="1">
      <c r="B668" s="160" t="str">
        <f>iferror(VLOOKUP((LEFT(A668,6)),CUSTOMER_DETAILS,2,FALSE),"-")</f>
        <v>-</v>
      </c>
      <c r="C668" s="161" t="s">
        <v>89</v>
      </c>
      <c r="D668" s="162"/>
      <c r="E668" s="161" t="s">
        <v>89</v>
      </c>
      <c r="F668" s="30" t="s">
        <v>89</v>
      </c>
      <c r="G668" s="30" t="s">
        <v>89</v>
      </c>
      <c r="H668" s="30" t="s">
        <v>89</v>
      </c>
      <c r="I668" s="48" t="s">
        <v>108</v>
      </c>
      <c r="J668" s="188" t="str">
        <f t="shared" si="15"/>
        <v/>
      </c>
      <c r="L668" s="48" t="s">
        <v>108</v>
      </c>
      <c r="O668" s="30" t="s">
        <v>89</v>
      </c>
      <c r="Q668" s="192"/>
      <c r="R668" s="161" t="str">
        <f>IFERROR(VLOOKUP(Q668,'PRODUCT TABLE'!$A$2:$B$26,2,FALSE),"-")</f>
        <v>-</v>
      </c>
      <c r="V668" s="161">
        <f t="shared" si="14"/>
        <v>0</v>
      </c>
      <c r="Y668" s="30"/>
      <c r="Z668" s="169">
        <f t="shared" si="2"/>
        <v>0</v>
      </c>
      <c r="AA668" s="167">
        <f t="shared" si="3"/>
        <v>0</v>
      </c>
      <c r="AB668" s="161"/>
      <c r="AC668" s="161">
        <f t="shared" si="4"/>
        <v>0</v>
      </c>
      <c r="AD668" s="161">
        <f t="shared" si="5"/>
        <v>0</v>
      </c>
      <c r="AE668" s="161">
        <f t="shared" si="6"/>
        <v>0</v>
      </c>
      <c r="AF668" s="167">
        <f t="shared" si="7"/>
        <v>0</v>
      </c>
      <c r="AG668" s="167">
        <f t="shared" si="8"/>
        <v>0</v>
      </c>
      <c r="AH668" s="158"/>
      <c r="AI668" s="158"/>
    </row>
    <row r="669" ht="12.75" customHeight="1">
      <c r="B669" s="160" t="str">
        <f>iferror(VLOOKUP((LEFT(A669,6)),CUSTOMER_DETAILS,2,FALSE),"-")</f>
        <v>-</v>
      </c>
      <c r="C669" s="161" t="s">
        <v>89</v>
      </c>
      <c r="D669" s="162"/>
      <c r="E669" s="161" t="s">
        <v>89</v>
      </c>
      <c r="F669" s="30" t="s">
        <v>89</v>
      </c>
      <c r="G669" s="30" t="s">
        <v>89</v>
      </c>
      <c r="H669" s="30" t="s">
        <v>89</v>
      </c>
      <c r="I669" s="48" t="s">
        <v>108</v>
      </c>
      <c r="J669" s="188" t="str">
        <f t="shared" si="15"/>
        <v/>
      </c>
      <c r="L669" s="48" t="s">
        <v>108</v>
      </c>
      <c r="O669" s="30" t="s">
        <v>89</v>
      </c>
      <c r="Q669" s="192"/>
      <c r="R669" s="161" t="str">
        <f>IFERROR(VLOOKUP(Q669,'PRODUCT TABLE'!$A$2:$B$26,2,FALSE),"-")</f>
        <v>-</v>
      </c>
      <c r="V669" s="161">
        <f t="shared" si="14"/>
        <v>0</v>
      </c>
      <c r="Y669" s="30"/>
      <c r="Z669" s="169">
        <f t="shared" si="2"/>
        <v>0</v>
      </c>
      <c r="AA669" s="167">
        <f t="shared" si="3"/>
        <v>0</v>
      </c>
      <c r="AB669" s="161"/>
      <c r="AC669" s="161">
        <f t="shared" si="4"/>
        <v>0</v>
      </c>
      <c r="AD669" s="161">
        <f t="shared" si="5"/>
        <v>0</v>
      </c>
      <c r="AE669" s="161">
        <f t="shared" si="6"/>
        <v>0</v>
      </c>
      <c r="AF669" s="167">
        <f t="shared" si="7"/>
        <v>0</v>
      </c>
      <c r="AG669" s="167">
        <f t="shared" si="8"/>
        <v>0</v>
      </c>
      <c r="AH669" s="158"/>
      <c r="AI669" s="158"/>
    </row>
    <row r="670" ht="12.75" customHeight="1">
      <c r="B670" s="160" t="str">
        <f>iferror(VLOOKUP((LEFT(A670,6)),CUSTOMER_DETAILS,2,FALSE),"-")</f>
        <v>-</v>
      </c>
      <c r="C670" s="161" t="s">
        <v>89</v>
      </c>
      <c r="D670" s="162"/>
      <c r="E670" s="161" t="s">
        <v>89</v>
      </c>
      <c r="F670" s="30" t="s">
        <v>89</v>
      </c>
      <c r="G670" s="30" t="s">
        <v>89</v>
      </c>
      <c r="H670" s="30" t="s">
        <v>89</v>
      </c>
      <c r="I670" s="48" t="s">
        <v>108</v>
      </c>
      <c r="J670" s="188" t="str">
        <f t="shared" si="15"/>
        <v/>
      </c>
      <c r="L670" s="48" t="s">
        <v>108</v>
      </c>
      <c r="O670" s="30" t="s">
        <v>89</v>
      </c>
      <c r="Q670" s="192"/>
      <c r="R670" s="161" t="str">
        <f>IFERROR(VLOOKUP(Q670,'PRODUCT TABLE'!$A$2:$B$26,2,FALSE),"-")</f>
        <v>-</v>
      </c>
      <c r="V670" s="161">
        <f t="shared" si="14"/>
        <v>0</v>
      </c>
      <c r="Y670" s="30"/>
      <c r="Z670" s="169">
        <f t="shared" si="2"/>
        <v>0</v>
      </c>
      <c r="AA670" s="167">
        <f t="shared" si="3"/>
        <v>0</v>
      </c>
      <c r="AB670" s="161"/>
      <c r="AC670" s="161">
        <f t="shared" si="4"/>
        <v>0</v>
      </c>
      <c r="AD670" s="161">
        <f t="shared" si="5"/>
        <v>0</v>
      </c>
      <c r="AE670" s="161">
        <f t="shared" si="6"/>
        <v>0</v>
      </c>
      <c r="AF670" s="167">
        <f t="shared" si="7"/>
        <v>0</v>
      </c>
      <c r="AG670" s="167">
        <f t="shared" si="8"/>
        <v>0</v>
      </c>
      <c r="AH670" s="158"/>
      <c r="AI670" s="158"/>
    </row>
    <row r="671" ht="12.75" customHeight="1">
      <c r="B671" s="160" t="str">
        <f>iferror(VLOOKUP((LEFT(A671,6)),CUSTOMER_DETAILS,2,FALSE),"-")</f>
        <v>-</v>
      </c>
      <c r="C671" s="161" t="s">
        <v>89</v>
      </c>
      <c r="D671" s="162"/>
      <c r="E671" s="161" t="s">
        <v>89</v>
      </c>
      <c r="F671" s="30" t="s">
        <v>89</v>
      </c>
      <c r="G671" s="30" t="s">
        <v>89</v>
      </c>
      <c r="H671" s="30" t="s">
        <v>89</v>
      </c>
      <c r="I671" s="48" t="s">
        <v>108</v>
      </c>
      <c r="J671" s="188" t="str">
        <f t="shared" si="15"/>
        <v/>
      </c>
      <c r="L671" s="48" t="s">
        <v>108</v>
      </c>
      <c r="O671" s="30" t="s">
        <v>89</v>
      </c>
      <c r="Q671" s="192"/>
      <c r="R671" s="161" t="str">
        <f>IFERROR(VLOOKUP(Q671,'PRODUCT TABLE'!$A$2:$B$26,2,FALSE),"-")</f>
        <v>-</v>
      </c>
      <c r="V671" s="161">
        <f t="shared" si="14"/>
        <v>0</v>
      </c>
      <c r="Y671" s="30"/>
      <c r="Z671" s="169">
        <f t="shared" si="2"/>
        <v>0</v>
      </c>
      <c r="AA671" s="167">
        <f t="shared" si="3"/>
        <v>0</v>
      </c>
      <c r="AB671" s="161"/>
      <c r="AC671" s="161">
        <f t="shared" si="4"/>
        <v>0</v>
      </c>
      <c r="AD671" s="161">
        <f t="shared" si="5"/>
        <v>0</v>
      </c>
      <c r="AE671" s="161">
        <f t="shared" si="6"/>
        <v>0</v>
      </c>
      <c r="AF671" s="167">
        <f t="shared" si="7"/>
        <v>0</v>
      </c>
      <c r="AG671" s="167">
        <f t="shared" si="8"/>
        <v>0</v>
      </c>
      <c r="AH671" s="158"/>
      <c r="AI671" s="158"/>
    </row>
    <row r="672" ht="12.75" customHeight="1">
      <c r="B672" s="160" t="str">
        <f>iferror(VLOOKUP((LEFT(A672,6)),CUSTOMER_DETAILS,2,FALSE),"-")</f>
        <v>-</v>
      </c>
      <c r="C672" s="161" t="s">
        <v>89</v>
      </c>
      <c r="D672" s="162"/>
      <c r="E672" s="161" t="s">
        <v>89</v>
      </c>
      <c r="F672" s="30" t="s">
        <v>89</v>
      </c>
      <c r="G672" s="30" t="s">
        <v>89</v>
      </c>
      <c r="H672" s="30" t="s">
        <v>89</v>
      </c>
      <c r="I672" s="48" t="s">
        <v>108</v>
      </c>
      <c r="J672" s="188" t="str">
        <f t="shared" si="15"/>
        <v/>
      </c>
      <c r="L672" s="48" t="s">
        <v>108</v>
      </c>
      <c r="O672" s="30" t="s">
        <v>89</v>
      </c>
      <c r="Q672" s="192"/>
      <c r="R672" s="161" t="str">
        <f>IFERROR(VLOOKUP(Q672,'PRODUCT TABLE'!$A$2:$B$26,2,FALSE),"-")</f>
        <v>-</v>
      </c>
      <c r="V672" s="161">
        <f t="shared" si="14"/>
        <v>0</v>
      </c>
      <c r="Y672" s="30"/>
      <c r="Z672" s="169">
        <f t="shared" si="2"/>
        <v>0</v>
      </c>
      <c r="AA672" s="167">
        <f t="shared" si="3"/>
        <v>0</v>
      </c>
      <c r="AB672" s="161"/>
      <c r="AC672" s="161">
        <f t="shared" si="4"/>
        <v>0</v>
      </c>
      <c r="AD672" s="161">
        <f t="shared" si="5"/>
        <v>0</v>
      </c>
      <c r="AE672" s="161">
        <f t="shared" si="6"/>
        <v>0</v>
      </c>
      <c r="AF672" s="167">
        <f t="shared" si="7"/>
        <v>0</v>
      </c>
      <c r="AG672" s="167">
        <f t="shared" si="8"/>
        <v>0</v>
      </c>
      <c r="AH672" s="158"/>
      <c r="AI672" s="158"/>
    </row>
    <row r="673" ht="12.75" customHeight="1">
      <c r="B673" s="160" t="str">
        <f>iferror(VLOOKUP((LEFT(A673,6)),CUSTOMER_DETAILS,2,FALSE),"-")</f>
        <v>-</v>
      </c>
      <c r="C673" s="161" t="s">
        <v>89</v>
      </c>
      <c r="D673" s="162"/>
      <c r="E673" s="161" t="s">
        <v>89</v>
      </c>
      <c r="F673" s="30" t="s">
        <v>89</v>
      </c>
      <c r="G673" s="30" t="s">
        <v>89</v>
      </c>
      <c r="H673" s="30" t="s">
        <v>89</v>
      </c>
      <c r="I673" s="48" t="s">
        <v>108</v>
      </c>
      <c r="J673" s="188" t="str">
        <f t="shared" si="15"/>
        <v/>
      </c>
      <c r="L673" s="48" t="s">
        <v>108</v>
      </c>
      <c r="O673" s="30" t="s">
        <v>89</v>
      </c>
      <c r="Q673" s="192"/>
      <c r="R673" s="161" t="str">
        <f>IFERROR(VLOOKUP(Q673,'PRODUCT TABLE'!$A$2:$B$26,2,FALSE),"-")</f>
        <v>-</v>
      </c>
      <c r="V673" s="161">
        <f t="shared" si="14"/>
        <v>0</v>
      </c>
      <c r="Y673" s="30"/>
      <c r="Z673" s="169">
        <f t="shared" si="2"/>
        <v>0</v>
      </c>
      <c r="AA673" s="167">
        <f t="shared" si="3"/>
        <v>0</v>
      </c>
      <c r="AB673" s="161"/>
      <c r="AC673" s="161">
        <f t="shared" si="4"/>
        <v>0</v>
      </c>
      <c r="AD673" s="161">
        <f t="shared" si="5"/>
        <v>0</v>
      </c>
      <c r="AE673" s="161">
        <f t="shared" si="6"/>
        <v>0</v>
      </c>
      <c r="AF673" s="167">
        <f t="shared" si="7"/>
        <v>0</v>
      </c>
      <c r="AG673" s="167">
        <f t="shared" si="8"/>
        <v>0</v>
      </c>
      <c r="AH673" s="158"/>
      <c r="AI673" s="158"/>
    </row>
    <row r="674" ht="12.75" customHeight="1">
      <c r="B674" s="160" t="str">
        <f>iferror(VLOOKUP((LEFT(A674,6)),CUSTOMER_DETAILS,2,FALSE),"-")</f>
        <v>-</v>
      </c>
      <c r="C674" s="161" t="s">
        <v>89</v>
      </c>
      <c r="D674" s="162"/>
      <c r="E674" s="161" t="s">
        <v>89</v>
      </c>
      <c r="F674" s="30" t="s">
        <v>89</v>
      </c>
      <c r="G674" s="30" t="s">
        <v>89</v>
      </c>
      <c r="H674" s="30" t="s">
        <v>89</v>
      </c>
      <c r="I674" s="48" t="s">
        <v>108</v>
      </c>
      <c r="J674" s="188" t="str">
        <f t="shared" si="15"/>
        <v/>
      </c>
      <c r="L674" s="48" t="s">
        <v>108</v>
      </c>
      <c r="O674" s="30" t="s">
        <v>89</v>
      </c>
      <c r="Q674" s="192"/>
      <c r="R674" s="161" t="str">
        <f>IFERROR(VLOOKUP(Q674,'PRODUCT TABLE'!$A$2:$B$26,2,FALSE),"-")</f>
        <v>-</v>
      </c>
      <c r="V674" s="161">
        <f t="shared" si="14"/>
        <v>0</v>
      </c>
      <c r="Y674" s="30"/>
      <c r="Z674" s="169">
        <f t="shared" si="2"/>
        <v>0</v>
      </c>
      <c r="AA674" s="167">
        <f t="shared" si="3"/>
        <v>0</v>
      </c>
      <c r="AB674" s="161"/>
      <c r="AC674" s="161">
        <f t="shared" si="4"/>
        <v>0</v>
      </c>
      <c r="AD674" s="161">
        <f t="shared" si="5"/>
        <v>0</v>
      </c>
      <c r="AE674" s="161">
        <f t="shared" si="6"/>
        <v>0</v>
      </c>
      <c r="AF674" s="167">
        <f t="shared" si="7"/>
        <v>0</v>
      </c>
      <c r="AG674" s="167">
        <f t="shared" si="8"/>
        <v>0</v>
      </c>
      <c r="AH674" s="158"/>
      <c r="AI674" s="158"/>
    </row>
    <row r="675" ht="12.75" customHeight="1">
      <c r="B675" s="160" t="str">
        <f>iferror(VLOOKUP((LEFT(A675,6)),CUSTOMER_DETAILS,2,FALSE),"-")</f>
        <v>-</v>
      </c>
      <c r="C675" s="161" t="s">
        <v>89</v>
      </c>
      <c r="D675" s="162"/>
      <c r="E675" s="161" t="s">
        <v>89</v>
      </c>
      <c r="F675" s="30" t="s">
        <v>89</v>
      </c>
      <c r="G675" s="30" t="s">
        <v>89</v>
      </c>
      <c r="H675" s="30" t="s">
        <v>89</v>
      </c>
      <c r="I675" s="48" t="s">
        <v>108</v>
      </c>
      <c r="J675" s="188" t="str">
        <f t="shared" si="15"/>
        <v/>
      </c>
      <c r="L675" s="48" t="s">
        <v>108</v>
      </c>
      <c r="O675" s="30" t="s">
        <v>89</v>
      </c>
      <c r="Q675" s="192"/>
      <c r="R675" s="161" t="str">
        <f>IFERROR(VLOOKUP(Q675,'PRODUCT TABLE'!$A$2:$B$26,2,FALSE),"-")</f>
        <v>-</v>
      </c>
      <c r="V675" s="161">
        <f t="shared" si="14"/>
        <v>0</v>
      </c>
      <c r="Y675" s="30"/>
      <c r="Z675" s="169">
        <f t="shared" si="2"/>
        <v>0</v>
      </c>
      <c r="AA675" s="167">
        <f t="shared" si="3"/>
        <v>0</v>
      </c>
      <c r="AB675" s="161"/>
      <c r="AC675" s="161">
        <f t="shared" si="4"/>
        <v>0</v>
      </c>
      <c r="AD675" s="161">
        <f t="shared" si="5"/>
        <v>0</v>
      </c>
      <c r="AE675" s="161">
        <f t="shared" si="6"/>
        <v>0</v>
      </c>
      <c r="AF675" s="167">
        <f t="shared" si="7"/>
        <v>0</v>
      </c>
      <c r="AG675" s="167">
        <f t="shared" si="8"/>
        <v>0</v>
      </c>
      <c r="AH675" s="158"/>
      <c r="AI675" s="158"/>
    </row>
    <row r="676" ht="12.75" customHeight="1">
      <c r="B676" s="160" t="str">
        <f>iferror(VLOOKUP((LEFT(A676,6)),CUSTOMER_DETAILS,2,FALSE),"-")</f>
        <v>-</v>
      </c>
      <c r="C676" s="161" t="s">
        <v>89</v>
      </c>
      <c r="D676" s="162"/>
      <c r="E676" s="161" t="s">
        <v>89</v>
      </c>
      <c r="F676" s="30" t="s">
        <v>89</v>
      </c>
      <c r="G676" s="30" t="s">
        <v>89</v>
      </c>
      <c r="H676" s="30" t="s">
        <v>89</v>
      </c>
      <c r="I676" s="48" t="s">
        <v>108</v>
      </c>
      <c r="J676" s="188" t="str">
        <f t="shared" si="15"/>
        <v/>
      </c>
      <c r="L676" s="48" t="s">
        <v>108</v>
      </c>
      <c r="O676" s="30" t="s">
        <v>89</v>
      </c>
      <c r="Q676" s="192"/>
      <c r="R676" s="161" t="str">
        <f>IFERROR(VLOOKUP(Q676,'PRODUCT TABLE'!$A$2:$B$26,2,FALSE),"-")</f>
        <v>-</v>
      </c>
      <c r="V676" s="161">
        <f t="shared" si="14"/>
        <v>0</v>
      </c>
      <c r="Y676" s="30"/>
      <c r="Z676" s="169">
        <f t="shared" si="2"/>
        <v>0</v>
      </c>
      <c r="AA676" s="167">
        <f t="shared" si="3"/>
        <v>0</v>
      </c>
      <c r="AB676" s="161"/>
      <c r="AC676" s="161">
        <f t="shared" si="4"/>
        <v>0</v>
      </c>
      <c r="AD676" s="161">
        <f t="shared" si="5"/>
        <v>0</v>
      </c>
      <c r="AE676" s="161">
        <f t="shared" si="6"/>
        <v>0</v>
      </c>
      <c r="AF676" s="167">
        <f t="shared" si="7"/>
        <v>0</v>
      </c>
      <c r="AG676" s="167">
        <f t="shared" si="8"/>
        <v>0</v>
      </c>
      <c r="AH676" s="158"/>
      <c r="AI676" s="158"/>
    </row>
    <row r="677" ht="12.75" customHeight="1">
      <c r="B677" s="160" t="str">
        <f>iferror(VLOOKUP((LEFT(A677,6)),CUSTOMER_DETAILS,2,FALSE),"-")</f>
        <v>-</v>
      </c>
      <c r="C677" s="161" t="s">
        <v>89</v>
      </c>
      <c r="D677" s="162"/>
      <c r="E677" s="161" t="s">
        <v>89</v>
      </c>
      <c r="F677" s="30" t="s">
        <v>89</v>
      </c>
      <c r="G677" s="30" t="s">
        <v>89</v>
      </c>
      <c r="H677" s="30" t="s">
        <v>89</v>
      </c>
      <c r="I677" s="48" t="s">
        <v>108</v>
      </c>
      <c r="J677" s="188" t="str">
        <f t="shared" si="15"/>
        <v/>
      </c>
      <c r="L677" s="48" t="s">
        <v>108</v>
      </c>
      <c r="O677" s="30" t="s">
        <v>89</v>
      </c>
      <c r="Q677" s="192"/>
      <c r="R677" s="161" t="str">
        <f>IFERROR(VLOOKUP(Q677,'PRODUCT TABLE'!$A$2:$B$26,2,FALSE),"-")</f>
        <v>-</v>
      </c>
      <c r="V677" s="161">
        <f t="shared" si="14"/>
        <v>0</v>
      </c>
      <c r="Y677" s="30"/>
      <c r="Z677" s="169">
        <f t="shared" si="2"/>
        <v>0</v>
      </c>
      <c r="AA677" s="167">
        <f t="shared" si="3"/>
        <v>0</v>
      </c>
      <c r="AB677" s="161"/>
      <c r="AC677" s="161">
        <f t="shared" si="4"/>
        <v>0</v>
      </c>
      <c r="AD677" s="161">
        <f t="shared" si="5"/>
        <v>0</v>
      </c>
      <c r="AE677" s="161">
        <f t="shared" si="6"/>
        <v>0</v>
      </c>
      <c r="AF677" s="167">
        <f t="shared" si="7"/>
        <v>0</v>
      </c>
      <c r="AG677" s="167">
        <f t="shared" si="8"/>
        <v>0</v>
      </c>
      <c r="AH677" s="158"/>
      <c r="AI677" s="158"/>
    </row>
    <row r="678" ht="12.75" customHeight="1">
      <c r="B678" s="160" t="str">
        <f>iferror(VLOOKUP((LEFT(A678,6)),CUSTOMER_DETAILS,2,FALSE),"-")</f>
        <v>-</v>
      </c>
      <c r="C678" s="161" t="s">
        <v>89</v>
      </c>
      <c r="D678" s="162"/>
      <c r="E678" s="161" t="s">
        <v>89</v>
      </c>
      <c r="F678" s="30" t="s">
        <v>89</v>
      </c>
      <c r="G678" s="30" t="s">
        <v>89</v>
      </c>
      <c r="H678" s="30" t="s">
        <v>89</v>
      </c>
      <c r="I678" s="48" t="s">
        <v>108</v>
      </c>
      <c r="J678" s="188" t="str">
        <f t="shared" si="15"/>
        <v/>
      </c>
      <c r="L678" s="48" t="s">
        <v>108</v>
      </c>
      <c r="O678" s="30" t="s">
        <v>89</v>
      </c>
      <c r="Q678" s="192"/>
      <c r="R678" s="161" t="str">
        <f>IFERROR(VLOOKUP(Q678,'PRODUCT TABLE'!$A$2:$B$26,2,FALSE),"-")</f>
        <v>-</v>
      </c>
      <c r="V678" s="161">
        <f t="shared" si="14"/>
        <v>0</v>
      </c>
      <c r="Y678" s="30"/>
      <c r="Z678" s="169">
        <f t="shared" si="2"/>
        <v>0</v>
      </c>
      <c r="AA678" s="167">
        <f t="shared" si="3"/>
        <v>0</v>
      </c>
      <c r="AB678" s="161"/>
      <c r="AC678" s="161">
        <f t="shared" si="4"/>
        <v>0</v>
      </c>
      <c r="AD678" s="161">
        <f t="shared" si="5"/>
        <v>0</v>
      </c>
      <c r="AE678" s="161">
        <f t="shared" si="6"/>
        <v>0</v>
      </c>
      <c r="AF678" s="167">
        <f t="shared" si="7"/>
        <v>0</v>
      </c>
      <c r="AG678" s="167">
        <f t="shared" si="8"/>
        <v>0</v>
      </c>
      <c r="AH678" s="158"/>
      <c r="AI678" s="158"/>
    </row>
    <row r="679" ht="12.75" customHeight="1">
      <c r="B679" s="160" t="str">
        <f>iferror(VLOOKUP((LEFT(A679,6)),CUSTOMER_DETAILS,2,FALSE),"-")</f>
        <v>-</v>
      </c>
      <c r="C679" s="161" t="s">
        <v>89</v>
      </c>
      <c r="D679" s="162"/>
      <c r="E679" s="161" t="s">
        <v>89</v>
      </c>
      <c r="F679" s="30" t="s">
        <v>89</v>
      </c>
      <c r="G679" s="30" t="s">
        <v>89</v>
      </c>
      <c r="H679" s="30" t="s">
        <v>89</v>
      </c>
      <c r="I679" s="48" t="s">
        <v>108</v>
      </c>
      <c r="J679" s="188" t="str">
        <f t="shared" si="15"/>
        <v/>
      </c>
      <c r="L679" s="48" t="s">
        <v>108</v>
      </c>
      <c r="O679" s="30" t="s">
        <v>89</v>
      </c>
      <c r="Q679" s="192"/>
      <c r="R679" s="161" t="str">
        <f>IFERROR(VLOOKUP(Q679,'PRODUCT TABLE'!$A$2:$B$26,2,FALSE),"-")</f>
        <v>-</v>
      </c>
      <c r="V679" s="161">
        <f t="shared" si="14"/>
        <v>0</v>
      </c>
      <c r="Y679" s="30"/>
      <c r="Z679" s="169">
        <f t="shared" si="2"/>
        <v>0</v>
      </c>
      <c r="AA679" s="167">
        <f t="shared" si="3"/>
        <v>0</v>
      </c>
      <c r="AB679" s="161"/>
      <c r="AC679" s="161">
        <f t="shared" si="4"/>
        <v>0</v>
      </c>
      <c r="AD679" s="161">
        <f t="shared" si="5"/>
        <v>0</v>
      </c>
      <c r="AE679" s="161">
        <f t="shared" si="6"/>
        <v>0</v>
      </c>
      <c r="AF679" s="167">
        <f t="shared" si="7"/>
        <v>0</v>
      </c>
      <c r="AG679" s="167">
        <f t="shared" si="8"/>
        <v>0</v>
      </c>
      <c r="AH679" s="158"/>
      <c r="AI679" s="158"/>
    </row>
    <row r="680" ht="12.75" customHeight="1">
      <c r="B680" s="160" t="str">
        <f>iferror(VLOOKUP((LEFT(A680,6)),CUSTOMER_DETAILS,2,FALSE),"-")</f>
        <v>-</v>
      </c>
      <c r="C680" s="161" t="s">
        <v>89</v>
      </c>
      <c r="D680" s="162"/>
      <c r="E680" s="161" t="s">
        <v>89</v>
      </c>
      <c r="F680" s="30" t="s">
        <v>89</v>
      </c>
      <c r="G680" s="30" t="s">
        <v>89</v>
      </c>
      <c r="H680" s="30" t="s">
        <v>89</v>
      </c>
      <c r="I680" s="48" t="s">
        <v>108</v>
      </c>
      <c r="J680" s="188" t="str">
        <f t="shared" si="15"/>
        <v/>
      </c>
      <c r="L680" s="48" t="s">
        <v>108</v>
      </c>
      <c r="O680" s="30" t="s">
        <v>89</v>
      </c>
      <c r="Q680" s="192"/>
      <c r="R680" s="161" t="str">
        <f>IFERROR(VLOOKUP(Q680,'PRODUCT TABLE'!$A$2:$B$26,2,FALSE),"-")</f>
        <v>-</v>
      </c>
      <c r="V680" s="161">
        <f t="shared" si="14"/>
        <v>0</v>
      </c>
      <c r="Y680" s="30"/>
      <c r="Z680" s="169">
        <f t="shared" si="2"/>
        <v>0</v>
      </c>
      <c r="AA680" s="167">
        <f t="shared" si="3"/>
        <v>0</v>
      </c>
      <c r="AB680" s="161"/>
      <c r="AC680" s="161">
        <f t="shared" si="4"/>
        <v>0</v>
      </c>
      <c r="AD680" s="161">
        <f t="shared" si="5"/>
        <v>0</v>
      </c>
      <c r="AE680" s="161">
        <f t="shared" si="6"/>
        <v>0</v>
      </c>
      <c r="AF680" s="167">
        <f t="shared" si="7"/>
        <v>0</v>
      </c>
      <c r="AG680" s="167">
        <f t="shared" si="8"/>
        <v>0</v>
      </c>
      <c r="AH680" s="158"/>
      <c r="AI680" s="158"/>
    </row>
    <row r="681" ht="12.75" customHeight="1">
      <c r="B681" s="160" t="str">
        <f>iferror(VLOOKUP((LEFT(A681,6)),CUSTOMER_DETAILS,2,FALSE),"-")</f>
        <v>-</v>
      </c>
      <c r="C681" s="161" t="s">
        <v>89</v>
      </c>
      <c r="D681" s="162"/>
      <c r="E681" s="161" t="s">
        <v>89</v>
      </c>
      <c r="F681" s="30" t="s">
        <v>89</v>
      </c>
      <c r="G681" s="30" t="s">
        <v>89</v>
      </c>
      <c r="H681" s="30" t="s">
        <v>89</v>
      </c>
      <c r="I681" s="48" t="s">
        <v>108</v>
      </c>
      <c r="J681" s="188" t="str">
        <f t="shared" si="15"/>
        <v/>
      </c>
      <c r="L681" s="48" t="s">
        <v>108</v>
      </c>
      <c r="O681" s="30" t="s">
        <v>89</v>
      </c>
      <c r="Q681" s="192"/>
      <c r="R681" s="161" t="str">
        <f>IFERROR(VLOOKUP(Q681,'PRODUCT TABLE'!$A$2:$B$26,2,FALSE),"-")</f>
        <v>-</v>
      </c>
      <c r="V681" s="161">
        <f t="shared" si="14"/>
        <v>0</v>
      </c>
      <c r="Y681" s="30"/>
      <c r="Z681" s="169">
        <f t="shared" si="2"/>
        <v>0</v>
      </c>
      <c r="AA681" s="167">
        <f t="shared" si="3"/>
        <v>0</v>
      </c>
      <c r="AB681" s="161"/>
      <c r="AC681" s="161">
        <f t="shared" si="4"/>
        <v>0</v>
      </c>
      <c r="AD681" s="161">
        <f t="shared" si="5"/>
        <v>0</v>
      </c>
      <c r="AE681" s="161">
        <f t="shared" si="6"/>
        <v>0</v>
      </c>
      <c r="AF681" s="167">
        <f t="shared" si="7"/>
        <v>0</v>
      </c>
      <c r="AG681" s="167">
        <f t="shared" si="8"/>
        <v>0</v>
      </c>
      <c r="AH681" s="158"/>
      <c r="AI681" s="158"/>
    </row>
    <row r="682" ht="12.75" customHeight="1">
      <c r="B682" s="160" t="str">
        <f>iferror(VLOOKUP((LEFT(A682,6)),CUSTOMER_DETAILS,2,FALSE),"-")</f>
        <v>-</v>
      </c>
      <c r="C682" s="161" t="s">
        <v>89</v>
      </c>
      <c r="D682" s="162"/>
      <c r="E682" s="161" t="s">
        <v>89</v>
      </c>
      <c r="F682" s="30" t="s">
        <v>89</v>
      </c>
      <c r="G682" s="30" t="s">
        <v>89</v>
      </c>
      <c r="H682" s="30" t="s">
        <v>89</v>
      </c>
      <c r="I682" s="48" t="s">
        <v>108</v>
      </c>
      <c r="J682" s="188" t="str">
        <f t="shared" si="15"/>
        <v/>
      </c>
      <c r="L682" s="48" t="s">
        <v>108</v>
      </c>
      <c r="O682" s="30" t="s">
        <v>89</v>
      </c>
      <c r="Q682" s="192"/>
      <c r="R682" s="161" t="str">
        <f>IFERROR(VLOOKUP(Q682,'PRODUCT TABLE'!$A$2:$B$26,2,FALSE),"-")</f>
        <v>-</v>
      </c>
      <c r="V682" s="161">
        <f t="shared" si="14"/>
        <v>0</v>
      </c>
      <c r="Y682" s="30"/>
      <c r="Z682" s="169">
        <f t="shared" si="2"/>
        <v>0</v>
      </c>
      <c r="AA682" s="167">
        <f t="shared" si="3"/>
        <v>0</v>
      </c>
      <c r="AB682" s="161"/>
      <c r="AC682" s="161">
        <f t="shared" si="4"/>
        <v>0</v>
      </c>
      <c r="AD682" s="161">
        <f t="shared" si="5"/>
        <v>0</v>
      </c>
      <c r="AE682" s="161">
        <f t="shared" si="6"/>
        <v>0</v>
      </c>
      <c r="AF682" s="167">
        <f t="shared" si="7"/>
        <v>0</v>
      </c>
      <c r="AG682" s="167">
        <f t="shared" si="8"/>
        <v>0</v>
      </c>
      <c r="AH682" s="158"/>
      <c r="AI682" s="158"/>
    </row>
    <row r="683" ht="12.75" customHeight="1">
      <c r="B683" s="160" t="str">
        <f>iferror(VLOOKUP((LEFT(A683,6)),CUSTOMER_DETAILS,2,FALSE),"-")</f>
        <v>-</v>
      </c>
      <c r="C683" s="161" t="s">
        <v>89</v>
      </c>
      <c r="D683" s="162"/>
      <c r="E683" s="161" t="s">
        <v>89</v>
      </c>
      <c r="F683" s="30" t="s">
        <v>89</v>
      </c>
      <c r="G683" s="30" t="s">
        <v>89</v>
      </c>
      <c r="H683" s="30" t="s">
        <v>89</v>
      </c>
      <c r="I683" s="48" t="s">
        <v>108</v>
      </c>
      <c r="J683" s="188" t="str">
        <f t="shared" si="15"/>
        <v/>
      </c>
      <c r="L683" s="48" t="s">
        <v>108</v>
      </c>
      <c r="O683" s="30" t="s">
        <v>89</v>
      </c>
      <c r="Q683" s="192"/>
      <c r="R683" s="161" t="str">
        <f>IFERROR(VLOOKUP(Q683,'PRODUCT TABLE'!$A$2:$B$26,2,FALSE),"-")</f>
        <v>-</v>
      </c>
      <c r="V683" s="161">
        <f t="shared" si="14"/>
        <v>0</v>
      </c>
      <c r="Y683" s="30"/>
      <c r="Z683" s="169">
        <f t="shared" si="2"/>
        <v>0</v>
      </c>
      <c r="AA683" s="167">
        <f t="shared" si="3"/>
        <v>0</v>
      </c>
      <c r="AB683" s="161"/>
      <c r="AC683" s="161">
        <f t="shared" si="4"/>
        <v>0</v>
      </c>
      <c r="AD683" s="161">
        <f t="shared" si="5"/>
        <v>0</v>
      </c>
      <c r="AE683" s="161">
        <f t="shared" si="6"/>
        <v>0</v>
      </c>
      <c r="AF683" s="167">
        <f t="shared" si="7"/>
        <v>0</v>
      </c>
      <c r="AG683" s="167">
        <f t="shared" si="8"/>
        <v>0</v>
      </c>
      <c r="AH683" s="158"/>
      <c r="AI683" s="158"/>
    </row>
    <row r="684" ht="12.75" customHeight="1">
      <c r="B684" s="160" t="str">
        <f>iferror(VLOOKUP((LEFT(A684,6)),CUSTOMER_DETAILS,2,FALSE),"-")</f>
        <v>-</v>
      </c>
      <c r="C684" s="161" t="s">
        <v>89</v>
      </c>
      <c r="D684" s="162"/>
      <c r="E684" s="161" t="s">
        <v>89</v>
      </c>
      <c r="F684" s="30" t="s">
        <v>89</v>
      </c>
      <c r="G684" s="30" t="s">
        <v>89</v>
      </c>
      <c r="H684" s="30" t="s">
        <v>89</v>
      </c>
      <c r="I684" s="48" t="s">
        <v>108</v>
      </c>
      <c r="J684" s="188" t="str">
        <f t="shared" si="15"/>
        <v/>
      </c>
      <c r="L684" s="48" t="s">
        <v>108</v>
      </c>
      <c r="O684" s="30" t="s">
        <v>89</v>
      </c>
      <c r="Q684" s="192"/>
      <c r="R684" s="161" t="str">
        <f>IFERROR(VLOOKUP(Q684,'PRODUCT TABLE'!$A$2:$B$26,2,FALSE),"-")</f>
        <v>-</v>
      </c>
      <c r="V684" s="161">
        <f t="shared" si="14"/>
        <v>0</v>
      </c>
      <c r="Y684" s="30"/>
      <c r="Z684" s="169">
        <f t="shared" si="2"/>
        <v>0</v>
      </c>
      <c r="AA684" s="167">
        <f t="shared" si="3"/>
        <v>0</v>
      </c>
      <c r="AB684" s="161"/>
      <c r="AC684" s="161">
        <f t="shared" si="4"/>
        <v>0</v>
      </c>
      <c r="AD684" s="161">
        <f t="shared" si="5"/>
        <v>0</v>
      </c>
      <c r="AE684" s="161">
        <f t="shared" si="6"/>
        <v>0</v>
      </c>
      <c r="AF684" s="167">
        <f t="shared" si="7"/>
        <v>0</v>
      </c>
      <c r="AG684" s="167">
        <f t="shared" si="8"/>
        <v>0</v>
      </c>
      <c r="AH684" s="158"/>
      <c r="AI684" s="158"/>
    </row>
    <row r="685" ht="12.75" customHeight="1">
      <c r="B685" s="160" t="str">
        <f>iferror(VLOOKUP((LEFT(A685,6)),CUSTOMER_DETAILS,2,FALSE),"-")</f>
        <v>-</v>
      </c>
      <c r="C685" s="161" t="s">
        <v>89</v>
      </c>
      <c r="D685" s="162"/>
      <c r="E685" s="161" t="s">
        <v>89</v>
      </c>
      <c r="F685" s="30" t="s">
        <v>89</v>
      </c>
      <c r="G685" s="30" t="s">
        <v>89</v>
      </c>
      <c r="H685" s="30" t="s">
        <v>89</v>
      </c>
      <c r="I685" s="48" t="s">
        <v>108</v>
      </c>
      <c r="J685" s="188" t="str">
        <f t="shared" si="15"/>
        <v/>
      </c>
      <c r="L685" s="48" t="s">
        <v>108</v>
      </c>
      <c r="O685" s="30" t="s">
        <v>89</v>
      </c>
      <c r="Q685" s="192"/>
      <c r="R685" s="161" t="str">
        <f>IFERROR(VLOOKUP(Q685,'PRODUCT TABLE'!$A$2:$B$26,2,FALSE),"-")</f>
        <v>-</v>
      </c>
      <c r="V685" s="161">
        <f t="shared" si="14"/>
        <v>0</v>
      </c>
      <c r="Y685" s="30"/>
      <c r="Z685" s="169">
        <f t="shared" si="2"/>
        <v>0</v>
      </c>
      <c r="AA685" s="167">
        <f t="shared" si="3"/>
        <v>0</v>
      </c>
      <c r="AB685" s="161"/>
      <c r="AC685" s="161">
        <f t="shared" si="4"/>
        <v>0</v>
      </c>
      <c r="AD685" s="161">
        <f t="shared" si="5"/>
        <v>0</v>
      </c>
      <c r="AE685" s="161">
        <f t="shared" si="6"/>
        <v>0</v>
      </c>
      <c r="AF685" s="167">
        <f t="shared" si="7"/>
        <v>0</v>
      </c>
      <c r="AG685" s="167">
        <f t="shared" si="8"/>
        <v>0</v>
      </c>
      <c r="AH685" s="158"/>
      <c r="AI685" s="158"/>
    </row>
    <row r="686" ht="12.75" customHeight="1">
      <c r="B686" s="160" t="str">
        <f>iferror(VLOOKUP((LEFT(A686,6)),CUSTOMER_DETAILS,2,FALSE),"-")</f>
        <v>-</v>
      </c>
      <c r="C686" s="161" t="s">
        <v>89</v>
      </c>
      <c r="D686" s="162"/>
      <c r="E686" s="161" t="s">
        <v>89</v>
      </c>
      <c r="F686" s="30" t="s">
        <v>89</v>
      </c>
      <c r="G686" s="30" t="s">
        <v>89</v>
      </c>
      <c r="H686" s="30" t="s">
        <v>89</v>
      </c>
      <c r="I686" s="48" t="s">
        <v>108</v>
      </c>
      <c r="J686" s="188" t="str">
        <f t="shared" si="15"/>
        <v/>
      </c>
      <c r="L686" s="48" t="s">
        <v>108</v>
      </c>
      <c r="O686" s="30" t="s">
        <v>89</v>
      </c>
      <c r="Q686" s="192"/>
      <c r="R686" s="161" t="str">
        <f>IFERROR(VLOOKUP(Q686,'PRODUCT TABLE'!$A$2:$B$26,2,FALSE),"-")</f>
        <v>-</v>
      </c>
      <c r="V686" s="161">
        <f t="shared" si="14"/>
        <v>0</v>
      </c>
      <c r="Y686" s="30"/>
      <c r="Z686" s="169">
        <f t="shared" si="2"/>
        <v>0</v>
      </c>
      <c r="AA686" s="167">
        <f t="shared" si="3"/>
        <v>0</v>
      </c>
      <c r="AB686" s="161"/>
      <c r="AC686" s="161">
        <f t="shared" si="4"/>
        <v>0</v>
      </c>
      <c r="AD686" s="161">
        <f t="shared" si="5"/>
        <v>0</v>
      </c>
      <c r="AE686" s="161">
        <f t="shared" si="6"/>
        <v>0</v>
      </c>
      <c r="AF686" s="167">
        <f t="shared" si="7"/>
        <v>0</v>
      </c>
      <c r="AG686" s="167">
        <f t="shared" si="8"/>
        <v>0</v>
      </c>
      <c r="AH686" s="158"/>
      <c r="AI686" s="158"/>
    </row>
    <row r="687" ht="12.75" customHeight="1">
      <c r="B687" s="160" t="str">
        <f>iferror(VLOOKUP((LEFT(A687,6)),CUSTOMER_DETAILS,2,FALSE),"-")</f>
        <v>-</v>
      </c>
      <c r="C687" s="161" t="s">
        <v>89</v>
      </c>
      <c r="D687" s="162"/>
      <c r="E687" s="161" t="s">
        <v>89</v>
      </c>
      <c r="F687" s="30" t="s">
        <v>89</v>
      </c>
      <c r="G687" s="30" t="s">
        <v>89</v>
      </c>
      <c r="H687" s="30" t="s">
        <v>89</v>
      </c>
      <c r="I687" s="48" t="s">
        <v>108</v>
      </c>
      <c r="J687" s="188" t="str">
        <f t="shared" si="15"/>
        <v/>
      </c>
      <c r="L687" s="48" t="s">
        <v>108</v>
      </c>
      <c r="O687" s="30" t="s">
        <v>89</v>
      </c>
      <c r="Q687" s="192"/>
      <c r="R687" s="161" t="str">
        <f>IFERROR(VLOOKUP(Q687,'PRODUCT TABLE'!$A$2:$B$26,2,FALSE),"-")</f>
        <v>-</v>
      </c>
      <c r="V687" s="161">
        <f t="shared" si="14"/>
        <v>0</v>
      </c>
      <c r="Y687" s="30"/>
      <c r="Z687" s="169">
        <f t="shared" si="2"/>
        <v>0</v>
      </c>
      <c r="AA687" s="167">
        <f t="shared" si="3"/>
        <v>0</v>
      </c>
      <c r="AB687" s="161"/>
      <c r="AC687" s="161">
        <f t="shared" si="4"/>
        <v>0</v>
      </c>
      <c r="AD687" s="161">
        <f t="shared" si="5"/>
        <v>0</v>
      </c>
      <c r="AE687" s="161">
        <f t="shared" si="6"/>
        <v>0</v>
      </c>
      <c r="AF687" s="167">
        <f t="shared" si="7"/>
        <v>0</v>
      </c>
      <c r="AG687" s="167">
        <f t="shared" si="8"/>
        <v>0</v>
      </c>
      <c r="AH687" s="158"/>
      <c r="AI687" s="158"/>
    </row>
    <row r="688" ht="12.75" customHeight="1">
      <c r="B688" s="160" t="str">
        <f>iferror(VLOOKUP((LEFT(A688,6)),CUSTOMER_DETAILS,2,FALSE),"-")</f>
        <v>-</v>
      </c>
      <c r="C688" s="161" t="s">
        <v>89</v>
      </c>
      <c r="D688" s="162"/>
      <c r="E688" s="161" t="s">
        <v>89</v>
      </c>
      <c r="F688" s="30" t="s">
        <v>89</v>
      </c>
      <c r="G688" s="30" t="s">
        <v>89</v>
      </c>
      <c r="H688" s="30" t="s">
        <v>89</v>
      </c>
      <c r="I688" s="48" t="s">
        <v>108</v>
      </c>
      <c r="J688" s="188" t="str">
        <f t="shared" si="15"/>
        <v/>
      </c>
      <c r="L688" s="48" t="s">
        <v>108</v>
      </c>
      <c r="O688" s="30" t="s">
        <v>89</v>
      </c>
      <c r="Q688" s="192"/>
      <c r="R688" s="161" t="str">
        <f>IFERROR(VLOOKUP(Q688,'PRODUCT TABLE'!$A$2:$B$26,2,FALSE),"-")</f>
        <v>-</v>
      </c>
      <c r="V688" s="161">
        <f t="shared" si="14"/>
        <v>0</v>
      </c>
      <c r="Y688" s="30"/>
      <c r="Z688" s="169">
        <f t="shared" si="2"/>
        <v>0</v>
      </c>
      <c r="AA688" s="167">
        <f t="shared" si="3"/>
        <v>0</v>
      </c>
      <c r="AB688" s="161"/>
      <c r="AC688" s="161">
        <f t="shared" si="4"/>
        <v>0</v>
      </c>
      <c r="AD688" s="161">
        <f t="shared" si="5"/>
        <v>0</v>
      </c>
      <c r="AE688" s="161">
        <f t="shared" si="6"/>
        <v>0</v>
      </c>
      <c r="AF688" s="167">
        <f t="shared" si="7"/>
        <v>0</v>
      </c>
      <c r="AG688" s="167">
        <f t="shared" si="8"/>
        <v>0</v>
      </c>
      <c r="AH688" s="158"/>
      <c r="AI688" s="158"/>
    </row>
    <row r="689" ht="12.75" customHeight="1">
      <c r="B689" s="160" t="str">
        <f>iferror(VLOOKUP((LEFT(A689,6)),CUSTOMER_DETAILS,2,FALSE),"-")</f>
        <v>-</v>
      </c>
      <c r="C689" s="161" t="s">
        <v>89</v>
      </c>
      <c r="D689" s="162"/>
      <c r="E689" s="161" t="s">
        <v>89</v>
      </c>
      <c r="F689" s="30" t="s">
        <v>89</v>
      </c>
      <c r="G689" s="30" t="s">
        <v>89</v>
      </c>
      <c r="H689" s="30" t="s">
        <v>89</v>
      </c>
      <c r="I689" s="48" t="s">
        <v>108</v>
      </c>
      <c r="J689" s="188" t="str">
        <f t="shared" si="15"/>
        <v/>
      </c>
      <c r="L689" s="48" t="s">
        <v>108</v>
      </c>
      <c r="O689" s="30" t="s">
        <v>89</v>
      </c>
      <c r="Q689" s="192"/>
      <c r="R689" s="161" t="str">
        <f>IFERROR(VLOOKUP(Q689,'PRODUCT TABLE'!$A$2:$B$26,2,FALSE),"-")</f>
        <v>-</v>
      </c>
      <c r="V689" s="161">
        <f t="shared" si="14"/>
        <v>0</v>
      </c>
      <c r="Y689" s="30"/>
      <c r="Z689" s="169">
        <f t="shared" si="2"/>
        <v>0</v>
      </c>
      <c r="AA689" s="167">
        <f t="shared" si="3"/>
        <v>0</v>
      </c>
      <c r="AB689" s="161"/>
      <c r="AC689" s="161">
        <f t="shared" si="4"/>
        <v>0</v>
      </c>
      <c r="AD689" s="161">
        <f t="shared" si="5"/>
        <v>0</v>
      </c>
      <c r="AE689" s="161">
        <f t="shared" si="6"/>
        <v>0</v>
      </c>
      <c r="AF689" s="167">
        <f t="shared" si="7"/>
        <v>0</v>
      </c>
      <c r="AG689" s="167">
        <f t="shared" si="8"/>
        <v>0</v>
      </c>
      <c r="AH689" s="158"/>
      <c r="AI689" s="158"/>
    </row>
    <row r="690" ht="12.75" customHeight="1">
      <c r="B690" s="160" t="str">
        <f>iferror(VLOOKUP((LEFT(A690,6)),CUSTOMER_DETAILS,2,FALSE),"-")</f>
        <v>-</v>
      </c>
      <c r="C690" s="161" t="s">
        <v>89</v>
      </c>
      <c r="D690" s="162"/>
      <c r="E690" s="161" t="s">
        <v>89</v>
      </c>
      <c r="F690" s="30" t="s">
        <v>89</v>
      </c>
      <c r="G690" s="30" t="s">
        <v>89</v>
      </c>
      <c r="H690" s="30" t="s">
        <v>89</v>
      </c>
      <c r="I690" s="48" t="s">
        <v>108</v>
      </c>
      <c r="J690" s="188" t="str">
        <f t="shared" si="15"/>
        <v/>
      </c>
      <c r="L690" s="48" t="s">
        <v>108</v>
      </c>
      <c r="O690" s="30" t="s">
        <v>89</v>
      </c>
      <c r="Q690" s="192"/>
      <c r="R690" s="161" t="str">
        <f>IFERROR(VLOOKUP(Q690,'PRODUCT TABLE'!$A$2:$B$26,2,FALSE),"-")</f>
        <v>-</v>
      </c>
      <c r="V690" s="161">
        <f t="shared" si="14"/>
        <v>0</v>
      </c>
      <c r="Y690" s="30"/>
      <c r="Z690" s="169">
        <f t="shared" si="2"/>
        <v>0</v>
      </c>
      <c r="AA690" s="167">
        <f t="shared" si="3"/>
        <v>0</v>
      </c>
      <c r="AB690" s="161"/>
      <c r="AC690" s="161">
        <f t="shared" si="4"/>
        <v>0</v>
      </c>
      <c r="AD690" s="161">
        <f t="shared" si="5"/>
        <v>0</v>
      </c>
      <c r="AE690" s="161">
        <f t="shared" si="6"/>
        <v>0</v>
      </c>
      <c r="AF690" s="167">
        <f t="shared" si="7"/>
        <v>0</v>
      </c>
      <c r="AG690" s="167">
        <f t="shared" si="8"/>
        <v>0</v>
      </c>
      <c r="AH690" s="158"/>
      <c r="AI690" s="158"/>
    </row>
    <row r="691" ht="12.75" customHeight="1">
      <c r="B691" s="160" t="str">
        <f>iferror(VLOOKUP((LEFT(A691,6)),CUSTOMER_DETAILS,2,FALSE),"-")</f>
        <v>-</v>
      </c>
      <c r="C691" s="161" t="s">
        <v>89</v>
      </c>
      <c r="D691" s="162"/>
      <c r="E691" s="161" t="s">
        <v>89</v>
      </c>
      <c r="F691" s="30" t="s">
        <v>89</v>
      </c>
      <c r="G691" s="30" t="s">
        <v>89</v>
      </c>
      <c r="H691" s="30" t="s">
        <v>89</v>
      </c>
      <c r="I691" s="48" t="s">
        <v>108</v>
      </c>
      <c r="J691" s="188" t="str">
        <f t="shared" si="15"/>
        <v/>
      </c>
      <c r="L691" s="48" t="s">
        <v>108</v>
      </c>
      <c r="O691" s="30" t="s">
        <v>89</v>
      </c>
      <c r="Q691" s="192"/>
      <c r="R691" s="161" t="str">
        <f>IFERROR(VLOOKUP(Q691,'PRODUCT TABLE'!$A$2:$B$26,2,FALSE),"-")</f>
        <v>-</v>
      </c>
      <c r="V691" s="161">
        <f t="shared" si="14"/>
        <v>0</v>
      </c>
      <c r="Y691" s="30"/>
      <c r="Z691" s="169">
        <f t="shared" si="2"/>
        <v>0</v>
      </c>
      <c r="AA691" s="167">
        <f t="shared" si="3"/>
        <v>0</v>
      </c>
      <c r="AB691" s="161"/>
      <c r="AC691" s="161">
        <f t="shared" si="4"/>
        <v>0</v>
      </c>
      <c r="AD691" s="161">
        <f t="shared" si="5"/>
        <v>0</v>
      </c>
      <c r="AE691" s="161">
        <f t="shared" si="6"/>
        <v>0</v>
      </c>
      <c r="AF691" s="167">
        <f t="shared" si="7"/>
        <v>0</v>
      </c>
      <c r="AG691" s="167">
        <f t="shared" si="8"/>
        <v>0</v>
      </c>
      <c r="AH691" s="158"/>
      <c r="AI691" s="158"/>
    </row>
    <row r="692" ht="12.75" customHeight="1">
      <c r="B692" s="160" t="str">
        <f>iferror(VLOOKUP((LEFT(A692,6)),CUSTOMER_DETAILS,2,FALSE),"-")</f>
        <v>-</v>
      </c>
      <c r="C692" s="161" t="s">
        <v>89</v>
      </c>
      <c r="D692" s="162"/>
      <c r="E692" s="161" t="s">
        <v>89</v>
      </c>
      <c r="F692" s="30" t="s">
        <v>89</v>
      </c>
      <c r="G692" s="30" t="s">
        <v>89</v>
      </c>
      <c r="H692" s="30" t="s">
        <v>89</v>
      </c>
      <c r="I692" s="48" t="s">
        <v>108</v>
      </c>
      <c r="J692" s="188" t="str">
        <f t="shared" si="15"/>
        <v/>
      </c>
      <c r="L692" s="48" t="s">
        <v>108</v>
      </c>
      <c r="O692" s="30" t="s">
        <v>89</v>
      </c>
      <c r="Q692" s="192"/>
      <c r="R692" s="161" t="str">
        <f>IFERROR(VLOOKUP(Q692,'PRODUCT TABLE'!$A$2:$B$26,2,FALSE),"-")</f>
        <v>-</v>
      </c>
      <c r="V692" s="161">
        <f t="shared" si="14"/>
        <v>0</v>
      </c>
      <c r="Y692" s="30"/>
      <c r="Z692" s="169">
        <f t="shared" si="2"/>
        <v>0</v>
      </c>
      <c r="AA692" s="167">
        <f t="shared" si="3"/>
        <v>0</v>
      </c>
      <c r="AB692" s="161"/>
      <c r="AC692" s="161">
        <f t="shared" si="4"/>
        <v>0</v>
      </c>
      <c r="AD692" s="161">
        <f t="shared" si="5"/>
        <v>0</v>
      </c>
      <c r="AE692" s="161">
        <f t="shared" si="6"/>
        <v>0</v>
      </c>
      <c r="AF692" s="167">
        <f t="shared" si="7"/>
        <v>0</v>
      </c>
      <c r="AG692" s="167">
        <f t="shared" si="8"/>
        <v>0</v>
      </c>
      <c r="AH692" s="158"/>
      <c r="AI692" s="158"/>
    </row>
    <row r="693" ht="12.75" customHeight="1">
      <c r="B693" s="160" t="str">
        <f>iferror(VLOOKUP((LEFT(A693,6)),CUSTOMER_DETAILS,2,FALSE),"-")</f>
        <v>-</v>
      </c>
      <c r="C693" s="161" t="s">
        <v>89</v>
      </c>
      <c r="D693" s="162"/>
      <c r="E693" s="161" t="s">
        <v>89</v>
      </c>
      <c r="F693" s="30" t="s">
        <v>89</v>
      </c>
      <c r="G693" s="30" t="s">
        <v>89</v>
      </c>
      <c r="H693" s="30" t="s">
        <v>89</v>
      </c>
      <c r="I693" s="48" t="s">
        <v>108</v>
      </c>
      <c r="J693" s="188" t="str">
        <f t="shared" si="15"/>
        <v/>
      </c>
      <c r="L693" s="48" t="s">
        <v>108</v>
      </c>
      <c r="O693" s="30" t="s">
        <v>89</v>
      </c>
      <c r="Q693" s="192"/>
      <c r="R693" s="161" t="str">
        <f>IFERROR(VLOOKUP(Q693,'PRODUCT TABLE'!$A$2:$B$26,2,FALSE),"-")</f>
        <v>-</v>
      </c>
      <c r="V693" s="161">
        <f t="shared" si="14"/>
        <v>0</v>
      </c>
      <c r="Y693" s="30"/>
      <c r="Z693" s="169">
        <f t="shared" si="2"/>
        <v>0</v>
      </c>
      <c r="AA693" s="167">
        <f t="shared" si="3"/>
        <v>0</v>
      </c>
      <c r="AB693" s="161"/>
      <c r="AC693" s="161">
        <f t="shared" si="4"/>
        <v>0</v>
      </c>
      <c r="AD693" s="161">
        <f t="shared" si="5"/>
        <v>0</v>
      </c>
      <c r="AE693" s="161">
        <f t="shared" si="6"/>
        <v>0</v>
      </c>
      <c r="AF693" s="167">
        <f t="shared" si="7"/>
        <v>0</v>
      </c>
      <c r="AG693" s="167">
        <f t="shared" si="8"/>
        <v>0</v>
      </c>
      <c r="AH693" s="158"/>
      <c r="AI693" s="158"/>
    </row>
    <row r="694" ht="12.75" customHeight="1">
      <c r="B694" s="160" t="str">
        <f>iferror(VLOOKUP((LEFT(A694,6)),CUSTOMER_DETAILS,2,FALSE),"-")</f>
        <v>-</v>
      </c>
      <c r="C694" s="161" t="s">
        <v>89</v>
      </c>
      <c r="D694" s="162"/>
      <c r="E694" s="161" t="s">
        <v>89</v>
      </c>
      <c r="F694" s="30" t="s">
        <v>89</v>
      </c>
      <c r="G694" s="30" t="s">
        <v>89</v>
      </c>
      <c r="H694" s="30" t="s">
        <v>89</v>
      </c>
      <c r="I694" s="48" t="s">
        <v>108</v>
      </c>
      <c r="J694" s="188" t="str">
        <f t="shared" si="15"/>
        <v/>
      </c>
      <c r="L694" s="48" t="s">
        <v>108</v>
      </c>
      <c r="O694" s="30" t="s">
        <v>89</v>
      </c>
      <c r="Q694" s="192"/>
      <c r="R694" s="161" t="str">
        <f>IFERROR(VLOOKUP(Q694,'PRODUCT TABLE'!$A$2:$B$26,2,FALSE),"-")</f>
        <v>-</v>
      </c>
      <c r="V694" s="161">
        <f t="shared" si="14"/>
        <v>0</v>
      </c>
      <c r="Y694" s="30"/>
      <c r="Z694" s="169">
        <f t="shared" si="2"/>
        <v>0</v>
      </c>
      <c r="AA694" s="167">
        <f t="shared" si="3"/>
        <v>0</v>
      </c>
      <c r="AB694" s="161"/>
      <c r="AC694" s="161">
        <f t="shared" si="4"/>
        <v>0</v>
      </c>
      <c r="AD694" s="161">
        <f t="shared" si="5"/>
        <v>0</v>
      </c>
      <c r="AE694" s="161">
        <f t="shared" si="6"/>
        <v>0</v>
      </c>
      <c r="AF694" s="167">
        <f t="shared" si="7"/>
        <v>0</v>
      </c>
      <c r="AG694" s="167">
        <f t="shared" si="8"/>
        <v>0</v>
      </c>
      <c r="AH694" s="158"/>
      <c r="AI694" s="158"/>
    </row>
    <row r="695" ht="12.75" customHeight="1">
      <c r="B695" s="160" t="str">
        <f>iferror(VLOOKUP((LEFT(A695,6)),CUSTOMER_DETAILS,2,FALSE),"-")</f>
        <v>-</v>
      </c>
      <c r="C695" s="161" t="s">
        <v>89</v>
      </c>
      <c r="D695" s="162"/>
      <c r="E695" s="161" t="s">
        <v>89</v>
      </c>
      <c r="F695" s="30" t="s">
        <v>89</v>
      </c>
      <c r="G695" s="30" t="s">
        <v>89</v>
      </c>
      <c r="H695" s="30" t="s">
        <v>89</v>
      </c>
      <c r="I695" s="48" t="s">
        <v>108</v>
      </c>
      <c r="J695" s="188" t="str">
        <f t="shared" si="15"/>
        <v/>
      </c>
      <c r="L695" s="48" t="s">
        <v>108</v>
      </c>
      <c r="O695" s="30" t="s">
        <v>89</v>
      </c>
      <c r="Q695" s="192"/>
      <c r="R695" s="161" t="str">
        <f>IFERROR(VLOOKUP(Q695,'PRODUCT TABLE'!$A$2:$B$26,2,FALSE),"-")</f>
        <v>-</v>
      </c>
      <c r="V695" s="161">
        <f t="shared" si="14"/>
        <v>0</v>
      </c>
      <c r="Y695" s="30"/>
      <c r="Z695" s="169">
        <f t="shared" si="2"/>
        <v>0</v>
      </c>
      <c r="AA695" s="167">
        <f t="shared" si="3"/>
        <v>0</v>
      </c>
      <c r="AB695" s="161"/>
      <c r="AC695" s="161">
        <f t="shared" si="4"/>
        <v>0</v>
      </c>
      <c r="AD695" s="161">
        <f t="shared" si="5"/>
        <v>0</v>
      </c>
      <c r="AE695" s="161">
        <f t="shared" si="6"/>
        <v>0</v>
      </c>
      <c r="AF695" s="167">
        <f t="shared" si="7"/>
        <v>0</v>
      </c>
      <c r="AG695" s="167">
        <f t="shared" si="8"/>
        <v>0</v>
      </c>
      <c r="AH695" s="158"/>
      <c r="AI695" s="158"/>
    </row>
    <row r="696" ht="12.75" customHeight="1">
      <c r="B696" s="160" t="str">
        <f>iferror(VLOOKUP((LEFT(A696,6)),CUSTOMER_DETAILS,2,FALSE),"-")</f>
        <v>-</v>
      </c>
      <c r="C696" s="161" t="s">
        <v>89</v>
      </c>
      <c r="D696" s="162"/>
      <c r="E696" s="161" t="s">
        <v>89</v>
      </c>
      <c r="F696" s="30" t="s">
        <v>89</v>
      </c>
      <c r="G696" s="30" t="s">
        <v>89</v>
      </c>
      <c r="H696" s="30" t="s">
        <v>89</v>
      </c>
      <c r="I696" s="48" t="s">
        <v>108</v>
      </c>
      <c r="J696" s="188" t="str">
        <f t="shared" si="15"/>
        <v/>
      </c>
      <c r="L696" s="48" t="s">
        <v>108</v>
      </c>
      <c r="O696" s="30" t="s">
        <v>89</v>
      </c>
      <c r="Q696" s="192"/>
      <c r="R696" s="161" t="str">
        <f>IFERROR(VLOOKUP(Q696,'PRODUCT TABLE'!$A$2:$B$26,2,FALSE),"-")</f>
        <v>-</v>
      </c>
      <c r="V696" s="161">
        <f t="shared" si="14"/>
        <v>0</v>
      </c>
      <c r="Y696" s="30"/>
      <c r="Z696" s="169">
        <f t="shared" si="2"/>
        <v>0</v>
      </c>
      <c r="AA696" s="167">
        <f t="shared" si="3"/>
        <v>0</v>
      </c>
      <c r="AB696" s="161"/>
      <c r="AC696" s="161">
        <f t="shared" si="4"/>
        <v>0</v>
      </c>
      <c r="AD696" s="161">
        <f t="shared" si="5"/>
        <v>0</v>
      </c>
      <c r="AE696" s="161">
        <f t="shared" si="6"/>
        <v>0</v>
      </c>
      <c r="AF696" s="167">
        <f t="shared" si="7"/>
        <v>0</v>
      </c>
      <c r="AG696" s="167">
        <f t="shared" si="8"/>
        <v>0</v>
      </c>
      <c r="AH696" s="158"/>
      <c r="AI696" s="158"/>
    </row>
    <row r="697" ht="12.75" customHeight="1">
      <c r="B697" s="160" t="str">
        <f>iferror(VLOOKUP((LEFT(A697,6)),CUSTOMER_DETAILS,2,FALSE),"-")</f>
        <v>-</v>
      </c>
      <c r="C697" s="161" t="s">
        <v>89</v>
      </c>
      <c r="D697" s="162"/>
      <c r="E697" s="161" t="s">
        <v>89</v>
      </c>
      <c r="F697" s="30" t="s">
        <v>89</v>
      </c>
      <c r="G697" s="30" t="s">
        <v>89</v>
      </c>
      <c r="H697" s="30" t="s">
        <v>89</v>
      </c>
      <c r="I697" s="48" t="s">
        <v>108</v>
      </c>
      <c r="J697" s="188" t="str">
        <f t="shared" si="15"/>
        <v/>
      </c>
      <c r="L697" s="48" t="s">
        <v>108</v>
      </c>
      <c r="O697" s="30" t="s">
        <v>89</v>
      </c>
      <c r="Q697" s="192"/>
      <c r="R697" s="161" t="str">
        <f>IFERROR(VLOOKUP(Q697,'PRODUCT TABLE'!$A$2:$B$26,2,FALSE),"-")</f>
        <v>-</v>
      </c>
      <c r="V697" s="161">
        <f t="shared" si="14"/>
        <v>0</v>
      </c>
      <c r="Y697" s="30"/>
      <c r="Z697" s="169">
        <f t="shared" si="2"/>
        <v>0</v>
      </c>
      <c r="AA697" s="167">
        <f t="shared" si="3"/>
        <v>0</v>
      </c>
      <c r="AB697" s="161"/>
      <c r="AC697" s="161">
        <f t="shared" si="4"/>
        <v>0</v>
      </c>
      <c r="AD697" s="161">
        <f t="shared" si="5"/>
        <v>0</v>
      </c>
      <c r="AE697" s="161">
        <f t="shared" si="6"/>
        <v>0</v>
      </c>
      <c r="AF697" s="167">
        <f t="shared" si="7"/>
        <v>0</v>
      </c>
      <c r="AG697" s="167">
        <f t="shared" si="8"/>
        <v>0</v>
      </c>
      <c r="AH697" s="158"/>
      <c r="AI697" s="158"/>
    </row>
    <row r="698" ht="12.75" customHeight="1">
      <c r="B698" s="160" t="str">
        <f>iferror(VLOOKUP((LEFT(A698,6)),CUSTOMER_DETAILS,2,FALSE),"-")</f>
        <v>-</v>
      </c>
      <c r="C698" s="161" t="s">
        <v>89</v>
      </c>
      <c r="D698" s="162"/>
      <c r="E698" s="161" t="s">
        <v>89</v>
      </c>
      <c r="F698" s="30" t="s">
        <v>89</v>
      </c>
      <c r="G698" s="30" t="s">
        <v>89</v>
      </c>
      <c r="H698" s="30" t="s">
        <v>89</v>
      </c>
      <c r="I698" s="48" t="s">
        <v>108</v>
      </c>
      <c r="J698" s="188" t="str">
        <f t="shared" si="15"/>
        <v/>
      </c>
      <c r="L698" s="48" t="s">
        <v>108</v>
      </c>
      <c r="O698" s="30" t="s">
        <v>89</v>
      </c>
      <c r="Q698" s="192"/>
      <c r="R698" s="161" t="str">
        <f>IFERROR(VLOOKUP(Q698,'PRODUCT TABLE'!$A$2:$B$26,2,FALSE),"-")</f>
        <v>-</v>
      </c>
      <c r="V698" s="161">
        <f t="shared" si="14"/>
        <v>0</v>
      </c>
      <c r="Y698" s="30"/>
      <c r="Z698" s="169">
        <f t="shared" si="2"/>
        <v>0</v>
      </c>
      <c r="AA698" s="167">
        <f t="shared" si="3"/>
        <v>0</v>
      </c>
      <c r="AB698" s="161"/>
      <c r="AC698" s="161">
        <f t="shared" si="4"/>
        <v>0</v>
      </c>
      <c r="AD698" s="161">
        <f t="shared" si="5"/>
        <v>0</v>
      </c>
      <c r="AE698" s="161">
        <f t="shared" si="6"/>
        <v>0</v>
      </c>
      <c r="AF698" s="167">
        <f t="shared" si="7"/>
        <v>0</v>
      </c>
      <c r="AG698" s="167">
        <f t="shared" si="8"/>
        <v>0</v>
      </c>
      <c r="AH698" s="158"/>
      <c r="AI698" s="158"/>
    </row>
    <row r="699" ht="12.75" customHeight="1">
      <c r="B699" s="160" t="str">
        <f>iferror(VLOOKUP((LEFT(A699,6)),CUSTOMER_DETAILS,2,FALSE),"-")</f>
        <v>-</v>
      </c>
      <c r="C699" s="161" t="s">
        <v>89</v>
      </c>
      <c r="D699" s="162"/>
      <c r="E699" s="161" t="s">
        <v>89</v>
      </c>
      <c r="F699" s="30" t="s">
        <v>89</v>
      </c>
      <c r="G699" s="30" t="s">
        <v>89</v>
      </c>
      <c r="H699" s="30" t="s">
        <v>89</v>
      </c>
      <c r="I699" s="48" t="s">
        <v>108</v>
      </c>
      <c r="J699" s="188" t="str">
        <f t="shared" si="15"/>
        <v/>
      </c>
      <c r="L699" s="48" t="s">
        <v>108</v>
      </c>
      <c r="O699" s="30" t="s">
        <v>89</v>
      </c>
      <c r="Q699" s="192"/>
      <c r="R699" s="161" t="str">
        <f>IFERROR(VLOOKUP(Q699,'PRODUCT TABLE'!$A$2:$B$26,2,FALSE),"-")</f>
        <v>-</v>
      </c>
      <c r="V699" s="161">
        <f t="shared" si="14"/>
        <v>0</v>
      </c>
      <c r="Y699" s="30"/>
      <c r="Z699" s="169">
        <f t="shared" si="2"/>
        <v>0</v>
      </c>
      <c r="AA699" s="167">
        <f t="shared" si="3"/>
        <v>0</v>
      </c>
      <c r="AB699" s="161"/>
      <c r="AC699" s="161">
        <f t="shared" si="4"/>
        <v>0</v>
      </c>
      <c r="AD699" s="161">
        <f t="shared" si="5"/>
        <v>0</v>
      </c>
      <c r="AE699" s="161">
        <f t="shared" si="6"/>
        <v>0</v>
      </c>
      <c r="AF699" s="167">
        <f t="shared" si="7"/>
        <v>0</v>
      </c>
      <c r="AG699" s="167">
        <f t="shared" si="8"/>
        <v>0</v>
      </c>
      <c r="AH699" s="158"/>
      <c r="AI699" s="158"/>
    </row>
    <row r="700" ht="12.75" customHeight="1">
      <c r="B700" s="160" t="str">
        <f>iferror(VLOOKUP((LEFT(A700,6)),CUSTOMER_DETAILS,2,FALSE),"-")</f>
        <v>-</v>
      </c>
      <c r="C700" s="161" t="s">
        <v>89</v>
      </c>
      <c r="D700" s="162"/>
      <c r="E700" s="161" t="s">
        <v>89</v>
      </c>
      <c r="F700" s="30" t="s">
        <v>89</v>
      </c>
      <c r="G700" s="30" t="s">
        <v>89</v>
      </c>
      <c r="H700" s="30" t="s">
        <v>89</v>
      </c>
      <c r="I700" s="48" t="s">
        <v>108</v>
      </c>
      <c r="J700" s="188" t="str">
        <f t="shared" si="15"/>
        <v/>
      </c>
      <c r="L700" s="48" t="s">
        <v>108</v>
      </c>
      <c r="O700" s="30" t="s">
        <v>89</v>
      </c>
      <c r="Q700" s="192"/>
      <c r="R700" s="161" t="str">
        <f>IFERROR(VLOOKUP(Q700,'PRODUCT TABLE'!$A$2:$B$26,2,FALSE),"-")</f>
        <v>-</v>
      </c>
      <c r="V700" s="161">
        <f t="shared" si="14"/>
        <v>0</v>
      </c>
      <c r="Y700" s="30"/>
      <c r="Z700" s="169">
        <f t="shared" si="2"/>
        <v>0</v>
      </c>
      <c r="AA700" s="167">
        <f t="shared" si="3"/>
        <v>0</v>
      </c>
      <c r="AB700" s="161"/>
      <c r="AC700" s="161">
        <f t="shared" si="4"/>
        <v>0</v>
      </c>
      <c r="AD700" s="161">
        <f t="shared" si="5"/>
        <v>0</v>
      </c>
      <c r="AE700" s="161">
        <f t="shared" si="6"/>
        <v>0</v>
      </c>
      <c r="AF700" s="167">
        <f t="shared" si="7"/>
        <v>0</v>
      </c>
      <c r="AG700" s="167">
        <f t="shared" si="8"/>
        <v>0</v>
      </c>
      <c r="AH700" s="158"/>
      <c r="AI700" s="158"/>
    </row>
    <row r="701" ht="12.75" customHeight="1">
      <c r="B701" s="160" t="str">
        <f>iferror(VLOOKUP((LEFT(A701,6)),CUSTOMER_DETAILS,2,FALSE),"-")</f>
        <v>-</v>
      </c>
      <c r="C701" s="161" t="s">
        <v>89</v>
      </c>
      <c r="D701" s="162"/>
      <c r="E701" s="161" t="s">
        <v>89</v>
      </c>
      <c r="F701" s="30" t="s">
        <v>89</v>
      </c>
      <c r="G701" s="30" t="s">
        <v>89</v>
      </c>
      <c r="H701" s="30" t="s">
        <v>89</v>
      </c>
      <c r="I701" s="48" t="s">
        <v>108</v>
      </c>
      <c r="J701" s="188" t="str">
        <f t="shared" si="15"/>
        <v/>
      </c>
      <c r="L701" s="48" t="s">
        <v>108</v>
      </c>
      <c r="O701" s="30" t="s">
        <v>89</v>
      </c>
      <c r="Q701" s="192"/>
      <c r="R701" s="161" t="str">
        <f>IFERROR(VLOOKUP(Q701,'PRODUCT TABLE'!$A$2:$B$26,2,FALSE),"-")</f>
        <v>-</v>
      </c>
      <c r="V701" s="161">
        <f t="shared" si="14"/>
        <v>0</v>
      </c>
      <c r="Y701" s="30"/>
      <c r="Z701" s="169">
        <f t="shared" si="2"/>
        <v>0</v>
      </c>
      <c r="AA701" s="167">
        <f t="shared" si="3"/>
        <v>0</v>
      </c>
      <c r="AB701" s="161"/>
      <c r="AC701" s="161">
        <f t="shared" si="4"/>
        <v>0</v>
      </c>
      <c r="AD701" s="161">
        <f t="shared" si="5"/>
        <v>0</v>
      </c>
      <c r="AE701" s="161">
        <f t="shared" si="6"/>
        <v>0</v>
      </c>
      <c r="AF701" s="167">
        <f t="shared" si="7"/>
        <v>0</v>
      </c>
      <c r="AG701" s="167">
        <f t="shared" si="8"/>
        <v>0</v>
      </c>
      <c r="AH701" s="158"/>
      <c r="AI701" s="158"/>
    </row>
    <row r="702" ht="12.75" customHeight="1">
      <c r="B702" s="160" t="str">
        <f>iferror(VLOOKUP((LEFT(A702,6)),CUSTOMER_DETAILS,2,FALSE),"-")</f>
        <v>-</v>
      </c>
      <c r="C702" s="161" t="s">
        <v>89</v>
      </c>
      <c r="D702" s="162"/>
      <c r="E702" s="161" t="s">
        <v>89</v>
      </c>
      <c r="F702" s="30" t="s">
        <v>89</v>
      </c>
      <c r="G702" s="30" t="s">
        <v>89</v>
      </c>
      <c r="H702" s="30" t="s">
        <v>89</v>
      </c>
      <c r="I702" s="48" t="s">
        <v>108</v>
      </c>
      <c r="J702" s="188" t="str">
        <f t="shared" si="15"/>
        <v/>
      </c>
      <c r="L702" s="48" t="s">
        <v>108</v>
      </c>
      <c r="O702" s="30" t="s">
        <v>89</v>
      </c>
      <c r="Q702" s="192"/>
      <c r="R702" s="161" t="str">
        <f>IFERROR(VLOOKUP(Q702,'PRODUCT TABLE'!$A$2:$B$26,2,FALSE),"-")</f>
        <v>-</v>
      </c>
      <c r="V702" s="161">
        <f t="shared" si="14"/>
        <v>0</v>
      </c>
      <c r="Y702" s="30"/>
      <c r="Z702" s="169">
        <f t="shared" si="2"/>
        <v>0</v>
      </c>
      <c r="AA702" s="167">
        <f t="shared" si="3"/>
        <v>0</v>
      </c>
      <c r="AB702" s="161"/>
      <c r="AC702" s="161">
        <f t="shared" si="4"/>
        <v>0</v>
      </c>
      <c r="AD702" s="161">
        <f t="shared" si="5"/>
        <v>0</v>
      </c>
      <c r="AE702" s="161">
        <f t="shared" si="6"/>
        <v>0</v>
      </c>
      <c r="AF702" s="167">
        <f t="shared" si="7"/>
        <v>0</v>
      </c>
      <c r="AG702" s="167">
        <f t="shared" si="8"/>
        <v>0</v>
      </c>
      <c r="AH702" s="158"/>
      <c r="AI702" s="158"/>
    </row>
    <row r="703" ht="12.75" customHeight="1">
      <c r="B703" s="160" t="str">
        <f>iferror(VLOOKUP((LEFT(A703,6)),CUSTOMER_DETAILS,2,FALSE),"-")</f>
        <v>-</v>
      </c>
      <c r="C703" s="161" t="s">
        <v>89</v>
      </c>
      <c r="D703" s="162"/>
      <c r="E703" s="161" t="s">
        <v>89</v>
      </c>
      <c r="F703" s="30" t="s">
        <v>89</v>
      </c>
      <c r="G703" s="30" t="s">
        <v>89</v>
      </c>
      <c r="H703" s="30" t="s">
        <v>89</v>
      </c>
      <c r="I703" s="48" t="s">
        <v>108</v>
      </c>
      <c r="J703" s="188" t="str">
        <f t="shared" si="15"/>
        <v/>
      </c>
      <c r="L703" s="48" t="s">
        <v>108</v>
      </c>
      <c r="O703" s="30" t="s">
        <v>89</v>
      </c>
      <c r="Q703" s="192"/>
      <c r="R703" s="161" t="str">
        <f>IFERROR(VLOOKUP(Q703,'PRODUCT TABLE'!$A$2:$B$26,2,FALSE),"-")</f>
        <v>-</v>
      </c>
      <c r="V703" s="161">
        <f t="shared" si="14"/>
        <v>0</v>
      </c>
      <c r="Y703" s="30"/>
      <c r="Z703" s="169">
        <f t="shared" si="2"/>
        <v>0</v>
      </c>
      <c r="AA703" s="167">
        <f t="shared" si="3"/>
        <v>0</v>
      </c>
      <c r="AB703" s="161"/>
      <c r="AC703" s="161">
        <f t="shared" si="4"/>
        <v>0</v>
      </c>
      <c r="AD703" s="161">
        <f t="shared" si="5"/>
        <v>0</v>
      </c>
      <c r="AE703" s="161">
        <f t="shared" si="6"/>
        <v>0</v>
      </c>
      <c r="AF703" s="167">
        <f t="shared" si="7"/>
        <v>0</v>
      </c>
      <c r="AG703" s="167">
        <f t="shared" si="8"/>
        <v>0</v>
      </c>
      <c r="AH703" s="158"/>
      <c r="AI703" s="158"/>
    </row>
    <row r="704" ht="12.75" customHeight="1">
      <c r="B704" s="160" t="str">
        <f>iferror(VLOOKUP((LEFT(A704,6)),CUSTOMER_DETAILS,2,FALSE),"-")</f>
        <v>-</v>
      </c>
      <c r="C704" s="161" t="s">
        <v>89</v>
      </c>
      <c r="D704" s="162"/>
      <c r="E704" s="161" t="s">
        <v>89</v>
      </c>
      <c r="F704" s="30" t="s">
        <v>89</v>
      </c>
      <c r="G704" s="30" t="s">
        <v>89</v>
      </c>
      <c r="H704" s="30" t="s">
        <v>89</v>
      </c>
      <c r="I704" s="48" t="s">
        <v>108</v>
      </c>
      <c r="J704" s="188" t="str">
        <f t="shared" si="15"/>
        <v/>
      </c>
      <c r="L704" s="48" t="s">
        <v>108</v>
      </c>
      <c r="O704" s="30" t="s">
        <v>89</v>
      </c>
      <c r="Q704" s="192"/>
      <c r="R704" s="161" t="str">
        <f>IFERROR(VLOOKUP(Q704,'PRODUCT TABLE'!$A$2:$B$26,2,FALSE),"-")</f>
        <v>-</v>
      </c>
      <c r="V704" s="161">
        <f t="shared" si="14"/>
        <v>0</v>
      </c>
      <c r="Y704" s="30"/>
      <c r="Z704" s="169">
        <f t="shared" si="2"/>
        <v>0</v>
      </c>
      <c r="AA704" s="167">
        <f t="shared" si="3"/>
        <v>0</v>
      </c>
      <c r="AB704" s="161"/>
      <c r="AC704" s="161">
        <f t="shared" si="4"/>
        <v>0</v>
      </c>
      <c r="AD704" s="161">
        <f t="shared" si="5"/>
        <v>0</v>
      </c>
      <c r="AE704" s="161">
        <f t="shared" si="6"/>
        <v>0</v>
      </c>
      <c r="AF704" s="167">
        <f t="shared" si="7"/>
        <v>0</v>
      </c>
      <c r="AG704" s="167">
        <f t="shared" si="8"/>
        <v>0</v>
      </c>
      <c r="AH704" s="158"/>
      <c r="AI704" s="158"/>
    </row>
    <row r="705" ht="12.75" customHeight="1">
      <c r="B705" s="160" t="str">
        <f>iferror(VLOOKUP((LEFT(A705,6)),CUSTOMER_DETAILS,2,FALSE),"-")</f>
        <v>-</v>
      </c>
      <c r="C705" s="161" t="s">
        <v>89</v>
      </c>
      <c r="D705" s="162"/>
      <c r="E705" s="161" t="s">
        <v>89</v>
      </c>
      <c r="F705" s="30" t="s">
        <v>89</v>
      </c>
      <c r="G705" s="30" t="s">
        <v>89</v>
      </c>
      <c r="H705" s="30" t="s">
        <v>89</v>
      </c>
      <c r="I705" s="48" t="s">
        <v>108</v>
      </c>
      <c r="J705" s="188" t="str">
        <f t="shared" si="15"/>
        <v/>
      </c>
      <c r="L705" s="48" t="s">
        <v>108</v>
      </c>
      <c r="O705" s="30" t="s">
        <v>89</v>
      </c>
      <c r="Q705" s="192"/>
      <c r="R705" s="161" t="str">
        <f>IFERROR(VLOOKUP(Q705,'PRODUCT TABLE'!$A$2:$B$26,2,FALSE),"-")</f>
        <v>-</v>
      </c>
      <c r="V705" s="161">
        <f t="shared" si="14"/>
        <v>0</v>
      </c>
      <c r="Y705" s="30"/>
      <c r="Z705" s="169">
        <f t="shared" si="2"/>
        <v>0</v>
      </c>
      <c r="AA705" s="167">
        <f t="shared" si="3"/>
        <v>0</v>
      </c>
      <c r="AB705" s="161"/>
      <c r="AC705" s="161">
        <f t="shared" si="4"/>
        <v>0</v>
      </c>
      <c r="AD705" s="161">
        <f t="shared" si="5"/>
        <v>0</v>
      </c>
      <c r="AE705" s="161">
        <f t="shared" si="6"/>
        <v>0</v>
      </c>
      <c r="AF705" s="167">
        <f t="shared" si="7"/>
        <v>0</v>
      </c>
      <c r="AG705" s="167">
        <f t="shared" si="8"/>
        <v>0</v>
      </c>
      <c r="AH705" s="158"/>
      <c r="AI705" s="158"/>
    </row>
    <row r="706" ht="12.75" customHeight="1">
      <c r="B706" s="160" t="str">
        <f>iferror(VLOOKUP((LEFT(A706,6)),CUSTOMER_DETAILS,2,FALSE),"-")</f>
        <v>-</v>
      </c>
      <c r="C706" s="161" t="s">
        <v>89</v>
      </c>
      <c r="D706" s="162"/>
      <c r="E706" s="161" t="s">
        <v>89</v>
      </c>
      <c r="F706" s="30" t="s">
        <v>89</v>
      </c>
      <c r="G706" s="30" t="s">
        <v>89</v>
      </c>
      <c r="H706" s="30" t="s">
        <v>89</v>
      </c>
      <c r="I706" s="48" t="s">
        <v>108</v>
      </c>
      <c r="J706" s="188" t="str">
        <f t="shared" si="15"/>
        <v/>
      </c>
      <c r="L706" s="48" t="s">
        <v>108</v>
      </c>
      <c r="O706" s="30" t="s">
        <v>89</v>
      </c>
      <c r="Q706" s="192"/>
      <c r="R706" s="161" t="str">
        <f>IFERROR(VLOOKUP(Q706,'PRODUCT TABLE'!$A$2:$B$26,2,FALSE),"-")</f>
        <v>-</v>
      </c>
      <c r="V706" s="161">
        <f t="shared" si="14"/>
        <v>0</v>
      </c>
      <c r="Y706" s="30"/>
      <c r="Z706" s="169">
        <f t="shared" si="2"/>
        <v>0</v>
      </c>
      <c r="AA706" s="167">
        <f t="shared" si="3"/>
        <v>0</v>
      </c>
      <c r="AB706" s="161"/>
      <c r="AC706" s="161">
        <f t="shared" si="4"/>
        <v>0</v>
      </c>
      <c r="AD706" s="161">
        <f t="shared" si="5"/>
        <v>0</v>
      </c>
      <c r="AE706" s="161">
        <f t="shared" si="6"/>
        <v>0</v>
      </c>
      <c r="AF706" s="167">
        <f t="shared" si="7"/>
        <v>0</v>
      </c>
      <c r="AG706" s="167">
        <f t="shared" si="8"/>
        <v>0</v>
      </c>
      <c r="AH706" s="158"/>
      <c r="AI706" s="158"/>
    </row>
    <row r="707" ht="12.75" customHeight="1">
      <c r="B707" s="160" t="str">
        <f>iferror(VLOOKUP((LEFT(A707,6)),CUSTOMER_DETAILS,2,FALSE),"-")</f>
        <v>-</v>
      </c>
      <c r="C707" s="161" t="s">
        <v>89</v>
      </c>
      <c r="D707" s="162"/>
      <c r="E707" s="161" t="s">
        <v>89</v>
      </c>
      <c r="F707" s="30" t="s">
        <v>89</v>
      </c>
      <c r="G707" s="30" t="s">
        <v>89</v>
      </c>
      <c r="H707" s="30" t="s">
        <v>89</v>
      </c>
      <c r="I707" s="48" t="s">
        <v>108</v>
      </c>
      <c r="J707" s="188" t="str">
        <f t="shared" si="15"/>
        <v/>
      </c>
      <c r="L707" s="48" t="s">
        <v>108</v>
      </c>
      <c r="O707" s="30" t="s">
        <v>89</v>
      </c>
      <c r="Q707" s="192"/>
      <c r="R707" s="161" t="str">
        <f>IFERROR(VLOOKUP(Q707,'PRODUCT TABLE'!$A$2:$B$26,2,FALSE),"-")</f>
        <v>-</v>
      </c>
      <c r="V707" s="161">
        <f t="shared" si="14"/>
        <v>0</v>
      </c>
      <c r="Y707" s="30"/>
      <c r="Z707" s="169">
        <f t="shared" si="2"/>
        <v>0</v>
      </c>
      <c r="AA707" s="167">
        <f t="shared" si="3"/>
        <v>0</v>
      </c>
      <c r="AB707" s="161"/>
      <c r="AC707" s="161">
        <f t="shared" si="4"/>
        <v>0</v>
      </c>
      <c r="AD707" s="161">
        <f t="shared" si="5"/>
        <v>0</v>
      </c>
      <c r="AE707" s="161">
        <f t="shared" si="6"/>
        <v>0</v>
      </c>
      <c r="AF707" s="167">
        <f t="shared" si="7"/>
        <v>0</v>
      </c>
      <c r="AG707" s="167">
        <f t="shared" si="8"/>
        <v>0</v>
      </c>
      <c r="AH707" s="158"/>
      <c r="AI707" s="158"/>
    </row>
    <row r="708" ht="12.75" customHeight="1">
      <c r="B708" s="160" t="str">
        <f>iferror(VLOOKUP((LEFT(A708,6)),CUSTOMER_DETAILS,2,FALSE),"-")</f>
        <v>-</v>
      </c>
      <c r="C708" s="161" t="s">
        <v>89</v>
      </c>
      <c r="D708" s="162"/>
      <c r="E708" s="161" t="s">
        <v>89</v>
      </c>
      <c r="F708" s="30" t="s">
        <v>89</v>
      </c>
      <c r="G708" s="30" t="s">
        <v>89</v>
      </c>
      <c r="H708" s="30" t="s">
        <v>89</v>
      </c>
      <c r="I708" s="48" t="s">
        <v>108</v>
      </c>
      <c r="J708" s="188" t="str">
        <f t="shared" si="15"/>
        <v/>
      </c>
      <c r="L708" s="48" t="s">
        <v>108</v>
      </c>
      <c r="O708" s="30" t="s">
        <v>89</v>
      </c>
      <c r="Q708" s="192"/>
      <c r="R708" s="161" t="str">
        <f>IFERROR(VLOOKUP(Q708,'PRODUCT TABLE'!$A$2:$B$26,2,FALSE),"-")</f>
        <v>-</v>
      </c>
      <c r="V708" s="161">
        <f t="shared" si="14"/>
        <v>0</v>
      </c>
      <c r="Y708" s="30"/>
      <c r="Z708" s="169">
        <f t="shared" si="2"/>
        <v>0</v>
      </c>
      <c r="AA708" s="167">
        <f t="shared" si="3"/>
        <v>0</v>
      </c>
      <c r="AB708" s="161"/>
      <c r="AC708" s="161">
        <f t="shared" si="4"/>
        <v>0</v>
      </c>
      <c r="AD708" s="161">
        <f t="shared" si="5"/>
        <v>0</v>
      </c>
      <c r="AE708" s="161">
        <f t="shared" si="6"/>
        <v>0</v>
      </c>
      <c r="AF708" s="167">
        <f t="shared" si="7"/>
        <v>0</v>
      </c>
      <c r="AG708" s="167">
        <f t="shared" si="8"/>
        <v>0</v>
      </c>
      <c r="AH708" s="158"/>
      <c r="AI708" s="158"/>
    </row>
    <row r="709" ht="12.75" customHeight="1">
      <c r="B709" s="160" t="str">
        <f>iferror(VLOOKUP((LEFT(A709,6)),CUSTOMER_DETAILS,2,FALSE),"-")</f>
        <v>-</v>
      </c>
      <c r="C709" s="161" t="s">
        <v>89</v>
      </c>
      <c r="D709" s="162"/>
      <c r="E709" s="161" t="s">
        <v>89</v>
      </c>
      <c r="F709" s="30" t="s">
        <v>89</v>
      </c>
      <c r="G709" s="30" t="s">
        <v>89</v>
      </c>
      <c r="H709" s="30" t="s">
        <v>89</v>
      </c>
      <c r="I709" s="48" t="s">
        <v>108</v>
      </c>
      <c r="J709" s="188" t="str">
        <f t="shared" si="15"/>
        <v/>
      </c>
      <c r="L709" s="48" t="s">
        <v>108</v>
      </c>
      <c r="O709" s="30" t="s">
        <v>89</v>
      </c>
      <c r="Q709" s="192"/>
      <c r="R709" s="161" t="str">
        <f>IFERROR(VLOOKUP(Q709,'PRODUCT TABLE'!$A$2:$B$26,2,FALSE),"-")</f>
        <v>-</v>
      </c>
      <c r="V709" s="161">
        <f t="shared" si="14"/>
        <v>0</v>
      </c>
      <c r="Y709" s="30"/>
      <c r="Z709" s="169">
        <f t="shared" si="2"/>
        <v>0</v>
      </c>
      <c r="AA709" s="167">
        <f t="shared" si="3"/>
        <v>0</v>
      </c>
      <c r="AB709" s="161"/>
      <c r="AC709" s="161">
        <f t="shared" si="4"/>
        <v>0</v>
      </c>
      <c r="AD709" s="161">
        <f t="shared" si="5"/>
        <v>0</v>
      </c>
      <c r="AE709" s="161">
        <f t="shared" si="6"/>
        <v>0</v>
      </c>
      <c r="AF709" s="167">
        <f t="shared" si="7"/>
        <v>0</v>
      </c>
      <c r="AG709" s="167">
        <f t="shared" si="8"/>
        <v>0</v>
      </c>
      <c r="AH709" s="158"/>
      <c r="AI709" s="158"/>
    </row>
    <row r="710" ht="12.75" customHeight="1">
      <c r="B710" s="160" t="str">
        <f>iferror(VLOOKUP((LEFT(A710,6)),CUSTOMER_DETAILS,2,FALSE),"-")</f>
        <v>-</v>
      </c>
      <c r="C710" s="161" t="s">
        <v>89</v>
      </c>
      <c r="D710" s="162"/>
      <c r="E710" s="161" t="s">
        <v>89</v>
      </c>
      <c r="F710" s="30" t="s">
        <v>89</v>
      </c>
      <c r="G710" s="30" t="s">
        <v>89</v>
      </c>
      <c r="H710" s="30" t="s">
        <v>89</v>
      </c>
      <c r="I710" s="48" t="s">
        <v>108</v>
      </c>
      <c r="J710" s="188" t="str">
        <f t="shared" si="15"/>
        <v/>
      </c>
      <c r="L710" s="48" t="s">
        <v>108</v>
      </c>
      <c r="O710" s="30" t="s">
        <v>89</v>
      </c>
      <c r="Q710" s="192"/>
      <c r="R710" s="161" t="str">
        <f>IFERROR(VLOOKUP(Q710,'PRODUCT TABLE'!$A$2:$B$26,2,FALSE),"-")</f>
        <v>-</v>
      </c>
      <c r="V710" s="161">
        <f t="shared" si="14"/>
        <v>0</v>
      </c>
      <c r="Y710" s="30"/>
      <c r="Z710" s="169">
        <f t="shared" si="2"/>
        <v>0</v>
      </c>
      <c r="AA710" s="167">
        <f t="shared" si="3"/>
        <v>0</v>
      </c>
      <c r="AB710" s="161"/>
      <c r="AC710" s="161">
        <f t="shared" si="4"/>
        <v>0</v>
      </c>
      <c r="AD710" s="161">
        <f t="shared" si="5"/>
        <v>0</v>
      </c>
      <c r="AE710" s="161">
        <f t="shared" si="6"/>
        <v>0</v>
      </c>
      <c r="AF710" s="167">
        <f t="shared" si="7"/>
        <v>0</v>
      </c>
      <c r="AG710" s="167">
        <f t="shared" si="8"/>
        <v>0</v>
      </c>
      <c r="AH710" s="158"/>
      <c r="AI710" s="158"/>
    </row>
    <row r="711" ht="12.75" customHeight="1">
      <c r="B711" s="160" t="str">
        <f>iferror(VLOOKUP((LEFT(A711,6)),CUSTOMER_DETAILS,2,FALSE),"-")</f>
        <v>-</v>
      </c>
      <c r="C711" s="161" t="s">
        <v>89</v>
      </c>
      <c r="D711" s="162"/>
      <c r="E711" s="161" t="s">
        <v>89</v>
      </c>
      <c r="F711" s="30" t="s">
        <v>89</v>
      </c>
      <c r="G711" s="30" t="s">
        <v>89</v>
      </c>
      <c r="H711" s="30" t="s">
        <v>89</v>
      </c>
      <c r="I711" s="48" t="s">
        <v>108</v>
      </c>
      <c r="J711" s="188" t="str">
        <f t="shared" si="15"/>
        <v/>
      </c>
      <c r="L711" s="48" t="s">
        <v>108</v>
      </c>
      <c r="O711" s="30" t="s">
        <v>89</v>
      </c>
      <c r="Q711" s="192"/>
      <c r="R711" s="161" t="str">
        <f>IFERROR(VLOOKUP(Q711,'PRODUCT TABLE'!$A$2:$B$26,2,FALSE),"-")</f>
        <v>-</v>
      </c>
      <c r="V711" s="161">
        <f t="shared" si="14"/>
        <v>0</v>
      </c>
      <c r="Y711" s="30"/>
      <c r="Z711" s="169">
        <f t="shared" si="2"/>
        <v>0</v>
      </c>
      <c r="AA711" s="167">
        <f t="shared" si="3"/>
        <v>0</v>
      </c>
      <c r="AB711" s="161"/>
      <c r="AC711" s="161">
        <f t="shared" si="4"/>
        <v>0</v>
      </c>
      <c r="AD711" s="161">
        <f t="shared" si="5"/>
        <v>0</v>
      </c>
      <c r="AE711" s="161">
        <f t="shared" si="6"/>
        <v>0</v>
      </c>
      <c r="AF711" s="167">
        <f t="shared" si="7"/>
        <v>0</v>
      </c>
      <c r="AG711" s="167">
        <f t="shared" si="8"/>
        <v>0</v>
      </c>
      <c r="AH711" s="158"/>
      <c r="AI711" s="158"/>
    </row>
    <row r="712" ht="12.75" customHeight="1">
      <c r="B712" s="160" t="str">
        <f>iferror(VLOOKUP((LEFT(A712,6)),CUSTOMER_DETAILS,2,FALSE),"-")</f>
        <v>-</v>
      </c>
      <c r="C712" s="161" t="s">
        <v>89</v>
      </c>
      <c r="D712" s="162"/>
      <c r="E712" s="161" t="s">
        <v>89</v>
      </c>
      <c r="F712" s="30" t="s">
        <v>89</v>
      </c>
      <c r="G712" s="30" t="s">
        <v>89</v>
      </c>
      <c r="H712" s="30" t="s">
        <v>89</v>
      </c>
      <c r="I712" s="48" t="s">
        <v>108</v>
      </c>
      <c r="J712" s="188" t="str">
        <f t="shared" si="15"/>
        <v/>
      </c>
      <c r="L712" s="48" t="s">
        <v>108</v>
      </c>
      <c r="O712" s="30" t="s">
        <v>89</v>
      </c>
      <c r="Q712" s="192"/>
      <c r="R712" s="161" t="str">
        <f>IFERROR(VLOOKUP(Q712,'PRODUCT TABLE'!$A$2:$B$26,2,FALSE),"-")</f>
        <v>-</v>
      </c>
      <c r="V712" s="161">
        <f t="shared" si="14"/>
        <v>0</v>
      </c>
      <c r="Y712" s="30"/>
      <c r="Z712" s="169">
        <f t="shared" si="2"/>
        <v>0</v>
      </c>
      <c r="AA712" s="167">
        <f t="shared" si="3"/>
        <v>0</v>
      </c>
      <c r="AB712" s="161"/>
      <c r="AC712" s="161">
        <f t="shared" si="4"/>
        <v>0</v>
      </c>
      <c r="AD712" s="161">
        <f t="shared" si="5"/>
        <v>0</v>
      </c>
      <c r="AE712" s="161">
        <f t="shared" si="6"/>
        <v>0</v>
      </c>
      <c r="AF712" s="167">
        <f t="shared" si="7"/>
        <v>0</v>
      </c>
      <c r="AG712" s="167">
        <f t="shared" si="8"/>
        <v>0</v>
      </c>
      <c r="AH712" s="158"/>
      <c r="AI712" s="158"/>
    </row>
    <row r="713" ht="12.75" customHeight="1">
      <c r="B713" s="160" t="str">
        <f>iferror(VLOOKUP((LEFT(A713,6)),CUSTOMER_DETAILS,2,FALSE),"-")</f>
        <v>-</v>
      </c>
      <c r="C713" s="161" t="s">
        <v>89</v>
      </c>
      <c r="D713" s="162"/>
      <c r="E713" s="161" t="s">
        <v>89</v>
      </c>
      <c r="F713" s="30" t="s">
        <v>89</v>
      </c>
      <c r="G713" s="30" t="s">
        <v>89</v>
      </c>
      <c r="H713" s="30" t="s">
        <v>89</v>
      </c>
      <c r="I713" s="48" t="s">
        <v>108</v>
      </c>
      <c r="J713" s="188" t="str">
        <f t="shared" si="15"/>
        <v/>
      </c>
      <c r="L713" s="48" t="s">
        <v>108</v>
      </c>
      <c r="O713" s="30" t="s">
        <v>89</v>
      </c>
      <c r="Q713" s="192"/>
      <c r="R713" s="161" t="str">
        <f>IFERROR(VLOOKUP(Q713,'PRODUCT TABLE'!$A$2:$B$26,2,FALSE),"-")</f>
        <v>-</v>
      </c>
      <c r="V713" s="161">
        <f t="shared" si="14"/>
        <v>0</v>
      </c>
      <c r="Y713" s="30"/>
      <c r="Z713" s="169">
        <f t="shared" si="2"/>
        <v>0</v>
      </c>
      <c r="AA713" s="167">
        <f t="shared" si="3"/>
        <v>0</v>
      </c>
      <c r="AB713" s="161"/>
      <c r="AC713" s="161">
        <f t="shared" si="4"/>
        <v>0</v>
      </c>
      <c r="AD713" s="161">
        <f t="shared" si="5"/>
        <v>0</v>
      </c>
      <c r="AE713" s="161">
        <f t="shared" si="6"/>
        <v>0</v>
      </c>
      <c r="AF713" s="167">
        <f t="shared" si="7"/>
        <v>0</v>
      </c>
      <c r="AG713" s="167">
        <f t="shared" si="8"/>
        <v>0</v>
      </c>
      <c r="AH713" s="158"/>
      <c r="AI713" s="158"/>
    </row>
    <row r="714" ht="12.75" customHeight="1">
      <c r="B714" s="160" t="str">
        <f>iferror(VLOOKUP((LEFT(A714,6)),CUSTOMER_DETAILS,2,FALSE),"-")</f>
        <v>-</v>
      </c>
      <c r="C714" s="161" t="s">
        <v>89</v>
      </c>
      <c r="D714" s="162"/>
      <c r="E714" s="161" t="s">
        <v>89</v>
      </c>
      <c r="F714" s="30" t="s">
        <v>89</v>
      </c>
      <c r="G714" s="30" t="s">
        <v>89</v>
      </c>
      <c r="H714" s="30" t="s">
        <v>89</v>
      </c>
      <c r="I714" s="48" t="s">
        <v>108</v>
      </c>
      <c r="J714" s="188" t="str">
        <f t="shared" si="15"/>
        <v/>
      </c>
      <c r="L714" s="48" t="s">
        <v>108</v>
      </c>
      <c r="O714" s="30" t="s">
        <v>89</v>
      </c>
      <c r="Q714" s="192"/>
      <c r="R714" s="161" t="str">
        <f>IFERROR(VLOOKUP(Q714,'PRODUCT TABLE'!$A$2:$B$26,2,FALSE),"-")</f>
        <v>-</v>
      </c>
      <c r="V714" s="161">
        <f t="shared" si="14"/>
        <v>0</v>
      </c>
      <c r="Y714" s="30"/>
      <c r="Z714" s="169">
        <f t="shared" si="2"/>
        <v>0</v>
      </c>
      <c r="AA714" s="167">
        <f t="shared" si="3"/>
        <v>0</v>
      </c>
      <c r="AB714" s="161"/>
      <c r="AC714" s="161">
        <f t="shared" si="4"/>
        <v>0</v>
      </c>
      <c r="AD714" s="161">
        <f t="shared" si="5"/>
        <v>0</v>
      </c>
      <c r="AE714" s="161">
        <f t="shared" si="6"/>
        <v>0</v>
      </c>
      <c r="AF714" s="167">
        <f t="shared" si="7"/>
        <v>0</v>
      </c>
      <c r="AG714" s="167">
        <f t="shared" si="8"/>
        <v>0</v>
      </c>
      <c r="AH714" s="158"/>
      <c r="AI714" s="158"/>
    </row>
    <row r="715" ht="12.75" customHeight="1">
      <c r="B715" s="160" t="str">
        <f>iferror(VLOOKUP((LEFT(A715,6)),CUSTOMER_DETAILS,2,FALSE),"-")</f>
        <v>-</v>
      </c>
      <c r="C715" s="161" t="s">
        <v>89</v>
      </c>
      <c r="D715" s="162"/>
      <c r="E715" s="161" t="s">
        <v>89</v>
      </c>
      <c r="F715" s="30" t="s">
        <v>89</v>
      </c>
      <c r="G715" s="30" t="s">
        <v>89</v>
      </c>
      <c r="H715" s="30" t="s">
        <v>89</v>
      </c>
      <c r="I715" s="48" t="s">
        <v>108</v>
      </c>
      <c r="J715" s="188" t="str">
        <f t="shared" si="15"/>
        <v/>
      </c>
      <c r="L715" s="48" t="s">
        <v>108</v>
      </c>
      <c r="O715" s="30" t="s">
        <v>89</v>
      </c>
      <c r="Q715" s="192"/>
      <c r="R715" s="161" t="str">
        <f>IFERROR(VLOOKUP(Q715,'PRODUCT TABLE'!$A$2:$B$26,2,FALSE),"-")</f>
        <v>-</v>
      </c>
      <c r="V715" s="161">
        <f t="shared" si="14"/>
        <v>0</v>
      </c>
      <c r="Y715" s="30"/>
      <c r="Z715" s="169">
        <f t="shared" si="2"/>
        <v>0</v>
      </c>
      <c r="AA715" s="167">
        <f t="shared" si="3"/>
        <v>0</v>
      </c>
      <c r="AB715" s="161"/>
      <c r="AC715" s="161">
        <f t="shared" si="4"/>
        <v>0</v>
      </c>
      <c r="AD715" s="161">
        <f t="shared" si="5"/>
        <v>0</v>
      </c>
      <c r="AE715" s="161">
        <f t="shared" si="6"/>
        <v>0</v>
      </c>
      <c r="AF715" s="167">
        <f t="shared" si="7"/>
        <v>0</v>
      </c>
      <c r="AG715" s="167">
        <f t="shared" si="8"/>
        <v>0</v>
      </c>
      <c r="AH715" s="158"/>
      <c r="AI715" s="158"/>
    </row>
    <row r="716" ht="12.75" customHeight="1">
      <c r="B716" s="160" t="str">
        <f>iferror(VLOOKUP((LEFT(A716,6)),CUSTOMER_DETAILS,2,FALSE),"-")</f>
        <v>-</v>
      </c>
      <c r="C716" s="161" t="s">
        <v>89</v>
      </c>
      <c r="D716" s="162"/>
      <c r="E716" s="161" t="s">
        <v>89</v>
      </c>
      <c r="F716" s="30" t="s">
        <v>89</v>
      </c>
      <c r="G716" s="30" t="s">
        <v>89</v>
      </c>
      <c r="H716" s="30" t="s">
        <v>89</v>
      </c>
      <c r="I716" s="48" t="s">
        <v>108</v>
      </c>
      <c r="J716" s="188" t="str">
        <f t="shared" si="15"/>
        <v/>
      </c>
      <c r="L716" s="48" t="s">
        <v>108</v>
      </c>
      <c r="O716" s="30" t="s">
        <v>89</v>
      </c>
      <c r="Q716" s="192"/>
      <c r="R716" s="161" t="str">
        <f>IFERROR(VLOOKUP(Q716,'PRODUCT TABLE'!$A$2:$B$26,2,FALSE),"-")</f>
        <v>-</v>
      </c>
      <c r="V716" s="161">
        <f t="shared" si="14"/>
        <v>0</v>
      </c>
      <c r="Y716" s="30"/>
      <c r="Z716" s="169">
        <f t="shared" si="2"/>
        <v>0</v>
      </c>
      <c r="AA716" s="167">
        <f t="shared" si="3"/>
        <v>0</v>
      </c>
      <c r="AB716" s="161"/>
      <c r="AC716" s="161">
        <f t="shared" si="4"/>
        <v>0</v>
      </c>
      <c r="AD716" s="161">
        <f t="shared" si="5"/>
        <v>0</v>
      </c>
      <c r="AE716" s="161">
        <f t="shared" si="6"/>
        <v>0</v>
      </c>
      <c r="AF716" s="167">
        <f t="shared" si="7"/>
        <v>0</v>
      </c>
      <c r="AG716" s="167">
        <f t="shared" si="8"/>
        <v>0</v>
      </c>
      <c r="AH716" s="158"/>
      <c r="AI716" s="158"/>
    </row>
    <row r="717" ht="12.75" customHeight="1">
      <c r="B717" s="160" t="str">
        <f>iferror(VLOOKUP((LEFT(A717,6)),CUSTOMER_DETAILS,2,FALSE),"-")</f>
        <v>-</v>
      </c>
      <c r="C717" s="161" t="s">
        <v>89</v>
      </c>
      <c r="D717" s="162"/>
      <c r="E717" s="161" t="s">
        <v>89</v>
      </c>
      <c r="F717" s="30" t="s">
        <v>89</v>
      </c>
      <c r="G717" s="30" t="s">
        <v>89</v>
      </c>
      <c r="H717" s="30" t="s">
        <v>89</v>
      </c>
      <c r="I717" s="48" t="s">
        <v>108</v>
      </c>
      <c r="J717" s="188" t="str">
        <f t="shared" si="15"/>
        <v/>
      </c>
      <c r="L717" s="48" t="s">
        <v>108</v>
      </c>
      <c r="O717" s="30" t="s">
        <v>89</v>
      </c>
      <c r="Q717" s="192"/>
      <c r="R717" s="161" t="str">
        <f>IFERROR(VLOOKUP(Q717,'PRODUCT TABLE'!$A$2:$B$26,2,FALSE),"-")</f>
        <v>-</v>
      </c>
      <c r="V717" s="161">
        <f t="shared" si="14"/>
        <v>0</v>
      </c>
      <c r="Y717" s="30"/>
      <c r="Z717" s="169">
        <f t="shared" si="2"/>
        <v>0</v>
      </c>
      <c r="AA717" s="167">
        <f t="shared" si="3"/>
        <v>0</v>
      </c>
      <c r="AB717" s="161"/>
      <c r="AC717" s="161">
        <f t="shared" si="4"/>
        <v>0</v>
      </c>
      <c r="AD717" s="161">
        <f t="shared" si="5"/>
        <v>0</v>
      </c>
      <c r="AE717" s="161">
        <f t="shared" si="6"/>
        <v>0</v>
      </c>
      <c r="AF717" s="167">
        <f t="shared" si="7"/>
        <v>0</v>
      </c>
      <c r="AG717" s="167">
        <f t="shared" si="8"/>
        <v>0</v>
      </c>
      <c r="AH717" s="158"/>
      <c r="AI717" s="158"/>
    </row>
    <row r="718" ht="12.75" customHeight="1">
      <c r="B718" s="160" t="str">
        <f>iferror(VLOOKUP((LEFT(A718,6)),CUSTOMER_DETAILS,2,FALSE),"-")</f>
        <v>-</v>
      </c>
      <c r="C718" s="161" t="s">
        <v>89</v>
      </c>
      <c r="D718" s="162"/>
      <c r="E718" s="161" t="s">
        <v>89</v>
      </c>
      <c r="F718" s="30" t="s">
        <v>89</v>
      </c>
      <c r="G718" s="30" t="s">
        <v>89</v>
      </c>
      <c r="H718" s="30" t="s">
        <v>89</v>
      </c>
      <c r="I718" s="48" t="s">
        <v>108</v>
      </c>
      <c r="J718" s="188" t="str">
        <f t="shared" si="15"/>
        <v/>
      </c>
      <c r="L718" s="48" t="s">
        <v>108</v>
      </c>
      <c r="O718" s="30" t="s">
        <v>89</v>
      </c>
      <c r="Q718" s="192"/>
      <c r="R718" s="161" t="str">
        <f>IFERROR(VLOOKUP(Q718,'PRODUCT TABLE'!$A$2:$B$26,2,FALSE),"-")</f>
        <v>-</v>
      </c>
      <c r="V718" s="161">
        <f t="shared" si="14"/>
        <v>0</v>
      </c>
      <c r="Y718" s="30"/>
      <c r="Z718" s="169">
        <f t="shared" si="2"/>
        <v>0</v>
      </c>
      <c r="AA718" s="167">
        <f t="shared" si="3"/>
        <v>0</v>
      </c>
      <c r="AB718" s="161"/>
      <c r="AC718" s="161">
        <f t="shared" si="4"/>
        <v>0</v>
      </c>
      <c r="AD718" s="161">
        <f t="shared" si="5"/>
        <v>0</v>
      </c>
      <c r="AE718" s="161">
        <f t="shared" si="6"/>
        <v>0</v>
      </c>
      <c r="AF718" s="167">
        <f t="shared" si="7"/>
        <v>0</v>
      </c>
      <c r="AG718" s="167">
        <f t="shared" si="8"/>
        <v>0</v>
      </c>
      <c r="AH718" s="158"/>
      <c r="AI718" s="158"/>
    </row>
    <row r="719" ht="12.75" customHeight="1">
      <c r="B719" s="160" t="str">
        <f>iferror(VLOOKUP((LEFT(A719,6)),CUSTOMER_DETAILS,2,FALSE),"-")</f>
        <v>-</v>
      </c>
      <c r="C719" s="161" t="s">
        <v>89</v>
      </c>
      <c r="D719" s="162"/>
      <c r="E719" s="161" t="s">
        <v>89</v>
      </c>
      <c r="F719" s="30" t="s">
        <v>89</v>
      </c>
      <c r="G719" s="30" t="s">
        <v>89</v>
      </c>
      <c r="H719" s="30" t="s">
        <v>89</v>
      </c>
      <c r="I719" s="48" t="s">
        <v>108</v>
      </c>
      <c r="J719" s="188" t="str">
        <f t="shared" si="15"/>
        <v/>
      </c>
      <c r="L719" s="48" t="s">
        <v>108</v>
      </c>
      <c r="O719" s="30" t="s">
        <v>89</v>
      </c>
      <c r="Q719" s="192"/>
      <c r="R719" s="161" t="str">
        <f>IFERROR(VLOOKUP(Q719,'PRODUCT TABLE'!$A$2:$B$26,2,FALSE),"-")</f>
        <v>-</v>
      </c>
      <c r="V719" s="161">
        <f t="shared" si="14"/>
        <v>0</v>
      </c>
      <c r="Y719" s="30"/>
      <c r="Z719" s="169">
        <f t="shared" si="2"/>
        <v>0</v>
      </c>
      <c r="AA719" s="167">
        <f t="shared" si="3"/>
        <v>0</v>
      </c>
      <c r="AB719" s="161"/>
      <c r="AC719" s="161">
        <f t="shared" si="4"/>
        <v>0</v>
      </c>
      <c r="AD719" s="161">
        <f t="shared" si="5"/>
        <v>0</v>
      </c>
      <c r="AE719" s="161">
        <f t="shared" si="6"/>
        <v>0</v>
      </c>
      <c r="AF719" s="167">
        <f t="shared" si="7"/>
        <v>0</v>
      </c>
      <c r="AG719" s="167">
        <f t="shared" si="8"/>
        <v>0</v>
      </c>
      <c r="AH719" s="158"/>
      <c r="AI719" s="158"/>
    </row>
    <row r="720" ht="12.75" customHeight="1">
      <c r="B720" s="160" t="str">
        <f>iferror(VLOOKUP((LEFT(A720,6)),CUSTOMER_DETAILS,2,FALSE),"-")</f>
        <v>-</v>
      </c>
      <c r="C720" s="161" t="s">
        <v>89</v>
      </c>
      <c r="D720" s="162"/>
      <c r="E720" s="161" t="s">
        <v>89</v>
      </c>
      <c r="F720" s="30" t="s">
        <v>89</v>
      </c>
      <c r="G720" s="30" t="s">
        <v>89</v>
      </c>
      <c r="H720" s="30" t="s">
        <v>89</v>
      </c>
      <c r="I720" s="48" t="s">
        <v>108</v>
      </c>
      <c r="J720" s="188" t="str">
        <f t="shared" si="15"/>
        <v/>
      </c>
      <c r="L720" s="48" t="s">
        <v>108</v>
      </c>
      <c r="O720" s="30" t="s">
        <v>89</v>
      </c>
      <c r="Q720" s="192"/>
      <c r="R720" s="161" t="str">
        <f>IFERROR(VLOOKUP(Q720,'PRODUCT TABLE'!$A$2:$B$26,2,FALSE),"-")</f>
        <v>-</v>
      </c>
      <c r="V720" s="161">
        <f t="shared" si="14"/>
        <v>0</v>
      </c>
      <c r="Y720" s="30"/>
      <c r="Z720" s="169">
        <f t="shared" si="2"/>
        <v>0</v>
      </c>
      <c r="AA720" s="167">
        <f t="shared" si="3"/>
        <v>0</v>
      </c>
      <c r="AB720" s="161"/>
      <c r="AC720" s="161">
        <f t="shared" si="4"/>
        <v>0</v>
      </c>
      <c r="AD720" s="161">
        <f t="shared" si="5"/>
        <v>0</v>
      </c>
      <c r="AE720" s="161">
        <f t="shared" si="6"/>
        <v>0</v>
      </c>
      <c r="AF720" s="167">
        <f t="shared" si="7"/>
        <v>0</v>
      </c>
      <c r="AG720" s="167">
        <f t="shared" si="8"/>
        <v>0</v>
      </c>
      <c r="AH720" s="158"/>
      <c r="AI720" s="158"/>
    </row>
    <row r="721" ht="12.75" customHeight="1">
      <c r="B721" s="160" t="str">
        <f>iferror(VLOOKUP((LEFT(A721,6)),CUSTOMER_DETAILS,2,FALSE),"-")</f>
        <v>-</v>
      </c>
      <c r="C721" s="161" t="s">
        <v>89</v>
      </c>
      <c r="D721" s="162"/>
      <c r="E721" s="161" t="s">
        <v>89</v>
      </c>
      <c r="F721" s="30" t="s">
        <v>89</v>
      </c>
      <c r="G721" s="30" t="s">
        <v>89</v>
      </c>
      <c r="H721" s="30" t="s">
        <v>89</v>
      </c>
      <c r="I721" s="48" t="s">
        <v>108</v>
      </c>
      <c r="J721" s="188" t="str">
        <f t="shared" si="15"/>
        <v/>
      </c>
      <c r="L721" s="48" t="s">
        <v>108</v>
      </c>
      <c r="O721" s="30" t="s">
        <v>89</v>
      </c>
      <c r="Q721" s="192"/>
      <c r="R721" s="161" t="str">
        <f>IFERROR(VLOOKUP(Q721,'PRODUCT TABLE'!$A$2:$B$26,2,FALSE),"-")</f>
        <v>-</v>
      </c>
      <c r="V721" s="161">
        <f t="shared" si="14"/>
        <v>0</v>
      </c>
      <c r="Y721" s="30"/>
      <c r="Z721" s="169">
        <f t="shared" si="2"/>
        <v>0</v>
      </c>
      <c r="AA721" s="167">
        <f t="shared" si="3"/>
        <v>0</v>
      </c>
      <c r="AB721" s="161"/>
      <c r="AC721" s="161">
        <f t="shared" si="4"/>
        <v>0</v>
      </c>
      <c r="AD721" s="161">
        <f t="shared" si="5"/>
        <v>0</v>
      </c>
      <c r="AE721" s="161">
        <f t="shared" si="6"/>
        <v>0</v>
      </c>
      <c r="AF721" s="167">
        <f t="shared" si="7"/>
        <v>0</v>
      </c>
      <c r="AG721" s="167">
        <f t="shared" si="8"/>
        <v>0</v>
      </c>
      <c r="AH721" s="158"/>
      <c r="AI721" s="158"/>
    </row>
    <row r="722" ht="12.75" customHeight="1">
      <c r="B722" s="160" t="str">
        <f>iferror(VLOOKUP((LEFT(A722,6)),CUSTOMER_DETAILS,2,FALSE),"-")</f>
        <v>-</v>
      </c>
      <c r="C722" s="161" t="s">
        <v>89</v>
      </c>
      <c r="D722" s="162"/>
      <c r="E722" s="161" t="s">
        <v>89</v>
      </c>
      <c r="F722" s="30" t="s">
        <v>89</v>
      </c>
      <c r="G722" s="30" t="s">
        <v>89</v>
      </c>
      <c r="H722" s="30" t="s">
        <v>89</v>
      </c>
      <c r="I722" s="48" t="s">
        <v>108</v>
      </c>
      <c r="J722" s="188" t="str">
        <f t="shared" si="15"/>
        <v/>
      </c>
      <c r="L722" s="48" t="s">
        <v>108</v>
      </c>
      <c r="O722" s="30" t="s">
        <v>89</v>
      </c>
      <c r="Q722" s="192"/>
      <c r="R722" s="161" t="str">
        <f>IFERROR(VLOOKUP(Q722,'PRODUCT TABLE'!$A$2:$B$26,2,FALSE),"-")</f>
        <v>-</v>
      </c>
      <c r="V722" s="161">
        <f t="shared" si="14"/>
        <v>0</v>
      </c>
      <c r="Y722" s="30"/>
      <c r="Z722" s="169">
        <f t="shared" si="2"/>
        <v>0</v>
      </c>
      <c r="AA722" s="167">
        <f t="shared" si="3"/>
        <v>0</v>
      </c>
      <c r="AB722" s="161"/>
      <c r="AC722" s="161">
        <f t="shared" si="4"/>
        <v>0</v>
      </c>
      <c r="AD722" s="161">
        <f t="shared" si="5"/>
        <v>0</v>
      </c>
      <c r="AE722" s="161">
        <f t="shared" si="6"/>
        <v>0</v>
      </c>
      <c r="AF722" s="167">
        <f t="shared" si="7"/>
        <v>0</v>
      </c>
      <c r="AG722" s="167">
        <f t="shared" si="8"/>
        <v>0</v>
      </c>
      <c r="AH722" s="158"/>
      <c r="AI722" s="158"/>
    </row>
    <row r="723" ht="12.75" customHeight="1">
      <c r="B723" s="160" t="str">
        <f>iferror(VLOOKUP((LEFT(A723,6)),CUSTOMER_DETAILS,2,FALSE),"-")</f>
        <v>-</v>
      </c>
      <c r="C723" s="161" t="s">
        <v>89</v>
      </c>
      <c r="D723" s="162"/>
      <c r="E723" s="161" t="s">
        <v>89</v>
      </c>
      <c r="F723" s="30" t="s">
        <v>89</v>
      </c>
      <c r="G723" s="30" t="s">
        <v>89</v>
      </c>
      <c r="H723" s="30" t="s">
        <v>89</v>
      </c>
      <c r="I723" s="48" t="s">
        <v>108</v>
      </c>
      <c r="J723" s="188" t="str">
        <f t="shared" si="15"/>
        <v/>
      </c>
      <c r="L723" s="48" t="s">
        <v>108</v>
      </c>
      <c r="O723" s="30" t="s">
        <v>89</v>
      </c>
      <c r="Q723" s="192"/>
      <c r="R723" s="161" t="str">
        <f>IFERROR(VLOOKUP(Q723,'PRODUCT TABLE'!$A$2:$B$26,2,FALSE),"-")</f>
        <v>-</v>
      </c>
      <c r="V723" s="161">
        <f t="shared" si="14"/>
        <v>0</v>
      </c>
      <c r="Y723" s="30"/>
      <c r="Z723" s="169">
        <f t="shared" si="2"/>
        <v>0</v>
      </c>
      <c r="AA723" s="167">
        <f t="shared" si="3"/>
        <v>0</v>
      </c>
      <c r="AB723" s="161"/>
      <c r="AC723" s="161">
        <f t="shared" si="4"/>
        <v>0</v>
      </c>
      <c r="AD723" s="161">
        <f t="shared" si="5"/>
        <v>0</v>
      </c>
      <c r="AE723" s="161">
        <f t="shared" si="6"/>
        <v>0</v>
      </c>
      <c r="AF723" s="167">
        <f t="shared" si="7"/>
        <v>0</v>
      </c>
      <c r="AG723" s="167">
        <f t="shared" si="8"/>
        <v>0</v>
      </c>
      <c r="AH723" s="158"/>
      <c r="AI723" s="158"/>
    </row>
    <row r="724" ht="12.75" customHeight="1">
      <c r="B724" s="160" t="str">
        <f>iferror(VLOOKUP((LEFT(A724,6)),CUSTOMER_DETAILS,2,FALSE),"-")</f>
        <v>-</v>
      </c>
      <c r="C724" s="161" t="s">
        <v>89</v>
      </c>
      <c r="D724" s="162"/>
      <c r="E724" s="161" t="s">
        <v>89</v>
      </c>
      <c r="F724" s="30" t="s">
        <v>89</v>
      </c>
      <c r="G724" s="30" t="s">
        <v>89</v>
      </c>
      <c r="H724" s="30" t="s">
        <v>89</v>
      </c>
      <c r="I724" s="48" t="s">
        <v>108</v>
      </c>
      <c r="J724" s="188" t="str">
        <f t="shared" si="15"/>
        <v/>
      </c>
      <c r="L724" s="48" t="s">
        <v>108</v>
      </c>
      <c r="O724" s="30" t="s">
        <v>89</v>
      </c>
      <c r="Q724" s="192"/>
      <c r="R724" s="161" t="str">
        <f>IFERROR(VLOOKUP(Q724,'PRODUCT TABLE'!$A$2:$B$26,2,FALSE),"-")</f>
        <v>-</v>
      </c>
      <c r="V724" s="161">
        <f t="shared" si="14"/>
        <v>0</v>
      </c>
      <c r="Y724" s="30"/>
      <c r="Z724" s="169">
        <f t="shared" si="2"/>
        <v>0</v>
      </c>
      <c r="AA724" s="167">
        <f t="shared" si="3"/>
        <v>0</v>
      </c>
      <c r="AB724" s="161"/>
      <c r="AC724" s="161">
        <f t="shared" si="4"/>
        <v>0</v>
      </c>
      <c r="AD724" s="161">
        <f t="shared" si="5"/>
        <v>0</v>
      </c>
      <c r="AE724" s="161">
        <f t="shared" si="6"/>
        <v>0</v>
      </c>
      <c r="AF724" s="167">
        <f t="shared" si="7"/>
        <v>0</v>
      </c>
      <c r="AG724" s="167">
        <f t="shared" si="8"/>
        <v>0</v>
      </c>
      <c r="AH724" s="158"/>
      <c r="AI724" s="158"/>
    </row>
    <row r="725" ht="12.75" customHeight="1">
      <c r="B725" s="160" t="str">
        <f>iferror(VLOOKUP((LEFT(A725,6)),CUSTOMER_DETAILS,2,FALSE),"-")</f>
        <v>-</v>
      </c>
      <c r="C725" s="161" t="s">
        <v>89</v>
      </c>
      <c r="D725" s="162"/>
      <c r="E725" s="161" t="s">
        <v>89</v>
      </c>
      <c r="F725" s="30" t="s">
        <v>89</v>
      </c>
      <c r="G725" s="30" t="s">
        <v>89</v>
      </c>
      <c r="H725" s="30" t="s">
        <v>89</v>
      </c>
      <c r="I725" s="48" t="s">
        <v>108</v>
      </c>
      <c r="J725" s="188" t="str">
        <f t="shared" si="15"/>
        <v/>
      </c>
      <c r="L725" s="48" t="s">
        <v>108</v>
      </c>
      <c r="O725" s="30" t="s">
        <v>89</v>
      </c>
      <c r="Q725" s="192"/>
      <c r="R725" s="161" t="str">
        <f>IFERROR(VLOOKUP(Q725,'PRODUCT TABLE'!$A$2:$B$26,2,FALSE),"-")</f>
        <v>-</v>
      </c>
      <c r="V725" s="161">
        <f t="shared" si="14"/>
        <v>0</v>
      </c>
      <c r="Y725" s="30"/>
      <c r="Z725" s="169">
        <f t="shared" si="2"/>
        <v>0</v>
      </c>
      <c r="AA725" s="167">
        <f t="shared" si="3"/>
        <v>0</v>
      </c>
      <c r="AB725" s="161"/>
      <c r="AC725" s="161">
        <f t="shared" si="4"/>
        <v>0</v>
      </c>
      <c r="AD725" s="161">
        <f t="shared" si="5"/>
        <v>0</v>
      </c>
      <c r="AE725" s="161">
        <f t="shared" si="6"/>
        <v>0</v>
      </c>
      <c r="AF725" s="167">
        <f t="shared" si="7"/>
        <v>0</v>
      </c>
      <c r="AG725" s="167">
        <f t="shared" si="8"/>
        <v>0</v>
      </c>
      <c r="AH725" s="158"/>
      <c r="AI725" s="158"/>
    </row>
    <row r="726" ht="12.75" customHeight="1">
      <c r="B726" s="160" t="str">
        <f>iferror(VLOOKUP((LEFT(A726,6)),CUSTOMER_DETAILS,2,FALSE),"-")</f>
        <v>-</v>
      </c>
      <c r="C726" s="161" t="s">
        <v>89</v>
      </c>
      <c r="D726" s="162"/>
      <c r="E726" s="161" t="s">
        <v>89</v>
      </c>
      <c r="F726" s="30" t="s">
        <v>89</v>
      </c>
      <c r="G726" s="30" t="s">
        <v>89</v>
      </c>
      <c r="H726" s="30" t="s">
        <v>89</v>
      </c>
      <c r="I726" s="48" t="s">
        <v>108</v>
      </c>
      <c r="J726" s="188" t="str">
        <f t="shared" si="15"/>
        <v/>
      </c>
      <c r="L726" s="48" t="s">
        <v>108</v>
      </c>
      <c r="O726" s="30" t="s">
        <v>89</v>
      </c>
      <c r="Q726" s="192"/>
      <c r="R726" s="161" t="str">
        <f>IFERROR(VLOOKUP(Q726,'PRODUCT TABLE'!$A$2:$B$26,2,FALSE),"-")</f>
        <v>-</v>
      </c>
      <c r="V726" s="161">
        <f t="shared" si="14"/>
        <v>0</v>
      </c>
      <c r="Y726" s="30"/>
      <c r="Z726" s="169">
        <f t="shared" si="2"/>
        <v>0</v>
      </c>
      <c r="AA726" s="167">
        <f t="shared" si="3"/>
        <v>0</v>
      </c>
      <c r="AB726" s="161"/>
      <c r="AC726" s="161">
        <f t="shared" si="4"/>
        <v>0</v>
      </c>
      <c r="AD726" s="161">
        <f t="shared" si="5"/>
        <v>0</v>
      </c>
      <c r="AE726" s="161">
        <f t="shared" si="6"/>
        <v>0</v>
      </c>
      <c r="AF726" s="167">
        <f t="shared" si="7"/>
        <v>0</v>
      </c>
      <c r="AG726" s="167">
        <f t="shared" si="8"/>
        <v>0</v>
      </c>
      <c r="AH726" s="158"/>
      <c r="AI726" s="158"/>
    </row>
    <row r="727" ht="12.75" customHeight="1">
      <c r="B727" s="160" t="str">
        <f>iferror(VLOOKUP((LEFT(A727,6)),CUSTOMER_DETAILS,2,FALSE),"-")</f>
        <v>-</v>
      </c>
      <c r="C727" s="161" t="s">
        <v>89</v>
      </c>
      <c r="D727" s="162"/>
      <c r="E727" s="161" t="s">
        <v>89</v>
      </c>
      <c r="F727" s="30" t="s">
        <v>89</v>
      </c>
      <c r="G727" s="30" t="s">
        <v>89</v>
      </c>
      <c r="H727" s="30" t="s">
        <v>89</v>
      </c>
      <c r="I727" s="48" t="s">
        <v>108</v>
      </c>
      <c r="J727" s="188" t="str">
        <f t="shared" si="15"/>
        <v/>
      </c>
      <c r="L727" s="48" t="s">
        <v>108</v>
      </c>
      <c r="O727" s="30" t="s">
        <v>89</v>
      </c>
      <c r="Q727" s="192"/>
      <c r="R727" s="161" t="str">
        <f>IFERROR(VLOOKUP(Q727,'PRODUCT TABLE'!$A$2:$B$26,2,FALSE),"-")</f>
        <v>-</v>
      </c>
      <c r="V727" s="161">
        <f t="shared" si="14"/>
        <v>0</v>
      </c>
      <c r="Y727" s="30"/>
      <c r="Z727" s="169">
        <f t="shared" si="2"/>
        <v>0</v>
      </c>
      <c r="AA727" s="167">
        <f t="shared" si="3"/>
        <v>0</v>
      </c>
      <c r="AB727" s="161"/>
      <c r="AC727" s="161">
        <f t="shared" si="4"/>
        <v>0</v>
      </c>
      <c r="AD727" s="161">
        <f t="shared" si="5"/>
        <v>0</v>
      </c>
      <c r="AE727" s="161">
        <f t="shared" si="6"/>
        <v>0</v>
      </c>
      <c r="AF727" s="167">
        <f t="shared" si="7"/>
        <v>0</v>
      </c>
      <c r="AG727" s="167">
        <f t="shared" si="8"/>
        <v>0</v>
      </c>
      <c r="AH727" s="158"/>
      <c r="AI727" s="158"/>
    </row>
    <row r="728" ht="12.75" customHeight="1">
      <c r="B728" s="160" t="str">
        <f>iferror(VLOOKUP((LEFT(A728,6)),CUSTOMER_DETAILS,2,FALSE),"-")</f>
        <v>-</v>
      </c>
      <c r="C728" s="161" t="s">
        <v>89</v>
      </c>
      <c r="D728" s="162"/>
      <c r="E728" s="161" t="s">
        <v>89</v>
      </c>
      <c r="F728" s="30" t="s">
        <v>89</v>
      </c>
      <c r="G728" s="30" t="s">
        <v>89</v>
      </c>
      <c r="H728" s="30" t="s">
        <v>89</v>
      </c>
      <c r="I728" s="48" t="s">
        <v>108</v>
      </c>
      <c r="J728" s="188" t="str">
        <f t="shared" si="15"/>
        <v/>
      </c>
      <c r="L728" s="48" t="s">
        <v>108</v>
      </c>
      <c r="O728" s="30" t="s">
        <v>89</v>
      </c>
      <c r="Q728" s="192"/>
      <c r="R728" s="161" t="str">
        <f>IFERROR(VLOOKUP(Q728,'PRODUCT TABLE'!$A$2:$B$26,2,FALSE),"-")</f>
        <v>-</v>
      </c>
      <c r="V728" s="161">
        <f t="shared" si="14"/>
        <v>0</v>
      </c>
      <c r="Y728" s="30"/>
      <c r="Z728" s="169">
        <f t="shared" si="2"/>
        <v>0</v>
      </c>
      <c r="AA728" s="167">
        <f t="shared" si="3"/>
        <v>0</v>
      </c>
      <c r="AB728" s="161"/>
      <c r="AC728" s="161">
        <f t="shared" si="4"/>
        <v>0</v>
      </c>
      <c r="AD728" s="161">
        <f t="shared" si="5"/>
        <v>0</v>
      </c>
      <c r="AE728" s="161">
        <f t="shared" si="6"/>
        <v>0</v>
      </c>
      <c r="AF728" s="167">
        <f t="shared" si="7"/>
        <v>0</v>
      </c>
      <c r="AG728" s="167">
        <f t="shared" si="8"/>
        <v>0</v>
      </c>
      <c r="AH728" s="158"/>
      <c r="AI728" s="158"/>
    </row>
    <row r="729" ht="12.75" customHeight="1">
      <c r="B729" s="160" t="str">
        <f>iferror(VLOOKUP((LEFT(A729,6)),CUSTOMER_DETAILS,2,FALSE),"-")</f>
        <v>-</v>
      </c>
      <c r="C729" s="161" t="s">
        <v>89</v>
      </c>
      <c r="D729" s="162"/>
      <c r="E729" s="161" t="s">
        <v>89</v>
      </c>
      <c r="F729" s="30" t="s">
        <v>89</v>
      </c>
      <c r="G729" s="30" t="s">
        <v>89</v>
      </c>
      <c r="H729" s="30" t="s">
        <v>89</v>
      </c>
      <c r="I729" s="48" t="s">
        <v>108</v>
      </c>
      <c r="J729" s="188" t="str">
        <f t="shared" si="15"/>
        <v/>
      </c>
      <c r="L729" s="48" t="s">
        <v>108</v>
      </c>
      <c r="O729" s="30" t="s">
        <v>89</v>
      </c>
      <c r="Q729" s="192"/>
      <c r="R729" s="161" t="str">
        <f>IFERROR(VLOOKUP(Q729,'PRODUCT TABLE'!$A$2:$B$26,2,FALSE),"-")</f>
        <v>-</v>
      </c>
      <c r="V729" s="161">
        <f t="shared" si="14"/>
        <v>0</v>
      </c>
      <c r="Y729" s="30"/>
      <c r="Z729" s="169">
        <f t="shared" si="2"/>
        <v>0</v>
      </c>
      <c r="AA729" s="167">
        <f t="shared" si="3"/>
        <v>0</v>
      </c>
      <c r="AB729" s="161"/>
      <c r="AC729" s="161">
        <f t="shared" si="4"/>
        <v>0</v>
      </c>
      <c r="AD729" s="161">
        <f t="shared" si="5"/>
        <v>0</v>
      </c>
      <c r="AE729" s="161">
        <f t="shared" si="6"/>
        <v>0</v>
      </c>
      <c r="AF729" s="167">
        <f t="shared" si="7"/>
        <v>0</v>
      </c>
      <c r="AG729" s="167">
        <f t="shared" si="8"/>
        <v>0</v>
      </c>
      <c r="AH729" s="158"/>
      <c r="AI729" s="158"/>
    </row>
    <row r="730" ht="12.75" customHeight="1">
      <c r="B730" s="160" t="str">
        <f>iferror(VLOOKUP((LEFT(A730,6)),CUSTOMER_DETAILS,2,FALSE),"-")</f>
        <v>-</v>
      </c>
      <c r="C730" s="161" t="s">
        <v>89</v>
      </c>
      <c r="D730" s="162"/>
      <c r="E730" s="161" t="s">
        <v>89</v>
      </c>
      <c r="F730" s="30" t="s">
        <v>89</v>
      </c>
      <c r="G730" s="30" t="s">
        <v>89</v>
      </c>
      <c r="H730" s="30" t="s">
        <v>89</v>
      </c>
      <c r="I730" s="48" t="s">
        <v>108</v>
      </c>
      <c r="J730" s="188" t="str">
        <f t="shared" si="15"/>
        <v/>
      </c>
      <c r="L730" s="48" t="s">
        <v>108</v>
      </c>
      <c r="O730" s="30" t="s">
        <v>89</v>
      </c>
      <c r="Q730" s="192"/>
      <c r="R730" s="161" t="str">
        <f>IFERROR(VLOOKUP(Q730,'PRODUCT TABLE'!$A$2:$B$26,2,FALSE),"-")</f>
        <v>-</v>
      </c>
      <c r="V730" s="161">
        <f t="shared" si="14"/>
        <v>0</v>
      </c>
      <c r="Y730" s="30"/>
      <c r="Z730" s="169">
        <f t="shared" si="2"/>
        <v>0</v>
      </c>
      <c r="AA730" s="167">
        <f t="shared" si="3"/>
        <v>0</v>
      </c>
      <c r="AB730" s="161"/>
      <c r="AC730" s="161">
        <f t="shared" si="4"/>
        <v>0</v>
      </c>
      <c r="AD730" s="161">
        <f t="shared" si="5"/>
        <v>0</v>
      </c>
      <c r="AE730" s="161">
        <f t="shared" si="6"/>
        <v>0</v>
      </c>
      <c r="AF730" s="167">
        <f t="shared" si="7"/>
        <v>0</v>
      </c>
      <c r="AG730" s="167">
        <f t="shared" si="8"/>
        <v>0</v>
      </c>
      <c r="AH730" s="158"/>
      <c r="AI730" s="158"/>
    </row>
    <row r="731" ht="12.75" customHeight="1">
      <c r="B731" s="160" t="str">
        <f>iferror(VLOOKUP((LEFT(A731,6)),CUSTOMER_DETAILS,2,FALSE),"-")</f>
        <v>-</v>
      </c>
      <c r="C731" s="161" t="s">
        <v>89</v>
      </c>
      <c r="D731" s="162"/>
      <c r="E731" s="161" t="s">
        <v>89</v>
      </c>
      <c r="F731" s="30" t="s">
        <v>89</v>
      </c>
      <c r="G731" s="30" t="s">
        <v>89</v>
      </c>
      <c r="H731" s="30" t="s">
        <v>89</v>
      </c>
      <c r="I731" s="48" t="s">
        <v>108</v>
      </c>
      <c r="J731" s="188" t="str">
        <f t="shared" si="15"/>
        <v/>
      </c>
      <c r="L731" s="48" t="s">
        <v>108</v>
      </c>
      <c r="O731" s="30" t="s">
        <v>89</v>
      </c>
      <c r="Q731" s="192"/>
      <c r="R731" s="161" t="str">
        <f>IFERROR(VLOOKUP(Q731,'PRODUCT TABLE'!$A$2:$B$26,2,FALSE),"-")</f>
        <v>-</v>
      </c>
      <c r="V731" s="161">
        <f t="shared" si="14"/>
        <v>0</v>
      </c>
      <c r="Y731" s="30"/>
      <c r="Z731" s="169">
        <f t="shared" si="2"/>
        <v>0</v>
      </c>
      <c r="AA731" s="167">
        <f t="shared" si="3"/>
        <v>0</v>
      </c>
      <c r="AB731" s="161"/>
      <c r="AC731" s="161">
        <f t="shared" si="4"/>
        <v>0</v>
      </c>
      <c r="AD731" s="161">
        <f t="shared" si="5"/>
        <v>0</v>
      </c>
      <c r="AE731" s="161">
        <f t="shared" si="6"/>
        <v>0</v>
      </c>
      <c r="AF731" s="167">
        <f t="shared" si="7"/>
        <v>0</v>
      </c>
      <c r="AG731" s="167">
        <f t="shared" si="8"/>
        <v>0</v>
      </c>
      <c r="AH731" s="158"/>
      <c r="AI731" s="158"/>
    </row>
    <row r="732" ht="12.75" customHeight="1">
      <c r="B732" s="160" t="str">
        <f>iferror(VLOOKUP((LEFT(A732,6)),CUSTOMER_DETAILS,2,FALSE),"-")</f>
        <v>-</v>
      </c>
      <c r="C732" s="161" t="s">
        <v>89</v>
      </c>
      <c r="D732" s="162"/>
      <c r="E732" s="161" t="s">
        <v>89</v>
      </c>
      <c r="F732" s="30" t="s">
        <v>89</v>
      </c>
      <c r="G732" s="30" t="s">
        <v>89</v>
      </c>
      <c r="H732" s="30" t="s">
        <v>89</v>
      </c>
      <c r="I732" s="48" t="s">
        <v>108</v>
      </c>
      <c r="J732" s="188" t="str">
        <f t="shared" si="15"/>
        <v/>
      </c>
      <c r="L732" s="48" t="s">
        <v>108</v>
      </c>
      <c r="O732" s="30" t="s">
        <v>89</v>
      </c>
      <c r="Q732" s="192"/>
      <c r="R732" s="161" t="str">
        <f>IFERROR(VLOOKUP(Q732,'PRODUCT TABLE'!$A$2:$B$26,2,FALSE),"-")</f>
        <v>-</v>
      </c>
      <c r="V732" s="161">
        <f t="shared" si="14"/>
        <v>0</v>
      </c>
      <c r="Y732" s="30"/>
      <c r="Z732" s="169">
        <f t="shared" si="2"/>
        <v>0</v>
      </c>
      <c r="AA732" s="167">
        <f t="shared" si="3"/>
        <v>0</v>
      </c>
      <c r="AB732" s="161"/>
      <c r="AC732" s="161">
        <f t="shared" si="4"/>
        <v>0</v>
      </c>
      <c r="AD732" s="161">
        <f t="shared" si="5"/>
        <v>0</v>
      </c>
      <c r="AE732" s="161">
        <f t="shared" si="6"/>
        <v>0</v>
      </c>
      <c r="AF732" s="167">
        <f t="shared" si="7"/>
        <v>0</v>
      </c>
      <c r="AG732" s="167">
        <f t="shared" si="8"/>
        <v>0</v>
      </c>
      <c r="AH732" s="158"/>
      <c r="AI732" s="158"/>
    </row>
    <row r="733" ht="12.75" customHeight="1">
      <c r="B733" s="160" t="str">
        <f>iferror(VLOOKUP((LEFT(A733,6)),CUSTOMER_DETAILS,2,FALSE),"-")</f>
        <v>-</v>
      </c>
      <c r="C733" s="161" t="s">
        <v>89</v>
      </c>
      <c r="D733" s="162"/>
      <c r="E733" s="161" t="s">
        <v>89</v>
      </c>
      <c r="F733" s="30" t="s">
        <v>89</v>
      </c>
      <c r="G733" s="30" t="s">
        <v>89</v>
      </c>
      <c r="H733" s="30" t="s">
        <v>89</v>
      </c>
      <c r="I733" s="48" t="s">
        <v>108</v>
      </c>
      <c r="J733" s="188" t="str">
        <f t="shared" si="15"/>
        <v/>
      </c>
      <c r="L733" s="48" t="s">
        <v>108</v>
      </c>
      <c r="O733" s="30" t="s">
        <v>89</v>
      </c>
      <c r="Q733" s="192"/>
      <c r="R733" s="161" t="str">
        <f>IFERROR(VLOOKUP(Q733,'PRODUCT TABLE'!$A$2:$B$26,2,FALSE),"-")</f>
        <v>-</v>
      </c>
      <c r="V733" s="161">
        <f t="shared" si="14"/>
        <v>0</v>
      </c>
      <c r="Y733" s="30"/>
      <c r="Z733" s="169">
        <f t="shared" si="2"/>
        <v>0</v>
      </c>
      <c r="AA733" s="167">
        <f t="shared" si="3"/>
        <v>0</v>
      </c>
      <c r="AB733" s="161"/>
      <c r="AC733" s="161">
        <f t="shared" si="4"/>
        <v>0</v>
      </c>
      <c r="AD733" s="161">
        <f t="shared" si="5"/>
        <v>0</v>
      </c>
      <c r="AE733" s="161">
        <f t="shared" si="6"/>
        <v>0</v>
      </c>
      <c r="AF733" s="167">
        <f t="shared" si="7"/>
        <v>0</v>
      </c>
      <c r="AG733" s="167">
        <f t="shared" si="8"/>
        <v>0</v>
      </c>
      <c r="AH733" s="158"/>
      <c r="AI733" s="158"/>
    </row>
    <row r="734" ht="12.75" customHeight="1">
      <c r="B734" s="160" t="str">
        <f>iferror(VLOOKUP((LEFT(A734,6)),CUSTOMER_DETAILS,2,FALSE),"-")</f>
        <v>-</v>
      </c>
      <c r="C734" s="161" t="s">
        <v>89</v>
      </c>
      <c r="D734" s="162"/>
      <c r="E734" s="161" t="s">
        <v>89</v>
      </c>
      <c r="F734" s="30" t="s">
        <v>89</v>
      </c>
      <c r="G734" s="30" t="s">
        <v>89</v>
      </c>
      <c r="H734" s="30" t="s">
        <v>89</v>
      </c>
      <c r="I734" s="48" t="s">
        <v>108</v>
      </c>
      <c r="J734" s="188" t="str">
        <f t="shared" si="15"/>
        <v/>
      </c>
      <c r="L734" s="48" t="s">
        <v>108</v>
      </c>
      <c r="O734" s="30" t="s">
        <v>89</v>
      </c>
      <c r="Q734" s="192"/>
      <c r="R734" s="161" t="str">
        <f>IFERROR(VLOOKUP(Q734,'PRODUCT TABLE'!$A$2:$B$26,2,FALSE),"-")</f>
        <v>-</v>
      </c>
      <c r="V734" s="161">
        <f t="shared" si="14"/>
        <v>0</v>
      </c>
      <c r="Y734" s="30"/>
      <c r="Z734" s="169">
        <f t="shared" si="2"/>
        <v>0</v>
      </c>
      <c r="AA734" s="167">
        <f t="shared" si="3"/>
        <v>0</v>
      </c>
      <c r="AB734" s="161"/>
      <c r="AC734" s="161">
        <f t="shared" si="4"/>
        <v>0</v>
      </c>
      <c r="AD734" s="161">
        <f t="shared" si="5"/>
        <v>0</v>
      </c>
      <c r="AE734" s="161">
        <f t="shared" si="6"/>
        <v>0</v>
      </c>
      <c r="AF734" s="167">
        <f t="shared" si="7"/>
        <v>0</v>
      </c>
      <c r="AG734" s="167">
        <f t="shared" si="8"/>
        <v>0</v>
      </c>
      <c r="AH734" s="158"/>
      <c r="AI734" s="158"/>
    </row>
    <row r="735" ht="12.75" customHeight="1">
      <c r="B735" s="160" t="str">
        <f>iferror(VLOOKUP((LEFT(A735,6)),CUSTOMER_DETAILS,2,FALSE),"-")</f>
        <v>-</v>
      </c>
      <c r="C735" s="161" t="s">
        <v>89</v>
      </c>
      <c r="D735" s="162"/>
      <c r="E735" s="161" t="s">
        <v>89</v>
      </c>
      <c r="F735" s="30" t="s">
        <v>89</v>
      </c>
      <c r="G735" s="30" t="s">
        <v>89</v>
      </c>
      <c r="H735" s="30" t="s">
        <v>89</v>
      </c>
      <c r="I735" s="48" t="s">
        <v>108</v>
      </c>
      <c r="J735" s="188" t="str">
        <f t="shared" si="15"/>
        <v/>
      </c>
      <c r="L735" s="48" t="s">
        <v>108</v>
      </c>
      <c r="O735" s="30" t="s">
        <v>89</v>
      </c>
      <c r="Q735" s="192"/>
      <c r="R735" s="161" t="str">
        <f>IFERROR(VLOOKUP(Q735,'PRODUCT TABLE'!$A$2:$B$26,2,FALSE),"-")</f>
        <v>-</v>
      </c>
      <c r="V735" s="161">
        <f t="shared" si="14"/>
        <v>0</v>
      </c>
      <c r="Y735" s="30"/>
      <c r="Z735" s="169">
        <f t="shared" si="2"/>
        <v>0</v>
      </c>
      <c r="AA735" s="167">
        <f t="shared" si="3"/>
        <v>0</v>
      </c>
      <c r="AB735" s="161"/>
      <c r="AC735" s="161">
        <f t="shared" si="4"/>
        <v>0</v>
      </c>
      <c r="AD735" s="161">
        <f t="shared" si="5"/>
        <v>0</v>
      </c>
      <c r="AE735" s="161">
        <f t="shared" si="6"/>
        <v>0</v>
      </c>
      <c r="AF735" s="167">
        <f t="shared" si="7"/>
        <v>0</v>
      </c>
      <c r="AG735" s="167">
        <f t="shared" si="8"/>
        <v>0</v>
      </c>
      <c r="AH735" s="158"/>
      <c r="AI735" s="158"/>
    </row>
    <row r="736" ht="12.75" customHeight="1">
      <c r="B736" s="160" t="str">
        <f>iferror(VLOOKUP((LEFT(A736,6)),CUSTOMER_DETAILS,2,FALSE),"-")</f>
        <v>-</v>
      </c>
      <c r="C736" s="161" t="s">
        <v>89</v>
      </c>
      <c r="D736" s="162"/>
      <c r="E736" s="161" t="s">
        <v>89</v>
      </c>
      <c r="F736" s="30" t="s">
        <v>89</v>
      </c>
      <c r="G736" s="30" t="s">
        <v>89</v>
      </c>
      <c r="H736" s="30" t="s">
        <v>89</v>
      </c>
      <c r="I736" s="48" t="s">
        <v>108</v>
      </c>
      <c r="J736" s="188" t="str">
        <f t="shared" si="15"/>
        <v/>
      </c>
      <c r="L736" s="48" t="s">
        <v>108</v>
      </c>
      <c r="O736" s="30" t="s">
        <v>89</v>
      </c>
      <c r="Q736" s="192"/>
      <c r="R736" s="161" t="str">
        <f>IFERROR(VLOOKUP(Q736,'PRODUCT TABLE'!$A$2:$B$26,2,FALSE),"-")</f>
        <v>-</v>
      </c>
      <c r="V736" s="161">
        <f t="shared" si="14"/>
        <v>0</v>
      </c>
      <c r="Y736" s="30"/>
      <c r="Z736" s="169">
        <f t="shared" si="2"/>
        <v>0</v>
      </c>
      <c r="AA736" s="167">
        <f t="shared" si="3"/>
        <v>0</v>
      </c>
      <c r="AB736" s="161"/>
      <c r="AC736" s="161">
        <f t="shared" si="4"/>
        <v>0</v>
      </c>
      <c r="AD736" s="161">
        <f t="shared" si="5"/>
        <v>0</v>
      </c>
      <c r="AE736" s="161">
        <f t="shared" si="6"/>
        <v>0</v>
      </c>
      <c r="AF736" s="167">
        <f t="shared" si="7"/>
        <v>0</v>
      </c>
      <c r="AG736" s="167">
        <f t="shared" si="8"/>
        <v>0</v>
      </c>
      <c r="AH736" s="158"/>
      <c r="AI736" s="158"/>
    </row>
    <row r="737" ht="12.75" customHeight="1">
      <c r="B737" s="160" t="str">
        <f>iferror(VLOOKUP((LEFT(A737,6)),CUSTOMER_DETAILS,2,FALSE),"-")</f>
        <v>-</v>
      </c>
      <c r="C737" s="161" t="s">
        <v>89</v>
      </c>
      <c r="D737" s="162"/>
      <c r="E737" s="161" t="s">
        <v>89</v>
      </c>
      <c r="F737" s="30" t="s">
        <v>89</v>
      </c>
      <c r="G737" s="30" t="s">
        <v>89</v>
      </c>
      <c r="H737" s="30" t="s">
        <v>89</v>
      </c>
      <c r="I737" s="48" t="s">
        <v>108</v>
      </c>
      <c r="J737" s="188" t="str">
        <f t="shared" si="15"/>
        <v/>
      </c>
      <c r="L737" s="48" t="s">
        <v>108</v>
      </c>
      <c r="O737" s="30" t="s">
        <v>89</v>
      </c>
      <c r="Q737" s="192"/>
      <c r="R737" s="161" t="str">
        <f>IFERROR(VLOOKUP(Q737,'PRODUCT TABLE'!$A$2:$B$26,2,FALSE),"-")</f>
        <v>-</v>
      </c>
      <c r="V737" s="161">
        <f t="shared" si="14"/>
        <v>0</v>
      </c>
      <c r="Y737" s="30"/>
      <c r="Z737" s="169">
        <f t="shared" si="2"/>
        <v>0</v>
      </c>
      <c r="AA737" s="167">
        <f t="shared" si="3"/>
        <v>0</v>
      </c>
      <c r="AB737" s="161"/>
      <c r="AC737" s="161">
        <f t="shared" si="4"/>
        <v>0</v>
      </c>
      <c r="AD737" s="161">
        <f t="shared" si="5"/>
        <v>0</v>
      </c>
      <c r="AE737" s="161">
        <f t="shared" si="6"/>
        <v>0</v>
      </c>
      <c r="AF737" s="167">
        <f t="shared" si="7"/>
        <v>0</v>
      </c>
      <c r="AG737" s="167">
        <f t="shared" si="8"/>
        <v>0</v>
      </c>
      <c r="AH737" s="158"/>
      <c r="AI737" s="158"/>
    </row>
    <row r="738" ht="12.75" customHeight="1">
      <c r="B738" s="160" t="str">
        <f>iferror(VLOOKUP((LEFT(A738,6)),CUSTOMER_DETAILS,2,FALSE),"-")</f>
        <v>-</v>
      </c>
      <c r="C738" s="161" t="s">
        <v>89</v>
      </c>
      <c r="D738" s="162"/>
      <c r="E738" s="161" t="s">
        <v>89</v>
      </c>
      <c r="F738" s="30" t="s">
        <v>89</v>
      </c>
      <c r="G738" s="30" t="s">
        <v>89</v>
      </c>
      <c r="H738" s="30" t="s">
        <v>89</v>
      </c>
      <c r="I738" s="48" t="s">
        <v>108</v>
      </c>
      <c r="J738" s="188" t="str">
        <f t="shared" si="15"/>
        <v/>
      </c>
      <c r="L738" s="48" t="s">
        <v>108</v>
      </c>
      <c r="O738" s="30" t="s">
        <v>89</v>
      </c>
      <c r="Q738" s="192"/>
      <c r="R738" s="161" t="str">
        <f>IFERROR(VLOOKUP(Q738,'PRODUCT TABLE'!$A$2:$B$26,2,FALSE),"-")</f>
        <v>-</v>
      </c>
      <c r="V738" s="161">
        <f t="shared" si="14"/>
        <v>0</v>
      </c>
      <c r="Y738" s="30"/>
      <c r="Z738" s="169">
        <f t="shared" si="2"/>
        <v>0</v>
      </c>
      <c r="AA738" s="167">
        <f t="shared" si="3"/>
        <v>0</v>
      </c>
      <c r="AB738" s="161"/>
      <c r="AC738" s="161">
        <f t="shared" si="4"/>
        <v>0</v>
      </c>
      <c r="AD738" s="161">
        <f t="shared" si="5"/>
        <v>0</v>
      </c>
      <c r="AE738" s="161">
        <f t="shared" si="6"/>
        <v>0</v>
      </c>
      <c r="AF738" s="167">
        <f t="shared" si="7"/>
        <v>0</v>
      </c>
      <c r="AG738" s="167">
        <f t="shared" si="8"/>
        <v>0</v>
      </c>
      <c r="AH738" s="158"/>
      <c r="AI738" s="158"/>
    </row>
    <row r="739" ht="12.75" customHeight="1">
      <c r="B739" s="160" t="str">
        <f>iferror(VLOOKUP((LEFT(A739,6)),CUSTOMER_DETAILS,2,FALSE),"-")</f>
        <v>-</v>
      </c>
      <c r="C739" s="161" t="s">
        <v>89</v>
      </c>
      <c r="D739" s="162"/>
      <c r="E739" s="161" t="s">
        <v>89</v>
      </c>
      <c r="F739" s="30" t="s">
        <v>89</v>
      </c>
      <c r="G739" s="30" t="s">
        <v>89</v>
      </c>
      <c r="H739" s="30" t="s">
        <v>89</v>
      </c>
      <c r="I739" s="48" t="s">
        <v>108</v>
      </c>
      <c r="J739" s="188" t="str">
        <f t="shared" si="15"/>
        <v/>
      </c>
      <c r="L739" s="48" t="s">
        <v>108</v>
      </c>
      <c r="O739" s="30" t="s">
        <v>89</v>
      </c>
      <c r="Q739" s="192"/>
      <c r="R739" s="161" t="str">
        <f>IFERROR(VLOOKUP(Q739,'PRODUCT TABLE'!$A$2:$B$26,2,FALSE),"-")</f>
        <v>-</v>
      </c>
      <c r="V739" s="161">
        <f t="shared" si="14"/>
        <v>0</v>
      </c>
      <c r="Y739" s="30"/>
      <c r="Z739" s="169">
        <f t="shared" si="2"/>
        <v>0</v>
      </c>
      <c r="AA739" s="167">
        <f t="shared" si="3"/>
        <v>0</v>
      </c>
      <c r="AB739" s="161"/>
      <c r="AC739" s="161">
        <f t="shared" si="4"/>
        <v>0</v>
      </c>
      <c r="AD739" s="161">
        <f t="shared" si="5"/>
        <v>0</v>
      </c>
      <c r="AE739" s="161">
        <f t="shared" si="6"/>
        <v>0</v>
      </c>
      <c r="AF739" s="167">
        <f t="shared" si="7"/>
        <v>0</v>
      </c>
      <c r="AG739" s="167">
        <f t="shared" si="8"/>
        <v>0</v>
      </c>
      <c r="AH739" s="158"/>
      <c r="AI739" s="158"/>
    </row>
    <row r="740" ht="12.75" customHeight="1">
      <c r="B740" s="160" t="str">
        <f>iferror(VLOOKUP((LEFT(A740,6)),CUSTOMER_DETAILS,2,FALSE),"-")</f>
        <v>-</v>
      </c>
      <c r="C740" s="161" t="s">
        <v>89</v>
      </c>
      <c r="D740" s="162"/>
      <c r="E740" s="161" t="s">
        <v>89</v>
      </c>
      <c r="F740" s="30" t="s">
        <v>89</v>
      </c>
      <c r="G740" s="30" t="s">
        <v>89</v>
      </c>
      <c r="H740" s="30" t="s">
        <v>89</v>
      </c>
      <c r="I740" s="48" t="s">
        <v>108</v>
      </c>
      <c r="J740" s="188" t="str">
        <f t="shared" si="15"/>
        <v/>
      </c>
      <c r="L740" s="48" t="s">
        <v>108</v>
      </c>
      <c r="O740" s="30" t="s">
        <v>89</v>
      </c>
      <c r="Q740" s="192"/>
      <c r="R740" s="161" t="str">
        <f>IFERROR(VLOOKUP(Q740,'PRODUCT TABLE'!$A$2:$B$26,2,FALSE),"-")</f>
        <v>-</v>
      </c>
      <c r="V740" s="161">
        <f t="shared" si="14"/>
        <v>0</v>
      </c>
      <c r="Y740" s="30"/>
      <c r="Z740" s="169">
        <f t="shared" si="2"/>
        <v>0</v>
      </c>
      <c r="AA740" s="167">
        <f t="shared" si="3"/>
        <v>0</v>
      </c>
      <c r="AB740" s="161"/>
      <c r="AC740" s="161">
        <f t="shared" si="4"/>
        <v>0</v>
      </c>
      <c r="AD740" s="161">
        <f t="shared" si="5"/>
        <v>0</v>
      </c>
      <c r="AE740" s="161">
        <f t="shared" si="6"/>
        <v>0</v>
      </c>
      <c r="AF740" s="167">
        <f t="shared" si="7"/>
        <v>0</v>
      </c>
      <c r="AG740" s="167">
        <f t="shared" si="8"/>
        <v>0</v>
      </c>
      <c r="AH740" s="158"/>
      <c r="AI740" s="158"/>
    </row>
    <row r="741" ht="12.75" customHeight="1">
      <c r="B741" s="160" t="str">
        <f>iferror(VLOOKUP((LEFT(A741,6)),CUSTOMER_DETAILS,2,FALSE),"-")</f>
        <v>-</v>
      </c>
      <c r="C741" s="161" t="s">
        <v>89</v>
      </c>
      <c r="D741" s="162"/>
      <c r="E741" s="161" t="s">
        <v>89</v>
      </c>
      <c r="F741" s="30" t="s">
        <v>89</v>
      </c>
      <c r="G741" s="30" t="s">
        <v>89</v>
      </c>
      <c r="H741" s="30" t="s">
        <v>89</v>
      </c>
      <c r="I741" s="48" t="s">
        <v>108</v>
      </c>
      <c r="J741" s="188" t="str">
        <f t="shared" si="15"/>
        <v/>
      </c>
      <c r="L741" s="48" t="s">
        <v>108</v>
      </c>
      <c r="O741" s="30" t="s">
        <v>89</v>
      </c>
      <c r="Q741" s="192"/>
      <c r="R741" s="161" t="str">
        <f>IFERROR(VLOOKUP(Q741,'PRODUCT TABLE'!$A$2:$B$26,2,FALSE),"-")</f>
        <v>-</v>
      </c>
      <c r="V741" s="161">
        <f t="shared" si="14"/>
        <v>0</v>
      </c>
      <c r="Y741" s="30"/>
      <c r="Z741" s="169">
        <f t="shared" si="2"/>
        <v>0</v>
      </c>
      <c r="AA741" s="167">
        <f t="shared" si="3"/>
        <v>0</v>
      </c>
      <c r="AB741" s="161"/>
      <c r="AC741" s="161">
        <f t="shared" si="4"/>
        <v>0</v>
      </c>
      <c r="AD741" s="161">
        <f t="shared" si="5"/>
        <v>0</v>
      </c>
      <c r="AE741" s="161">
        <f t="shared" si="6"/>
        <v>0</v>
      </c>
      <c r="AF741" s="167">
        <f t="shared" si="7"/>
        <v>0</v>
      </c>
      <c r="AG741" s="167">
        <f t="shared" si="8"/>
        <v>0</v>
      </c>
      <c r="AH741" s="158"/>
      <c r="AI741" s="158"/>
    </row>
    <row r="742" ht="12.75" customHeight="1">
      <c r="B742" s="160" t="str">
        <f>iferror(VLOOKUP((LEFT(A742,6)),CUSTOMER_DETAILS,2,FALSE),"-")</f>
        <v>-</v>
      </c>
      <c r="C742" s="161" t="s">
        <v>89</v>
      </c>
      <c r="D742" s="162"/>
      <c r="E742" s="161" t="s">
        <v>89</v>
      </c>
      <c r="F742" s="30" t="s">
        <v>89</v>
      </c>
      <c r="G742" s="30" t="s">
        <v>89</v>
      </c>
      <c r="H742" s="30" t="s">
        <v>89</v>
      </c>
      <c r="I742" s="48" t="s">
        <v>108</v>
      </c>
      <c r="J742" s="188" t="str">
        <f t="shared" si="15"/>
        <v/>
      </c>
      <c r="L742" s="48" t="s">
        <v>108</v>
      </c>
      <c r="O742" s="30" t="s">
        <v>89</v>
      </c>
      <c r="Q742" s="192"/>
      <c r="R742" s="161" t="str">
        <f>IFERROR(VLOOKUP(Q742,'PRODUCT TABLE'!$A$2:$B$26,2,FALSE),"-")</f>
        <v>-</v>
      </c>
      <c r="V742" s="161">
        <f t="shared" si="14"/>
        <v>0</v>
      </c>
      <c r="Y742" s="30"/>
      <c r="Z742" s="169">
        <f t="shared" si="2"/>
        <v>0</v>
      </c>
      <c r="AA742" s="167">
        <f t="shared" si="3"/>
        <v>0</v>
      </c>
      <c r="AB742" s="161"/>
      <c r="AC742" s="161">
        <f t="shared" si="4"/>
        <v>0</v>
      </c>
      <c r="AD742" s="161">
        <f t="shared" si="5"/>
        <v>0</v>
      </c>
      <c r="AE742" s="161">
        <f t="shared" si="6"/>
        <v>0</v>
      </c>
      <c r="AF742" s="167">
        <f t="shared" si="7"/>
        <v>0</v>
      </c>
      <c r="AG742" s="167">
        <f t="shared" si="8"/>
        <v>0</v>
      </c>
      <c r="AH742" s="158"/>
      <c r="AI742" s="158"/>
    </row>
    <row r="743" ht="12.75" customHeight="1">
      <c r="B743" s="160" t="str">
        <f>iferror(VLOOKUP((LEFT(A743,6)),CUSTOMER_DETAILS,2,FALSE),"-")</f>
        <v>-</v>
      </c>
      <c r="C743" s="161" t="s">
        <v>89</v>
      </c>
      <c r="D743" s="162"/>
      <c r="E743" s="161" t="s">
        <v>89</v>
      </c>
      <c r="F743" s="30" t="s">
        <v>89</v>
      </c>
      <c r="G743" s="30" t="s">
        <v>89</v>
      </c>
      <c r="H743" s="30" t="s">
        <v>89</v>
      </c>
      <c r="I743" s="48" t="s">
        <v>108</v>
      </c>
      <c r="J743" s="188" t="str">
        <f t="shared" si="15"/>
        <v/>
      </c>
      <c r="L743" s="48" t="s">
        <v>108</v>
      </c>
      <c r="O743" s="30" t="s">
        <v>89</v>
      </c>
      <c r="Q743" s="192"/>
      <c r="R743" s="161" t="str">
        <f>IFERROR(VLOOKUP(Q743,'PRODUCT TABLE'!$A$2:$B$26,2,FALSE),"-")</f>
        <v>-</v>
      </c>
      <c r="V743" s="161">
        <f t="shared" si="14"/>
        <v>0</v>
      </c>
      <c r="Y743" s="30"/>
      <c r="Z743" s="169">
        <f t="shared" si="2"/>
        <v>0</v>
      </c>
      <c r="AA743" s="167">
        <f t="shared" si="3"/>
        <v>0</v>
      </c>
      <c r="AB743" s="161"/>
      <c r="AC743" s="161">
        <f t="shared" si="4"/>
        <v>0</v>
      </c>
      <c r="AD743" s="161">
        <f t="shared" si="5"/>
        <v>0</v>
      </c>
      <c r="AE743" s="161">
        <f t="shared" si="6"/>
        <v>0</v>
      </c>
      <c r="AF743" s="167">
        <f t="shared" si="7"/>
        <v>0</v>
      </c>
      <c r="AG743" s="167">
        <f t="shared" si="8"/>
        <v>0</v>
      </c>
      <c r="AH743" s="158"/>
      <c r="AI743" s="158"/>
    </row>
    <row r="744" ht="12.75" customHeight="1">
      <c r="B744" s="160" t="str">
        <f>iferror(VLOOKUP((LEFT(A744,6)),CUSTOMER_DETAILS,2,FALSE),"-")</f>
        <v>-</v>
      </c>
      <c r="C744" s="161" t="s">
        <v>89</v>
      </c>
      <c r="D744" s="162"/>
      <c r="E744" s="161" t="s">
        <v>89</v>
      </c>
      <c r="F744" s="30" t="s">
        <v>89</v>
      </c>
      <c r="G744" s="30" t="s">
        <v>89</v>
      </c>
      <c r="H744" s="30" t="s">
        <v>89</v>
      </c>
      <c r="I744" s="48" t="s">
        <v>108</v>
      </c>
      <c r="J744" s="188" t="str">
        <f t="shared" si="15"/>
        <v/>
      </c>
      <c r="L744" s="48" t="s">
        <v>108</v>
      </c>
      <c r="O744" s="30" t="s">
        <v>89</v>
      </c>
      <c r="Q744" s="192"/>
      <c r="R744" s="161" t="str">
        <f>IFERROR(VLOOKUP(Q744,'PRODUCT TABLE'!$A$2:$B$26,2,FALSE),"-")</f>
        <v>-</v>
      </c>
      <c r="V744" s="161">
        <f t="shared" si="14"/>
        <v>0</v>
      </c>
      <c r="Y744" s="30"/>
      <c r="Z744" s="169">
        <f t="shared" si="2"/>
        <v>0</v>
      </c>
      <c r="AA744" s="167">
        <f t="shared" si="3"/>
        <v>0</v>
      </c>
      <c r="AB744" s="161"/>
      <c r="AC744" s="161">
        <f t="shared" si="4"/>
        <v>0</v>
      </c>
      <c r="AD744" s="161">
        <f t="shared" si="5"/>
        <v>0</v>
      </c>
      <c r="AE744" s="161">
        <f t="shared" si="6"/>
        <v>0</v>
      </c>
      <c r="AF744" s="167">
        <f t="shared" si="7"/>
        <v>0</v>
      </c>
      <c r="AG744" s="167">
        <f t="shared" si="8"/>
        <v>0</v>
      </c>
      <c r="AH744" s="158"/>
      <c r="AI744" s="158"/>
    </row>
    <row r="745" ht="12.75" customHeight="1">
      <c r="B745" s="160" t="str">
        <f>iferror(VLOOKUP((LEFT(A745,6)),CUSTOMER_DETAILS,2,FALSE),"-")</f>
        <v>-</v>
      </c>
      <c r="C745" s="161" t="s">
        <v>89</v>
      </c>
      <c r="D745" s="162"/>
      <c r="E745" s="161" t="s">
        <v>89</v>
      </c>
      <c r="F745" s="30" t="s">
        <v>89</v>
      </c>
      <c r="G745" s="30" t="s">
        <v>89</v>
      </c>
      <c r="H745" s="30" t="s">
        <v>89</v>
      </c>
      <c r="I745" s="48" t="s">
        <v>108</v>
      </c>
      <c r="J745" s="188" t="str">
        <f t="shared" si="15"/>
        <v/>
      </c>
      <c r="L745" s="48" t="s">
        <v>108</v>
      </c>
      <c r="O745" s="30" t="s">
        <v>89</v>
      </c>
      <c r="Q745" s="192"/>
      <c r="R745" s="161" t="str">
        <f>IFERROR(VLOOKUP(Q745,'PRODUCT TABLE'!$A$2:$B$26,2,FALSE),"-")</f>
        <v>-</v>
      </c>
      <c r="V745" s="161">
        <f t="shared" si="14"/>
        <v>0</v>
      </c>
      <c r="Y745" s="30"/>
      <c r="Z745" s="169">
        <f t="shared" si="2"/>
        <v>0</v>
      </c>
      <c r="AA745" s="167">
        <f t="shared" si="3"/>
        <v>0</v>
      </c>
      <c r="AB745" s="161"/>
      <c r="AC745" s="161">
        <f t="shared" si="4"/>
        <v>0</v>
      </c>
      <c r="AD745" s="161">
        <f t="shared" si="5"/>
        <v>0</v>
      </c>
      <c r="AE745" s="161">
        <f t="shared" si="6"/>
        <v>0</v>
      </c>
      <c r="AF745" s="167">
        <f t="shared" si="7"/>
        <v>0</v>
      </c>
      <c r="AG745" s="167">
        <f t="shared" si="8"/>
        <v>0</v>
      </c>
      <c r="AH745" s="158"/>
      <c r="AI745" s="158"/>
    </row>
    <row r="746" ht="12.75" customHeight="1">
      <c r="B746" s="160" t="str">
        <f>iferror(VLOOKUP((LEFT(A746,6)),CUSTOMER_DETAILS,2,FALSE),"-")</f>
        <v>-</v>
      </c>
      <c r="C746" s="161" t="s">
        <v>89</v>
      </c>
      <c r="D746" s="162"/>
      <c r="E746" s="161" t="s">
        <v>89</v>
      </c>
      <c r="F746" s="30" t="s">
        <v>89</v>
      </c>
      <c r="G746" s="30" t="s">
        <v>89</v>
      </c>
      <c r="H746" s="30" t="s">
        <v>89</v>
      </c>
      <c r="I746" s="48" t="s">
        <v>108</v>
      </c>
      <c r="J746" s="188" t="str">
        <f t="shared" si="15"/>
        <v/>
      </c>
      <c r="L746" s="48" t="s">
        <v>108</v>
      </c>
      <c r="O746" s="30" t="s">
        <v>89</v>
      </c>
      <c r="Q746" s="192"/>
      <c r="R746" s="161" t="str">
        <f>IFERROR(VLOOKUP(Q746,'PRODUCT TABLE'!$A$2:$B$26,2,FALSE),"-")</f>
        <v>-</v>
      </c>
      <c r="V746" s="161">
        <f t="shared" si="14"/>
        <v>0</v>
      </c>
      <c r="Y746" s="30"/>
      <c r="Z746" s="169">
        <f t="shared" si="2"/>
        <v>0</v>
      </c>
      <c r="AA746" s="167">
        <f t="shared" si="3"/>
        <v>0</v>
      </c>
      <c r="AB746" s="161"/>
      <c r="AC746" s="161">
        <f t="shared" si="4"/>
        <v>0</v>
      </c>
      <c r="AD746" s="161">
        <f t="shared" si="5"/>
        <v>0</v>
      </c>
      <c r="AE746" s="161">
        <f t="shared" si="6"/>
        <v>0</v>
      </c>
      <c r="AF746" s="167">
        <f t="shared" si="7"/>
        <v>0</v>
      </c>
      <c r="AG746" s="167">
        <f t="shared" si="8"/>
        <v>0</v>
      </c>
      <c r="AH746" s="158"/>
      <c r="AI746" s="158"/>
    </row>
    <row r="747" ht="12.75" customHeight="1">
      <c r="B747" s="160" t="str">
        <f>iferror(VLOOKUP((LEFT(A747,6)),CUSTOMER_DETAILS,2,FALSE),"-")</f>
        <v>-</v>
      </c>
      <c r="C747" s="161" t="s">
        <v>89</v>
      </c>
      <c r="D747" s="162"/>
      <c r="E747" s="161" t="s">
        <v>89</v>
      </c>
      <c r="F747" s="30" t="s">
        <v>89</v>
      </c>
      <c r="G747" s="30" t="s">
        <v>89</v>
      </c>
      <c r="H747" s="30" t="s">
        <v>89</v>
      </c>
      <c r="I747" s="48" t="s">
        <v>108</v>
      </c>
      <c r="J747" s="188" t="str">
        <f t="shared" si="15"/>
        <v/>
      </c>
      <c r="L747" s="48" t="s">
        <v>108</v>
      </c>
      <c r="O747" s="30" t="s">
        <v>89</v>
      </c>
      <c r="Q747" s="192"/>
      <c r="R747" s="161" t="str">
        <f>IFERROR(VLOOKUP(Q747,'PRODUCT TABLE'!$A$2:$B$26,2,FALSE),"-")</f>
        <v>-</v>
      </c>
      <c r="V747" s="161">
        <f t="shared" si="14"/>
        <v>0</v>
      </c>
      <c r="Y747" s="30"/>
      <c r="Z747" s="169">
        <f t="shared" si="2"/>
        <v>0</v>
      </c>
      <c r="AA747" s="167">
        <f t="shared" si="3"/>
        <v>0</v>
      </c>
      <c r="AB747" s="161"/>
      <c r="AC747" s="161">
        <f t="shared" si="4"/>
        <v>0</v>
      </c>
      <c r="AD747" s="161">
        <f t="shared" si="5"/>
        <v>0</v>
      </c>
      <c r="AE747" s="161">
        <f t="shared" si="6"/>
        <v>0</v>
      </c>
      <c r="AF747" s="167">
        <f t="shared" si="7"/>
        <v>0</v>
      </c>
      <c r="AG747" s="167">
        <f t="shared" si="8"/>
        <v>0</v>
      </c>
      <c r="AH747" s="158"/>
      <c r="AI747" s="158"/>
    </row>
    <row r="748" ht="12.75" customHeight="1">
      <c r="B748" s="160" t="str">
        <f>iferror(VLOOKUP((LEFT(A748,6)),CUSTOMER_DETAILS,2,FALSE),"-")</f>
        <v>-</v>
      </c>
      <c r="C748" s="161" t="s">
        <v>89</v>
      </c>
      <c r="D748" s="162"/>
      <c r="E748" s="161" t="s">
        <v>89</v>
      </c>
      <c r="F748" s="30" t="s">
        <v>89</v>
      </c>
      <c r="G748" s="30" t="s">
        <v>89</v>
      </c>
      <c r="H748" s="30" t="s">
        <v>89</v>
      </c>
      <c r="I748" s="48" t="s">
        <v>108</v>
      </c>
      <c r="J748" s="188" t="str">
        <f t="shared" si="15"/>
        <v/>
      </c>
      <c r="L748" s="48" t="s">
        <v>108</v>
      </c>
      <c r="O748" s="30" t="s">
        <v>89</v>
      </c>
      <c r="Q748" s="192"/>
      <c r="R748" s="161" t="str">
        <f>IFERROR(VLOOKUP(Q748,'PRODUCT TABLE'!$A$2:$B$26,2,FALSE),"-")</f>
        <v>-</v>
      </c>
      <c r="V748" s="161">
        <f t="shared" si="14"/>
        <v>0</v>
      </c>
      <c r="Y748" s="30"/>
      <c r="Z748" s="169">
        <f t="shared" si="2"/>
        <v>0</v>
      </c>
      <c r="AA748" s="167">
        <f t="shared" si="3"/>
        <v>0</v>
      </c>
      <c r="AB748" s="161"/>
      <c r="AC748" s="161">
        <f t="shared" si="4"/>
        <v>0</v>
      </c>
      <c r="AD748" s="161">
        <f t="shared" si="5"/>
        <v>0</v>
      </c>
      <c r="AE748" s="161">
        <f t="shared" si="6"/>
        <v>0</v>
      </c>
      <c r="AF748" s="167">
        <f t="shared" si="7"/>
        <v>0</v>
      </c>
      <c r="AG748" s="167">
        <f t="shared" si="8"/>
        <v>0</v>
      </c>
      <c r="AH748" s="158"/>
      <c r="AI748" s="158"/>
    </row>
    <row r="749" ht="12.75" customHeight="1">
      <c r="B749" s="160" t="str">
        <f>iferror(VLOOKUP((LEFT(A749,6)),CUSTOMER_DETAILS,2,FALSE),"-")</f>
        <v>-</v>
      </c>
      <c r="C749" s="161" t="s">
        <v>89</v>
      </c>
      <c r="D749" s="162"/>
      <c r="E749" s="161" t="s">
        <v>89</v>
      </c>
      <c r="F749" s="30" t="s">
        <v>89</v>
      </c>
      <c r="G749" s="30" t="s">
        <v>89</v>
      </c>
      <c r="H749" s="30" t="s">
        <v>89</v>
      </c>
      <c r="I749" s="48" t="s">
        <v>108</v>
      </c>
      <c r="J749" s="188" t="str">
        <f t="shared" si="15"/>
        <v/>
      </c>
      <c r="L749" s="48" t="s">
        <v>108</v>
      </c>
      <c r="O749" s="30" t="s">
        <v>89</v>
      </c>
      <c r="Q749" s="192"/>
      <c r="R749" s="161" t="str">
        <f>IFERROR(VLOOKUP(Q749,'PRODUCT TABLE'!$A$2:$B$26,2,FALSE),"-")</f>
        <v>-</v>
      </c>
      <c r="V749" s="161">
        <f t="shared" si="14"/>
        <v>0</v>
      </c>
      <c r="Y749" s="30"/>
      <c r="Z749" s="169">
        <f t="shared" si="2"/>
        <v>0</v>
      </c>
      <c r="AA749" s="167">
        <f t="shared" si="3"/>
        <v>0</v>
      </c>
      <c r="AB749" s="161"/>
      <c r="AC749" s="161">
        <f t="shared" si="4"/>
        <v>0</v>
      </c>
      <c r="AD749" s="161">
        <f t="shared" si="5"/>
        <v>0</v>
      </c>
      <c r="AE749" s="161">
        <f t="shared" si="6"/>
        <v>0</v>
      </c>
      <c r="AF749" s="167">
        <f t="shared" si="7"/>
        <v>0</v>
      </c>
      <c r="AG749" s="167">
        <f t="shared" si="8"/>
        <v>0</v>
      </c>
      <c r="AH749" s="158"/>
      <c r="AI749" s="158"/>
    </row>
    <row r="750" ht="12.75" customHeight="1">
      <c r="B750" s="160" t="str">
        <f>iferror(VLOOKUP((LEFT(A750,6)),CUSTOMER_DETAILS,2,FALSE),"-")</f>
        <v>-</v>
      </c>
      <c r="C750" s="161" t="s">
        <v>89</v>
      </c>
      <c r="D750" s="162"/>
      <c r="E750" s="161" t="s">
        <v>89</v>
      </c>
      <c r="F750" s="30" t="s">
        <v>89</v>
      </c>
      <c r="G750" s="30" t="s">
        <v>89</v>
      </c>
      <c r="H750" s="30" t="s">
        <v>89</v>
      </c>
      <c r="I750" s="48" t="s">
        <v>108</v>
      </c>
      <c r="J750" s="188" t="str">
        <f t="shared" si="15"/>
        <v/>
      </c>
      <c r="L750" s="48" t="s">
        <v>108</v>
      </c>
      <c r="O750" s="30" t="s">
        <v>89</v>
      </c>
      <c r="Q750" s="192"/>
      <c r="R750" s="161" t="str">
        <f>IFERROR(VLOOKUP(Q750,'PRODUCT TABLE'!$A$2:$B$26,2,FALSE),"-")</f>
        <v>-</v>
      </c>
      <c r="V750" s="161">
        <f t="shared" si="14"/>
        <v>0</v>
      </c>
      <c r="Y750" s="30"/>
      <c r="Z750" s="169">
        <f t="shared" si="2"/>
        <v>0</v>
      </c>
      <c r="AA750" s="167">
        <f t="shared" si="3"/>
        <v>0</v>
      </c>
      <c r="AB750" s="161"/>
      <c r="AC750" s="161">
        <f t="shared" si="4"/>
        <v>0</v>
      </c>
      <c r="AD750" s="161">
        <f t="shared" si="5"/>
        <v>0</v>
      </c>
      <c r="AE750" s="161">
        <f t="shared" si="6"/>
        <v>0</v>
      </c>
      <c r="AF750" s="167">
        <f t="shared" si="7"/>
        <v>0</v>
      </c>
      <c r="AG750" s="167">
        <f t="shared" si="8"/>
        <v>0</v>
      </c>
      <c r="AH750" s="158"/>
      <c r="AI750" s="158"/>
    </row>
    <row r="751" ht="12.75" customHeight="1">
      <c r="B751" s="160" t="str">
        <f>iferror(VLOOKUP((LEFT(A751,6)),CUSTOMER_DETAILS,2,FALSE),"-")</f>
        <v>-</v>
      </c>
      <c r="C751" s="161" t="s">
        <v>89</v>
      </c>
      <c r="D751" s="162"/>
      <c r="E751" s="161" t="s">
        <v>89</v>
      </c>
      <c r="F751" s="30" t="s">
        <v>89</v>
      </c>
      <c r="G751" s="30" t="s">
        <v>89</v>
      </c>
      <c r="H751" s="30" t="s">
        <v>89</v>
      </c>
      <c r="I751" s="48" t="s">
        <v>108</v>
      </c>
      <c r="J751" s="188" t="str">
        <f t="shared" si="15"/>
        <v/>
      </c>
      <c r="L751" s="48" t="s">
        <v>108</v>
      </c>
      <c r="O751" s="30" t="s">
        <v>89</v>
      </c>
      <c r="Q751" s="192"/>
      <c r="R751" s="161" t="str">
        <f>IFERROR(VLOOKUP(Q751,'PRODUCT TABLE'!$A$2:$B$26,2,FALSE),"-")</f>
        <v>-</v>
      </c>
      <c r="V751" s="161">
        <f t="shared" si="14"/>
        <v>0</v>
      </c>
      <c r="Y751" s="30"/>
      <c r="Z751" s="169">
        <f t="shared" si="2"/>
        <v>0</v>
      </c>
      <c r="AA751" s="167">
        <f t="shared" si="3"/>
        <v>0</v>
      </c>
      <c r="AB751" s="161"/>
      <c r="AC751" s="161">
        <f t="shared" si="4"/>
        <v>0</v>
      </c>
      <c r="AD751" s="161">
        <f t="shared" si="5"/>
        <v>0</v>
      </c>
      <c r="AE751" s="161">
        <f t="shared" si="6"/>
        <v>0</v>
      </c>
      <c r="AF751" s="167">
        <f t="shared" si="7"/>
        <v>0</v>
      </c>
      <c r="AG751" s="167">
        <f t="shared" si="8"/>
        <v>0</v>
      </c>
      <c r="AH751" s="158"/>
      <c r="AI751" s="158"/>
    </row>
    <row r="752" ht="12.75" customHeight="1">
      <c r="B752" s="160" t="str">
        <f>iferror(VLOOKUP((LEFT(A752,6)),CUSTOMER_DETAILS,2,FALSE),"-")</f>
        <v>-</v>
      </c>
      <c r="C752" s="161" t="s">
        <v>89</v>
      </c>
      <c r="D752" s="162"/>
      <c r="E752" s="161" t="s">
        <v>89</v>
      </c>
      <c r="F752" s="30" t="s">
        <v>89</v>
      </c>
      <c r="G752" s="30" t="s">
        <v>89</v>
      </c>
      <c r="H752" s="30" t="s">
        <v>89</v>
      </c>
      <c r="I752" s="48" t="s">
        <v>108</v>
      </c>
      <c r="J752" s="188" t="str">
        <f t="shared" si="15"/>
        <v/>
      </c>
      <c r="L752" s="48" t="s">
        <v>108</v>
      </c>
      <c r="O752" s="30" t="s">
        <v>89</v>
      </c>
      <c r="Q752" s="192"/>
      <c r="R752" s="161" t="str">
        <f>IFERROR(VLOOKUP(Q752,'PRODUCT TABLE'!$A$2:$B$26,2,FALSE),"-")</f>
        <v>-</v>
      </c>
      <c r="V752" s="161">
        <f t="shared" si="14"/>
        <v>0</v>
      </c>
      <c r="Y752" s="30"/>
      <c r="Z752" s="169">
        <f t="shared" si="2"/>
        <v>0</v>
      </c>
      <c r="AA752" s="167">
        <f t="shared" si="3"/>
        <v>0</v>
      </c>
      <c r="AB752" s="161"/>
      <c r="AC752" s="161">
        <f t="shared" si="4"/>
        <v>0</v>
      </c>
      <c r="AD752" s="161">
        <f t="shared" si="5"/>
        <v>0</v>
      </c>
      <c r="AE752" s="161">
        <f t="shared" si="6"/>
        <v>0</v>
      </c>
      <c r="AF752" s="167">
        <f t="shared" si="7"/>
        <v>0</v>
      </c>
      <c r="AG752" s="167">
        <f t="shared" si="8"/>
        <v>0</v>
      </c>
      <c r="AH752" s="158"/>
      <c r="AI752" s="158"/>
    </row>
    <row r="753" ht="12.75" customHeight="1">
      <c r="B753" s="160" t="str">
        <f>iferror(VLOOKUP((LEFT(A753,6)),CUSTOMER_DETAILS,2,FALSE),"-")</f>
        <v>-</v>
      </c>
      <c r="C753" s="161" t="s">
        <v>89</v>
      </c>
      <c r="D753" s="162"/>
      <c r="E753" s="161" t="s">
        <v>89</v>
      </c>
      <c r="F753" s="30" t="s">
        <v>89</v>
      </c>
      <c r="G753" s="30" t="s">
        <v>89</v>
      </c>
      <c r="H753" s="30" t="s">
        <v>89</v>
      </c>
      <c r="I753" s="48" t="s">
        <v>108</v>
      </c>
      <c r="J753" s="188" t="str">
        <f t="shared" si="15"/>
        <v/>
      </c>
      <c r="L753" s="48" t="s">
        <v>108</v>
      </c>
      <c r="O753" s="30" t="s">
        <v>89</v>
      </c>
      <c r="Q753" s="192"/>
      <c r="R753" s="161" t="str">
        <f>IFERROR(VLOOKUP(Q753,'PRODUCT TABLE'!$A$2:$B$26,2,FALSE),"-")</f>
        <v>-</v>
      </c>
      <c r="V753" s="161">
        <f t="shared" si="14"/>
        <v>0</v>
      </c>
      <c r="Y753" s="30"/>
      <c r="Z753" s="169">
        <f t="shared" si="2"/>
        <v>0</v>
      </c>
      <c r="AA753" s="167">
        <f t="shared" si="3"/>
        <v>0</v>
      </c>
      <c r="AB753" s="161"/>
      <c r="AC753" s="161">
        <f t="shared" si="4"/>
        <v>0</v>
      </c>
      <c r="AD753" s="161">
        <f t="shared" si="5"/>
        <v>0</v>
      </c>
      <c r="AE753" s="161">
        <f t="shared" si="6"/>
        <v>0</v>
      </c>
      <c r="AF753" s="167">
        <f t="shared" si="7"/>
        <v>0</v>
      </c>
      <c r="AG753" s="167">
        <f t="shared" si="8"/>
        <v>0</v>
      </c>
      <c r="AH753" s="158"/>
      <c r="AI753" s="158"/>
    </row>
    <row r="754" ht="12.75" customHeight="1">
      <c r="B754" s="160" t="str">
        <f>iferror(VLOOKUP((LEFT(A754,6)),CUSTOMER_DETAILS,2,FALSE),"-")</f>
        <v>-</v>
      </c>
      <c r="C754" s="161" t="s">
        <v>89</v>
      </c>
      <c r="D754" s="162"/>
      <c r="E754" s="161" t="s">
        <v>89</v>
      </c>
      <c r="F754" s="30" t="s">
        <v>89</v>
      </c>
      <c r="G754" s="30" t="s">
        <v>89</v>
      </c>
      <c r="H754" s="30" t="s">
        <v>89</v>
      </c>
      <c r="I754" s="48" t="s">
        <v>108</v>
      </c>
      <c r="J754" s="188" t="str">
        <f t="shared" si="15"/>
        <v/>
      </c>
      <c r="L754" s="48" t="s">
        <v>108</v>
      </c>
      <c r="O754" s="30" t="s">
        <v>89</v>
      </c>
      <c r="Q754" s="192"/>
      <c r="R754" s="161" t="str">
        <f>IFERROR(VLOOKUP(Q754,'PRODUCT TABLE'!$A$2:$B$26,2,FALSE),"-")</f>
        <v>-</v>
      </c>
      <c r="V754" s="161">
        <f t="shared" si="14"/>
        <v>0</v>
      </c>
      <c r="Y754" s="30"/>
      <c r="Z754" s="169">
        <f t="shared" si="2"/>
        <v>0</v>
      </c>
      <c r="AA754" s="167">
        <f t="shared" si="3"/>
        <v>0</v>
      </c>
      <c r="AB754" s="161"/>
      <c r="AC754" s="161">
        <f t="shared" si="4"/>
        <v>0</v>
      </c>
      <c r="AD754" s="161">
        <f t="shared" si="5"/>
        <v>0</v>
      </c>
      <c r="AE754" s="161">
        <f t="shared" si="6"/>
        <v>0</v>
      </c>
      <c r="AF754" s="167">
        <f t="shared" si="7"/>
        <v>0</v>
      </c>
      <c r="AG754" s="167">
        <f t="shared" si="8"/>
        <v>0</v>
      </c>
      <c r="AH754" s="158"/>
      <c r="AI754" s="158"/>
    </row>
    <row r="755" ht="12.75" customHeight="1">
      <c r="B755" s="160" t="str">
        <f>iferror(VLOOKUP((LEFT(A755,6)),CUSTOMER_DETAILS,2,FALSE),"-")</f>
        <v>-</v>
      </c>
      <c r="C755" s="161" t="s">
        <v>89</v>
      </c>
      <c r="D755" s="162"/>
      <c r="E755" s="161" t="s">
        <v>89</v>
      </c>
      <c r="F755" s="30" t="s">
        <v>89</v>
      </c>
      <c r="G755" s="30" t="s">
        <v>89</v>
      </c>
      <c r="H755" s="30" t="s">
        <v>89</v>
      </c>
      <c r="I755" s="48" t="s">
        <v>108</v>
      </c>
      <c r="J755" s="188" t="str">
        <f t="shared" si="15"/>
        <v/>
      </c>
      <c r="L755" s="48" t="s">
        <v>108</v>
      </c>
      <c r="O755" s="30" t="s">
        <v>89</v>
      </c>
      <c r="Q755" s="192"/>
      <c r="R755" s="161" t="str">
        <f>IFERROR(VLOOKUP(Q755,'PRODUCT TABLE'!$A$2:$B$26,2,FALSE),"-")</f>
        <v>-</v>
      </c>
      <c r="V755" s="161">
        <f t="shared" si="14"/>
        <v>0</v>
      </c>
      <c r="Y755" s="30"/>
      <c r="Z755" s="169">
        <f t="shared" si="2"/>
        <v>0</v>
      </c>
      <c r="AA755" s="167">
        <f t="shared" si="3"/>
        <v>0</v>
      </c>
      <c r="AB755" s="161"/>
      <c r="AC755" s="161">
        <f t="shared" si="4"/>
        <v>0</v>
      </c>
      <c r="AD755" s="161">
        <f t="shared" si="5"/>
        <v>0</v>
      </c>
      <c r="AE755" s="161">
        <f t="shared" si="6"/>
        <v>0</v>
      </c>
      <c r="AF755" s="167">
        <f t="shared" si="7"/>
        <v>0</v>
      </c>
      <c r="AG755" s="167">
        <f t="shared" si="8"/>
        <v>0</v>
      </c>
      <c r="AH755" s="158"/>
      <c r="AI755" s="158"/>
    </row>
    <row r="756" ht="12.75" customHeight="1">
      <c r="B756" s="160" t="str">
        <f>iferror(VLOOKUP((LEFT(A756,6)),CUSTOMER_DETAILS,2,FALSE),"-")</f>
        <v>-</v>
      </c>
      <c r="C756" s="161" t="s">
        <v>89</v>
      </c>
      <c r="D756" s="162"/>
      <c r="E756" s="161" t="s">
        <v>89</v>
      </c>
      <c r="F756" s="30" t="s">
        <v>89</v>
      </c>
      <c r="G756" s="30" t="s">
        <v>89</v>
      </c>
      <c r="H756" s="30" t="s">
        <v>89</v>
      </c>
      <c r="I756" s="48" t="s">
        <v>108</v>
      </c>
      <c r="J756" s="188" t="str">
        <f t="shared" si="15"/>
        <v/>
      </c>
      <c r="L756" s="48" t="s">
        <v>108</v>
      </c>
      <c r="O756" s="30" t="s">
        <v>89</v>
      </c>
      <c r="Q756" s="192"/>
      <c r="R756" s="161" t="str">
        <f>IFERROR(VLOOKUP(Q756,'PRODUCT TABLE'!$A$2:$B$26,2,FALSE),"-")</f>
        <v>-</v>
      </c>
      <c r="V756" s="161">
        <f t="shared" si="14"/>
        <v>0</v>
      </c>
      <c r="Y756" s="30"/>
      <c r="Z756" s="169">
        <f t="shared" si="2"/>
        <v>0</v>
      </c>
      <c r="AA756" s="167">
        <f t="shared" si="3"/>
        <v>0</v>
      </c>
      <c r="AB756" s="161"/>
      <c r="AC756" s="161">
        <f t="shared" si="4"/>
        <v>0</v>
      </c>
      <c r="AD756" s="161">
        <f t="shared" si="5"/>
        <v>0</v>
      </c>
      <c r="AE756" s="161">
        <f t="shared" si="6"/>
        <v>0</v>
      </c>
      <c r="AF756" s="167">
        <f t="shared" si="7"/>
        <v>0</v>
      </c>
      <c r="AG756" s="167">
        <f t="shared" si="8"/>
        <v>0</v>
      </c>
      <c r="AH756" s="158"/>
      <c r="AI756" s="158"/>
    </row>
    <row r="757" ht="12.75" customHeight="1">
      <c r="B757" s="160" t="str">
        <f>iferror(VLOOKUP((LEFT(A757,6)),CUSTOMER_DETAILS,2,FALSE),"-")</f>
        <v>-</v>
      </c>
      <c r="C757" s="161" t="s">
        <v>89</v>
      </c>
      <c r="D757" s="162"/>
      <c r="E757" s="161" t="s">
        <v>89</v>
      </c>
      <c r="F757" s="30" t="s">
        <v>89</v>
      </c>
      <c r="G757" s="30" t="s">
        <v>89</v>
      </c>
      <c r="H757" s="30" t="s">
        <v>89</v>
      </c>
      <c r="I757" s="48" t="s">
        <v>108</v>
      </c>
      <c r="J757" s="188" t="str">
        <f t="shared" si="15"/>
        <v/>
      </c>
      <c r="L757" s="48" t="s">
        <v>108</v>
      </c>
      <c r="O757" s="30" t="s">
        <v>89</v>
      </c>
      <c r="Q757" s="192"/>
      <c r="R757" s="161" t="str">
        <f>IFERROR(VLOOKUP(Q757,'PRODUCT TABLE'!$A$2:$B$26,2,FALSE),"-")</f>
        <v>-</v>
      </c>
      <c r="V757" s="161">
        <f t="shared" si="14"/>
        <v>0</v>
      </c>
      <c r="Y757" s="30"/>
      <c r="Z757" s="169">
        <f t="shared" si="2"/>
        <v>0</v>
      </c>
      <c r="AA757" s="167">
        <f t="shared" si="3"/>
        <v>0</v>
      </c>
      <c r="AB757" s="161"/>
      <c r="AC757" s="161">
        <f t="shared" si="4"/>
        <v>0</v>
      </c>
      <c r="AD757" s="161">
        <f t="shared" si="5"/>
        <v>0</v>
      </c>
      <c r="AE757" s="161">
        <f t="shared" si="6"/>
        <v>0</v>
      </c>
      <c r="AF757" s="167">
        <f t="shared" si="7"/>
        <v>0</v>
      </c>
      <c r="AG757" s="167">
        <f t="shared" si="8"/>
        <v>0</v>
      </c>
      <c r="AH757" s="158"/>
      <c r="AI757" s="158"/>
    </row>
    <row r="758" ht="12.75" customHeight="1">
      <c r="B758" s="160" t="str">
        <f>iferror(VLOOKUP((LEFT(A758,6)),CUSTOMER_DETAILS,2,FALSE),"-")</f>
        <v>-</v>
      </c>
      <c r="C758" s="161" t="s">
        <v>89</v>
      </c>
      <c r="D758" s="162"/>
      <c r="E758" s="161" t="s">
        <v>89</v>
      </c>
      <c r="F758" s="30" t="s">
        <v>89</v>
      </c>
      <c r="G758" s="30" t="s">
        <v>89</v>
      </c>
      <c r="H758" s="30" t="s">
        <v>89</v>
      </c>
      <c r="I758" s="48" t="s">
        <v>108</v>
      </c>
      <c r="J758" s="188" t="str">
        <f t="shared" si="15"/>
        <v/>
      </c>
      <c r="L758" s="48" t="s">
        <v>108</v>
      </c>
      <c r="O758" s="30" t="s">
        <v>89</v>
      </c>
      <c r="Q758" s="192"/>
      <c r="R758" s="161" t="str">
        <f>IFERROR(VLOOKUP(Q758,'PRODUCT TABLE'!$A$2:$B$26,2,FALSE),"-")</f>
        <v>-</v>
      </c>
      <c r="V758" s="161">
        <f t="shared" si="14"/>
        <v>0</v>
      </c>
      <c r="Y758" s="30"/>
      <c r="Z758" s="169">
        <f t="shared" si="2"/>
        <v>0</v>
      </c>
      <c r="AA758" s="167">
        <f t="shared" si="3"/>
        <v>0</v>
      </c>
      <c r="AB758" s="161"/>
      <c r="AC758" s="161">
        <f t="shared" si="4"/>
        <v>0</v>
      </c>
      <c r="AD758" s="161">
        <f t="shared" si="5"/>
        <v>0</v>
      </c>
      <c r="AE758" s="161">
        <f t="shared" si="6"/>
        <v>0</v>
      </c>
      <c r="AF758" s="167">
        <f t="shared" si="7"/>
        <v>0</v>
      </c>
      <c r="AG758" s="167">
        <f t="shared" si="8"/>
        <v>0</v>
      </c>
      <c r="AH758" s="158"/>
      <c r="AI758" s="158"/>
    </row>
    <row r="759" ht="12.75" customHeight="1">
      <c r="B759" s="160" t="str">
        <f>iferror(VLOOKUP((LEFT(A759,6)),CUSTOMER_DETAILS,2,FALSE),"-")</f>
        <v>-</v>
      </c>
      <c r="C759" s="161" t="s">
        <v>89</v>
      </c>
      <c r="D759" s="162"/>
      <c r="E759" s="161" t="s">
        <v>89</v>
      </c>
      <c r="F759" s="30" t="s">
        <v>89</v>
      </c>
      <c r="G759" s="30" t="s">
        <v>89</v>
      </c>
      <c r="H759" s="30" t="s">
        <v>89</v>
      </c>
      <c r="I759" s="48" t="s">
        <v>108</v>
      </c>
      <c r="J759" s="188" t="str">
        <f t="shared" si="15"/>
        <v/>
      </c>
      <c r="L759" s="48" t="s">
        <v>108</v>
      </c>
      <c r="O759" s="30" t="s">
        <v>89</v>
      </c>
      <c r="Q759" s="192"/>
      <c r="R759" s="161" t="str">
        <f>IFERROR(VLOOKUP(Q759,'PRODUCT TABLE'!$A$2:$B$26,2,FALSE),"-")</f>
        <v>-</v>
      </c>
      <c r="V759" s="161">
        <f t="shared" si="14"/>
        <v>0</v>
      </c>
      <c r="Y759" s="30"/>
      <c r="Z759" s="169">
        <f t="shared" si="2"/>
        <v>0</v>
      </c>
      <c r="AA759" s="167">
        <f t="shared" si="3"/>
        <v>0</v>
      </c>
      <c r="AB759" s="161"/>
      <c r="AC759" s="161">
        <f t="shared" si="4"/>
        <v>0</v>
      </c>
      <c r="AD759" s="161">
        <f t="shared" si="5"/>
        <v>0</v>
      </c>
      <c r="AE759" s="161">
        <f t="shared" si="6"/>
        <v>0</v>
      </c>
      <c r="AF759" s="167">
        <f t="shared" si="7"/>
        <v>0</v>
      </c>
      <c r="AG759" s="167">
        <f t="shared" si="8"/>
        <v>0</v>
      </c>
      <c r="AH759" s="158"/>
      <c r="AI759" s="158"/>
    </row>
    <row r="760" ht="12.75" customHeight="1">
      <c r="B760" s="160" t="str">
        <f>iferror(VLOOKUP((LEFT(A760,6)),CUSTOMER_DETAILS,2,FALSE),"-")</f>
        <v>-</v>
      </c>
      <c r="C760" s="161" t="s">
        <v>89</v>
      </c>
      <c r="D760" s="162"/>
      <c r="E760" s="161" t="s">
        <v>89</v>
      </c>
      <c r="F760" s="30" t="s">
        <v>89</v>
      </c>
      <c r="G760" s="30" t="s">
        <v>89</v>
      </c>
      <c r="H760" s="30" t="s">
        <v>89</v>
      </c>
      <c r="I760" s="48" t="s">
        <v>108</v>
      </c>
      <c r="J760" s="188" t="str">
        <f t="shared" si="15"/>
        <v/>
      </c>
      <c r="L760" s="48" t="s">
        <v>108</v>
      </c>
      <c r="O760" s="30" t="s">
        <v>89</v>
      </c>
      <c r="Q760" s="192"/>
      <c r="R760" s="161" t="str">
        <f>IFERROR(VLOOKUP(Q760,'PRODUCT TABLE'!$A$2:$B$26,2,FALSE),"-")</f>
        <v>-</v>
      </c>
      <c r="V760" s="161">
        <f t="shared" si="14"/>
        <v>0</v>
      </c>
      <c r="Y760" s="30"/>
      <c r="Z760" s="169">
        <f t="shared" si="2"/>
        <v>0</v>
      </c>
      <c r="AA760" s="167">
        <f t="shared" si="3"/>
        <v>0</v>
      </c>
      <c r="AB760" s="161"/>
      <c r="AC760" s="161">
        <f t="shared" si="4"/>
        <v>0</v>
      </c>
      <c r="AD760" s="161">
        <f t="shared" si="5"/>
        <v>0</v>
      </c>
      <c r="AE760" s="161">
        <f t="shared" si="6"/>
        <v>0</v>
      </c>
      <c r="AF760" s="167">
        <f t="shared" si="7"/>
        <v>0</v>
      </c>
      <c r="AG760" s="167">
        <f t="shared" si="8"/>
        <v>0</v>
      </c>
      <c r="AH760" s="158"/>
      <c r="AI760" s="158"/>
    </row>
    <row r="761" ht="12.75" customHeight="1">
      <c r="B761" s="160" t="str">
        <f>iferror(VLOOKUP((LEFT(A761,6)),CUSTOMER_DETAILS,2,FALSE),"-")</f>
        <v>-</v>
      </c>
      <c r="C761" s="161" t="s">
        <v>89</v>
      </c>
      <c r="D761" s="162"/>
      <c r="E761" s="161" t="s">
        <v>89</v>
      </c>
      <c r="F761" s="30" t="s">
        <v>89</v>
      </c>
      <c r="G761" s="30" t="s">
        <v>89</v>
      </c>
      <c r="H761" s="30" t="s">
        <v>89</v>
      </c>
      <c r="I761" s="48" t="s">
        <v>108</v>
      </c>
      <c r="J761" s="188" t="str">
        <f t="shared" si="15"/>
        <v/>
      </c>
      <c r="L761" s="48" t="s">
        <v>108</v>
      </c>
      <c r="O761" s="30" t="s">
        <v>89</v>
      </c>
      <c r="Q761" s="192"/>
      <c r="R761" s="161" t="str">
        <f>IFERROR(VLOOKUP(Q761,'PRODUCT TABLE'!$A$2:$B$26,2,FALSE),"-")</f>
        <v>-</v>
      </c>
      <c r="V761" s="161">
        <f t="shared" si="14"/>
        <v>0</v>
      </c>
      <c r="Y761" s="30"/>
      <c r="Z761" s="169">
        <f t="shared" si="2"/>
        <v>0</v>
      </c>
      <c r="AA761" s="167">
        <f t="shared" si="3"/>
        <v>0</v>
      </c>
      <c r="AB761" s="161"/>
      <c r="AC761" s="161">
        <f t="shared" si="4"/>
        <v>0</v>
      </c>
      <c r="AD761" s="161">
        <f t="shared" si="5"/>
        <v>0</v>
      </c>
      <c r="AE761" s="161">
        <f t="shared" si="6"/>
        <v>0</v>
      </c>
      <c r="AF761" s="167">
        <f t="shared" si="7"/>
        <v>0</v>
      </c>
      <c r="AG761" s="167">
        <f t="shared" si="8"/>
        <v>0</v>
      </c>
      <c r="AH761" s="158"/>
      <c r="AI761" s="158"/>
    </row>
    <row r="762" ht="12.75" customHeight="1">
      <c r="B762" s="160" t="str">
        <f>iferror(VLOOKUP((LEFT(A762,6)),CUSTOMER_DETAILS,2,FALSE),"-")</f>
        <v>-</v>
      </c>
      <c r="C762" s="161" t="s">
        <v>89</v>
      </c>
      <c r="D762" s="162"/>
      <c r="E762" s="161" t="s">
        <v>89</v>
      </c>
      <c r="F762" s="30" t="s">
        <v>89</v>
      </c>
      <c r="G762" s="30" t="s">
        <v>89</v>
      </c>
      <c r="H762" s="30" t="s">
        <v>89</v>
      </c>
      <c r="I762" s="48" t="s">
        <v>108</v>
      </c>
      <c r="J762" s="188" t="str">
        <f t="shared" si="15"/>
        <v/>
      </c>
      <c r="L762" s="48" t="s">
        <v>108</v>
      </c>
      <c r="O762" s="30" t="s">
        <v>89</v>
      </c>
      <c r="Q762" s="192"/>
      <c r="R762" s="161" t="str">
        <f>IFERROR(VLOOKUP(Q762,'PRODUCT TABLE'!$A$2:$B$26,2,FALSE),"-")</f>
        <v>-</v>
      </c>
      <c r="V762" s="161">
        <f t="shared" si="14"/>
        <v>0</v>
      </c>
      <c r="Y762" s="30"/>
      <c r="Z762" s="169">
        <f t="shared" si="2"/>
        <v>0</v>
      </c>
      <c r="AA762" s="167">
        <f t="shared" si="3"/>
        <v>0</v>
      </c>
      <c r="AB762" s="161"/>
      <c r="AC762" s="161">
        <f t="shared" si="4"/>
        <v>0</v>
      </c>
      <c r="AD762" s="161">
        <f t="shared" si="5"/>
        <v>0</v>
      </c>
      <c r="AE762" s="161">
        <f t="shared" si="6"/>
        <v>0</v>
      </c>
      <c r="AF762" s="167">
        <f t="shared" si="7"/>
        <v>0</v>
      </c>
      <c r="AG762" s="167">
        <f t="shared" si="8"/>
        <v>0</v>
      </c>
      <c r="AH762" s="158"/>
      <c r="AI762" s="158"/>
    </row>
    <row r="763" ht="12.75" customHeight="1">
      <c r="B763" s="160" t="str">
        <f>iferror(VLOOKUP((LEFT(A763,6)),CUSTOMER_DETAILS,2,FALSE),"-")</f>
        <v>-</v>
      </c>
      <c r="C763" s="161" t="s">
        <v>89</v>
      </c>
      <c r="D763" s="162"/>
      <c r="E763" s="161" t="s">
        <v>89</v>
      </c>
      <c r="F763" s="30" t="s">
        <v>89</v>
      </c>
      <c r="G763" s="30" t="s">
        <v>89</v>
      </c>
      <c r="H763" s="30" t="s">
        <v>89</v>
      </c>
      <c r="I763" s="48" t="s">
        <v>108</v>
      </c>
      <c r="J763" s="188" t="str">
        <f t="shared" si="15"/>
        <v/>
      </c>
      <c r="L763" s="48" t="s">
        <v>108</v>
      </c>
      <c r="O763" s="30" t="s">
        <v>89</v>
      </c>
      <c r="Q763" s="192"/>
      <c r="R763" s="161" t="str">
        <f>IFERROR(VLOOKUP(Q763,'PRODUCT TABLE'!$A$2:$B$26,2,FALSE),"-")</f>
        <v>-</v>
      </c>
      <c r="V763" s="161">
        <f t="shared" si="14"/>
        <v>0</v>
      </c>
      <c r="Y763" s="30"/>
      <c r="Z763" s="169">
        <f t="shared" si="2"/>
        <v>0</v>
      </c>
      <c r="AA763" s="167">
        <f t="shared" si="3"/>
        <v>0</v>
      </c>
      <c r="AB763" s="161"/>
      <c r="AC763" s="161">
        <f t="shared" si="4"/>
        <v>0</v>
      </c>
      <c r="AD763" s="161">
        <f t="shared" si="5"/>
        <v>0</v>
      </c>
      <c r="AE763" s="161">
        <f t="shared" si="6"/>
        <v>0</v>
      </c>
      <c r="AF763" s="167">
        <f t="shared" si="7"/>
        <v>0</v>
      </c>
      <c r="AG763" s="167">
        <f t="shared" si="8"/>
        <v>0</v>
      </c>
      <c r="AH763" s="158"/>
      <c r="AI763" s="158"/>
    </row>
    <row r="764" ht="12.75" customHeight="1">
      <c r="B764" s="160" t="str">
        <f>iferror(VLOOKUP((LEFT(A764,6)),CUSTOMER_DETAILS,2,FALSE),"-")</f>
        <v>-</v>
      </c>
      <c r="C764" s="161" t="s">
        <v>89</v>
      </c>
      <c r="D764" s="162"/>
      <c r="E764" s="161" t="s">
        <v>89</v>
      </c>
      <c r="F764" s="30" t="s">
        <v>89</v>
      </c>
      <c r="G764" s="30" t="s">
        <v>89</v>
      </c>
      <c r="H764" s="30" t="s">
        <v>89</v>
      </c>
      <c r="I764" s="48" t="s">
        <v>108</v>
      </c>
      <c r="J764" s="188" t="str">
        <f t="shared" si="15"/>
        <v/>
      </c>
      <c r="L764" s="48" t="s">
        <v>108</v>
      </c>
      <c r="O764" s="30" t="s">
        <v>89</v>
      </c>
      <c r="Q764" s="192"/>
      <c r="R764" s="161" t="str">
        <f>IFERROR(VLOOKUP(Q764,'PRODUCT TABLE'!$A$2:$B$26,2,FALSE),"-")</f>
        <v>-</v>
      </c>
      <c r="V764" s="161">
        <f t="shared" si="14"/>
        <v>0</v>
      </c>
      <c r="Y764" s="30"/>
      <c r="Z764" s="169">
        <f t="shared" si="2"/>
        <v>0</v>
      </c>
      <c r="AA764" s="167">
        <f t="shared" si="3"/>
        <v>0</v>
      </c>
      <c r="AB764" s="161"/>
      <c r="AC764" s="161">
        <f t="shared" si="4"/>
        <v>0</v>
      </c>
      <c r="AD764" s="161">
        <f t="shared" si="5"/>
        <v>0</v>
      </c>
      <c r="AE764" s="161">
        <f t="shared" si="6"/>
        <v>0</v>
      </c>
      <c r="AF764" s="167">
        <f t="shared" si="7"/>
        <v>0</v>
      </c>
      <c r="AG764" s="167">
        <f t="shared" si="8"/>
        <v>0</v>
      </c>
      <c r="AH764" s="158"/>
      <c r="AI764" s="158"/>
    </row>
    <row r="765" ht="12.75" customHeight="1">
      <c r="B765" s="160" t="str">
        <f>iferror(VLOOKUP((LEFT(A765,6)),CUSTOMER_DETAILS,2,FALSE),"-")</f>
        <v>-</v>
      </c>
      <c r="C765" s="161" t="s">
        <v>89</v>
      </c>
      <c r="D765" s="162"/>
      <c r="E765" s="161" t="s">
        <v>89</v>
      </c>
      <c r="F765" s="30" t="s">
        <v>89</v>
      </c>
      <c r="G765" s="30" t="s">
        <v>89</v>
      </c>
      <c r="H765" s="30" t="s">
        <v>89</v>
      </c>
      <c r="I765" s="48" t="s">
        <v>108</v>
      </c>
      <c r="J765" s="188" t="str">
        <f t="shared" si="15"/>
        <v/>
      </c>
      <c r="L765" s="48" t="s">
        <v>108</v>
      </c>
      <c r="O765" s="30" t="s">
        <v>89</v>
      </c>
      <c r="Q765" s="192"/>
      <c r="R765" s="161" t="str">
        <f>IFERROR(VLOOKUP(Q765,'PRODUCT TABLE'!$A$2:$B$26,2,FALSE),"-")</f>
        <v>-</v>
      </c>
      <c r="V765" s="161">
        <f t="shared" si="14"/>
        <v>0</v>
      </c>
      <c r="Y765" s="30"/>
      <c r="Z765" s="169">
        <f t="shared" si="2"/>
        <v>0</v>
      </c>
      <c r="AA765" s="167">
        <f t="shared" si="3"/>
        <v>0</v>
      </c>
      <c r="AB765" s="161"/>
      <c r="AC765" s="161">
        <f t="shared" si="4"/>
        <v>0</v>
      </c>
      <c r="AD765" s="161">
        <f t="shared" si="5"/>
        <v>0</v>
      </c>
      <c r="AE765" s="161">
        <f t="shared" si="6"/>
        <v>0</v>
      </c>
      <c r="AF765" s="167">
        <f t="shared" si="7"/>
        <v>0</v>
      </c>
      <c r="AG765" s="167">
        <f t="shared" si="8"/>
        <v>0</v>
      </c>
      <c r="AH765" s="158"/>
      <c r="AI765" s="158"/>
    </row>
    <row r="766" ht="12.75" customHeight="1">
      <c r="B766" s="160" t="str">
        <f>iferror(VLOOKUP((LEFT(A766,6)),CUSTOMER_DETAILS,2,FALSE),"-")</f>
        <v>-</v>
      </c>
      <c r="C766" s="161" t="s">
        <v>89</v>
      </c>
      <c r="D766" s="162"/>
      <c r="E766" s="161" t="s">
        <v>89</v>
      </c>
      <c r="F766" s="30" t="s">
        <v>89</v>
      </c>
      <c r="G766" s="30" t="s">
        <v>89</v>
      </c>
      <c r="H766" s="30" t="s">
        <v>89</v>
      </c>
      <c r="I766" s="48" t="s">
        <v>108</v>
      </c>
      <c r="J766" s="188" t="str">
        <f t="shared" si="15"/>
        <v/>
      </c>
      <c r="L766" s="48" t="s">
        <v>108</v>
      </c>
      <c r="O766" s="30" t="s">
        <v>89</v>
      </c>
      <c r="Q766" s="192"/>
      <c r="R766" s="161" t="str">
        <f>IFERROR(VLOOKUP(Q766,'PRODUCT TABLE'!$A$2:$B$26,2,FALSE),"-")</f>
        <v>-</v>
      </c>
      <c r="V766" s="161">
        <f t="shared" si="14"/>
        <v>0</v>
      </c>
      <c r="Y766" s="30"/>
      <c r="Z766" s="169">
        <f t="shared" si="2"/>
        <v>0</v>
      </c>
      <c r="AA766" s="167">
        <f t="shared" si="3"/>
        <v>0</v>
      </c>
      <c r="AB766" s="161"/>
      <c r="AC766" s="161">
        <f t="shared" si="4"/>
        <v>0</v>
      </c>
      <c r="AD766" s="161">
        <f t="shared" si="5"/>
        <v>0</v>
      </c>
      <c r="AE766" s="161">
        <f t="shared" si="6"/>
        <v>0</v>
      </c>
      <c r="AF766" s="167">
        <f t="shared" si="7"/>
        <v>0</v>
      </c>
      <c r="AG766" s="167">
        <f t="shared" si="8"/>
        <v>0</v>
      </c>
      <c r="AH766" s="158"/>
      <c r="AI766" s="158"/>
    </row>
    <row r="767" ht="12.75" customHeight="1">
      <c r="B767" s="160" t="str">
        <f>iferror(VLOOKUP((LEFT(A767,6)),CUSTOMER_DETAILS,2,FALSE),"-")</f>
        <v>-</v>
      </c>
      <c r="C767" s="161" t="s">
        <v>89</v>
      </c>
      <c r="D767" s="162"/>
      <c r="E767" s="161" t="s">
        <v>89</v>
      </c>
      <c r="F767" s="30" t="s">
        <v>89</v>
      </c>
      <c r="G767" s="30" t="s">
        <v>89</v>
      </c>
      <c r="H767" s="30" t="s">
        <v>89</v>
      </c>
      <c r="I767" s="48" t="s">
        <v>108</v>
      </c>
      <c r="J767" s="188" t="str">
        <f t="shared" si="15"/>
        <v/>
      </c>
      <c r="L767" s="48" t="s">
        <v>108</v>
      </c>
      <c r="O767" s="30" t="s">
        <v>89</v>
      </c>
      <c r="Q767" s="192"/>
      <c r="R767" s="161" t="str">
        <f>IFERROR(VLOOKUP(Q767,'PRODUCT TABLE'!$A$2:$B$26,2,FALSE),"-")</f>
        <v>-</v>
      </c>
      <c r="V767" s="161">
        <f t="shared" si="14"/>
        <v>0</v>
      </c>
      <c r="Y767" s="30"/>
      <c r="Z767" s="169">
        <f t="shared" si="2"/>
        <v>0</v>
      </c>
      <c r="AA767" s="167">
        <f t="shared" si="3"/>
        <v>0</v>
      </c>
      <c r="AB767" s="161"/>
      <c r="AC767" s="161">
        <f t="shared" si="4"/>
        <v>0</v>
      </c>
      <c r="AD767" s="161">
        <f t="shared" si="5"/>
        <v>0</v>
      </c>
      <c r="AE767" s="161">
        <f t="shared" si="6"/>
        <v>0</v>
      </c>
      <c r="AF767" s="167">
        <f t="shared" si="7"/>
        <v>0</v>
      </c>
      <c r="AG767" s="167">
        <f t="shared" si="8"/>
        <v>0</v>
      </c>
      <c r="AH767" s="158"/>
      <c r="AI767" s="158"/>
    </row>
    <row r="768" ht="12.75" customHeight="1">
      <c r="B768" s="160" t="str">
        <f>iferror(VLOOKUP((LEFT(A768,6)),CUSTOMER_DETAILS,2,FALSE),"-")</f>
        <v>-</v>
      </c>
      <c r="C768" s="161" t="s">
        <v>89</v>
      </c>
      <c r="D768" s="162"/>
      <c r="E768" s="161" t="s">
        <v>89</v>
      </c>
      <c r="F768" s="30" t="s">
        <v>89</v>
      </c>
      <c r="G768" s="30" t="s">
        <v>89</v>
      </c>
      <c r="H768" s="30" t="s">
        <v>89</v>
      </c>
      <c r="I768" s="48" t="s">
        <v>108</v>
      </c>
      <c r="J768" s="188" t="str">
        <f t="shared" si="15"/>
        <v/>
      </c>
      <c r="L768" s="48" t="s">
        <v>108</v>
      </c>
      <c r="O768" s="30" t="s">
        <v>89</v>
      </c>
      <c r="Q768" s="192"/>
      <c r="R768" s="161" t="str">
        <f>IFERROR(VLOOKUP(Q768,'PRODUCT TABLE'!$A$2:$B$26,2,FALSE),"-")</f>
        <v>-</v>
      </c>
      <c r="V768" s="161">
        <f t="shared" si="14"/>
        <v>0</v>
      </c>
      <c r="Y768" s="30"/>
      <c r="Z768" s="169">
        <f t="shared" si="2"/>
        <v>0</v>
      </c>
      <c r="AA768" s="167">
        <f t="shared" si="3"/>
        <v>0</v>
      </c>
      <c r="AB768" s="161"/>
      <c r="AC768" s="161">
        <f t="shared" si="4"/>
        <v>0</v>
      </c>
      <c r="AD768" s="161">
        <f t="shared" si="5"/>
        <v>0</v>
      </c>
      <c r="AE768" s="161">
        <f t="shared" si="6"/>
        <v>0</v>
      </c>
      <c r="AF768" s="167">
        <f t="shared" si="7"/>
        <v>0</v>
      </c>
      <c r="AG768" s="167">
        <f t="shared" si="8"/>
        <v>0</v>
      </c>
      <c r="AH768" s="158"/>
      <c r="AI768" s="158"/>
    </row>
    <row r="769" ht="12.75" customHeight="1">
      <c r="B769" s="160" t="str">
        <f>iferror(VLOOKUP((LEFT(A769,6)),CUSTOMER_DETAILS,2,FALSE),"-")</f>
        <v>-</v>
      </c>
      <c r="C769" s="161" t="s">
        <v>89</v>
      </c>
      <c r="D769" s="162"/>
      <c r="E769" s="161" t="s">
        <v>89</v>
      </c>
      <c r="F769" s="30" t="s">
        <v>89</v>
      </c>
      <c r="G769" s="30" t="s">
        <v>89</v>
      </c>
      <c r="H769" s="30" t="s">
        <v>89</v>
      </c>
      <c r="I769" s="48" t="s">
        <v>108</v>
      </c>
      <c r="J769" s="188" t="str">
        <f t="shared" si="15"/>
        <v/>
      </c>
      <c r="L769" s="48" t="s">
        <v>108</v>
      </c>
      <c r="O769" s="30" t="s">
        <v>89</v>
      </c>
      <c r="Q769" s="192"/>
      <c r="R769" s="161" t="str">
        <f>IFERROR(VLOOKUP(Q769,'PRODUCT TABLE'!$A$2:$B$26,2,FALSE),"-")</f>
        <v>-</v>
      </c>
      <c r="V769" s="161">
        <f t="shared" si="14"/>
        <v>0</v>
      </c>
      <c r="Y769" s="30"/>
      <c r="Z769" s="169">
        <f t="shared" si="2"/>
        <v>0</v>
      </c>
      <c r="AA769" s="167">
        <f t="shared" si="3"/>
        <v>0</v>
      </c>
      <c r="AB769" s="161"/>
      <c r="AC769" s="161">
        <f t="shared" si="4"/>
        <v>0</v>
      </c>
      <c r="AD769" s="161">
        <f t="shared" si="5"/>
        <v>0</v>
      </c>
      <c r="AE769" s="161">
        <f t="shared" si="6"/>
        <v>0</v>
      </c>
      <c r="AF769" s="167">
        <f t="shared" si="7"/>
        <v>0</v>
      </c>
      <c r="AG769" s="167">
        <f t="shared" si="8"/>
        <v>0</v>
      </c>
      <c r="AH769" s="158"/>
      <c r="AI769" s="158"/>
    </row>
    <row r="770" ht="12.75" customHeight="1">
      <c r="B770" s="160" t="str">
        <f>iferror(VLOOKUP((LEFT(A770,6)),CUSTOMER_DETAILS,2,FALSE),"-")</f>
        <v>-</v>
      </c>
      <c r="C770" s="161" t="s">
        <v>89</v>
      </c>
      <c r="D770" s="162"/>
      <c r="E770" s="161" t="s">
        <v>89</v>
      </c>
      <c r="F770" s="30" t="s">
        <v>89</v>
      </c>
      <c r="G770" s="30" t="s">
        <v>89</v>
      </c>
      <c r="H770" s="30" t="s">
        <v>89</v>
      </c>
      <c r="I770" s="48" t="s">
        <v>108</v>
      </c>
      <c r="J770" s="188" t="str">
        <f t="shared" si="15"/>
        <v/>
      </c>
      <c r="L770" s="48" t="s">
        <v>108</v>
      </c>
      <c r="O770" s="30" t="s">
        <v>89</v>
      </c>
      <c r="Q770" s="192"/>
      <c r="R770" s="161" t="str">
        <f>IFERROR(VLOOKUP(Q770,'PRODUCT TABLE'!$A$2:$B$26,2,FALSE),"-")</f>
        <v>-</v>
      </c>
      <c r="V770" s="161">
        <f t="shared" si="14"/>
        <v>0</v>
      </c>
      <c r="Y770" s="30"/>
      <c r="Z770" s="169">
        <f t="shared" si="2"/>
        <v>0</v>
      </c>
      <c r="AA770" s="167">
        <f t="shared" si="3"/>
        <v>0</v>
      </c>
      <c r="AB770" s="161"/>
      <c r="AC770" s="161">
        <f t="shared" si="4"/>
        <v>0</v>
      </c>
      <c r="AD770" s="161">
        <f t="shared" si="5"/>
        <v>0</v>
      </c>
      <c r="AE770" s="161">
        <f t="shared" si="6"/>
        <v>0</v>
      </c>
      <c r="AF770" s="167">
        <f t="shared" si="7"/>
        <v>0</v>
      </c>
      <c r="AG770" s="167">
        <f t="shared" si="8"/>
        <v>0</v>
      </c>
      <c r="AH770" s="158"/>
      <c r="AI770" s="158"/>
    </row>
    <row r="771" ht="12.75" customHeight="1">
      <c r="B771" s="160" t="str">
        <f>iferror(VLOOKUP((LEFT(A771,6)),CUSTOMER_DETAILS,2,FALSE),"-")</f>
        <v>-</v>
      </c>
      <c r="C771" s="161" t="s">
        <v>89</v>
      </c>
      <c r="D771" s="162"/>
      <c r="E771" s="161" t="s">
        <v>89</v>
      </c>
      <c r="F771" s="30" t="s">
        <v>89</v>
      </c>
      <c r="G771" s="30" t="s">
        <v>89</v>
      </c>
      <c r="H771" s="30" t="s">
        <v>89</v>
      </c>
      <c r="I771" s="48" t="s">
        <v>108</v>
      </c>
      <c r="J771" s="188" t="str">
        <f t="shared" si="15"/>
        <v/>
      </c>
      <c r="L771" s="48" t="s">
        <v>108</v>
      </c>
      <c r="O771" s="30" t="s">
        <v>89</v>
      </c>
      <c r="Q771" s="192"/>
      <c r="R771" s="161" t="str">
        <f>IFERROR(VLOOKUP(Q771,'PRODUCT TABLE'!$A$2:$B$26,2,FALSE),"-")</f>
        <v>-</v>
      </c>
      <c r="V771" s="161">
        <f t="shared" si="14"/>
        <v>0</v>
      </c>
      <c r="Y771" s="30"/>
      <c r="Z771" s="169">
        <f t="shared" si="2"/>
        <v>0</v>
      </c>
      <c r="AA771" s="167">
        <f t="shared" si="3"/>
        <v>0</v>
      </c>
      <c r="AB771" s="161"/>
      <c r="AC771" s="161">
        <f t="shared" si="4"/>
        <v>0</v>
      </c>
      <c r="AD771" s="161">
        <f t="shared" si="5"/>
        <v>0</v>
      </c>
      <c r="AE771" s="161">
        <f t="shared" si="6"/>
        <v>0</v>
      </c>
      <c r="AF771" s="167">
        <f t="shared" si="7"/>
        <v>0</v>
      </c>
      <c r="AG771" s="167">
        <f t="shared" si="8"/>
        <v>0</v>
      </c>
      <c r="AH771" s="158"/>
      <c r="AI771" s="158"/>
    </row>
    <row r="772" ht="12.75" customHeight="1">
      <c r="B772" s="160" t="str">
        <f>iferror(VLOOKUP((LEFT(A772,6)),CUSTOMER_DETAILS,2,FALSE),"-")</f>
        <v>-</v>
      </c>
      <c r="C772" s="161" t="s">
        <v>89</v>
      </c>
      <c r="D772" s="162"/>
      <c r="E772" s="161" t="s">
        <v>89</v>
      </c>
      <c r="F772" s="30" t="s">
        <v>89</v>
      </c>
      <c r="G772" s="30" t="s">
        <v>89</v>
      </c>
      <c r="H772" s="30" t="s">
        <v>89</v>
      </c>
      <c r="I772" s="48" t="s">
        <v>108</v>
      </c>
      <c r="J772" s="188" t="str">
        <f t="shared" si="15"/>
        <v/>
      </c>
      <c r="L772" s="48" t="s">
        <v>108</v>
      </c>
      <c r="O772" s="30" t="s">
        <v>89</v>
      </c>
      <c r="Q772" s="192"/>
      <c r="R772" s="161" t="str">
        <f>IFERROR(VLOOKUP(Q772,'PRODUCT TABLE'!$A$2:$B$26,2,FALSE),"-")</f>
        <v>-</v>
      </c>
      <c r="V772" s="161">
        <f t="shared" si="14"/>
        <v>0</v>
      </c>
      <c r="Y772" s="30"/>
      <c r="Z772" s="169">
        <f t="shared" si="2"/>
        <v>0</v>
      </c>
      <c r="AA772" s="167">
        <f t="shared" si="3"/>
        <v>0</v>
      </c>
      <c r="AB772" s="161"/>
      <c r="AC772" s="161">
        <f t="shared" si="4"/>
        <v>0</v>
      </c>
      <c r="AD772" s="161">
        <f t="shared" si="5"/>
        <v>0</v>
      </c>
      <c r="AE772" s="161">
        <f t="shared" si="6"/>
        <v>0</v>
      </c>
      <c r="AF772" s="167">
        <f t="shared" si="7"/>
        <v>0</v>
      </c>
      <c r="AG772" s="167">
        <f t="shared" si="8"/>
        <v>0</v>
      </c>
      <c r="AH772" s="158"/>
      <c r="AI772" s="158"/>
    </row>
    <row r="773" ht="12.75" customHeight="1">
      <c r="B773" s="160" t="str">
        <f>iferror(VLOOKUP((LEFT(A773,6)),CUSTOMER_DETAILS,2,FALSE),"-")</f>
        <v>-</v>
      </c>
      <c r="C773" s="161" t="s">
        <v>89</v>
      </c>
      <c r="D773" s="162"/>
      <c r="E773" s="161" t="s">
        <v>89</v>
      </c>
      <c r="F773" s="30" t="s">
        <v>89</v>
      </c>
      <c r="G773" s="30" t="s">
        <v>89</v>
      </c>
      <c r="H773" s="30" t="s">
        <v>89</v>
      </c>
      <c r="I773" s="48" t="s">
        <v>108</v>
      </c>
      <c r="J773" s="188" t="str">
        <f t="shared" si="15"/>
        <v/>
      </c>
      <c r="L773" s="48" t="s">
        <v>108</v>
      </c>
      <c r="O773" s="30" t="s">
        <v>89</v>
      </c>
      <c r="Q773" s="192"/>
      <c r="R773" s="161" t="str">
        <f>IFERROR(VLOOKUP(Q773,'PRODUCT TABLE'!$A$2:$B$26,2,FALSE),"-")</f>
        <v>-</v>
      </c>
      <c r="V773" s="161">
        <f t="shared" si="14"/>
        <v>0</v>
      </c>
      <c r="Y773" s="30"/>
      <c r="Z773" s="169">
        <f t="shared" si="2"/>
        <v>0</v>
      </c>
      <c r="AA773" s="167">
        <f t="shared" si="3"/>
        <v>0</v>
      </c>
      <c r="AB773" s="161"/>
      <c r="AC773" s="161">
        <f t="shared" si="4"/>
        <v>0</v>
      </c>
      <c r="AD773" s="161">
        <f t="shared" si="5"/>
        <v>0</v>
      </c>
      <c r="AE773" s="161">
        <f t="shared" si="6"/>
        <v>0</v>
      </c>
      <c r="AF773" s="167">
        <f t="shared" si="7"/>
        <v>0</v>
      </c>
      <c r="AG773" s="167">
        <f t="shared" si="8"/>
        <v>0</v>
      </c>
      <c r="AH773" s="158"/>
      <c r="AI773" s="158"/>
    </row>
    <row r="774" ht="12.75" customHeight="1">
      <c r="B774" s="160" t="str">
        <f>iferror(VLOOKUP((LEFT(A774,6)),CUSTOMER_DETAILS,2,FALSE),"-")</f>
        <v>-</v>
      </c>
      <c r="C774" s="161" t="s">
        <v>89</v>
      </c>
      <c r="D774" s="162"/>
      <c r="E774" s="161" t="s">
        <v>89</v>
      </c>
      <c r="F774" s="30" t="s">
        <v>89</v>
      </c>
      <c r="G774" s="30" t="s">
        <v>89</v>
      </c>
      <c r="H774" s="30" t="s">
        <v>89</v>
      </c>
      <c r="I774" s="48" t="s">
        <v>108</v>
      </c>
      <c r="J774" s="188" t="str">
        <f t="shared" si="15"/>
        <v/>
      </c>
      <c r="L774" s="48" t="s">
        <v>108</v>
      </c>
      <c r="O774" s="30" t="s">
        <v>89</v>
      </c>
      <c r="Q774" s="192"/>
      <c r="R774" s="161" t="str">
        <f>IFERROR(VLOOKUP(Q774,'PRODUCT TABLE'!$A$2:$B$26,2,FALSE),"-")</f>
        <v>-</v>
      </c>
      <c r="V774" s="161">
        <f t="shared" si="14"/>
        <v>0</v>
      </c>
      <c r="Y774" s="30"/>
      <c r="Z774" s="169">
        <f t="shared" si="2"/>
        <v>0</v>
      </c>
      <c r="AA774" s="167">
        <f t="shared" si="3"/>
        <v>0</v>
      </c>
      <c r="AB774" s="161"/>
      <c r="AC774" s="161">
        <f t="shared" si="4"/>
        <v>0</v>
      </c>
      <c r="AD774" s="161">
        <f t="shared" si="5"/>
        <v>0</v>
      </c>
      <c r="AE774" s="161">
        <f t="shared" si="6"/>
        <v>0</v>
      </c>
      <c r="AF774" s="167">
        <f t="shared" si="7"/>
        <v>0</v>
      </c>
      <c r="AG774" s="167">
        <f t="shared" si="8"/>
        <v>0</v>
      </c>
      <c r="AH774" s="158"/>
      <c r="AI774" s="158"/>
    </row>
    <row r="775" ht="12.75" customHeight="1">
      <c r="B775" s="160" t="str">
        <f>iferror(VLOOKUP((LEFT(A775,6)),CUSTOMER_DETAILS,2,FALSE),"-")</f>
        <v>-</v>
      </c>
      <c r="C775" s="161" t="s">
        <v>89</v>
      </c>
      <c r="D775" s="162"/>
      <c r="E775" s="161" t="s">
        <v>89</v>
      </c>
      <c r="F775" s="30" t="s">
        <v>89</v>
      </c>
      <c r="G775" s="30" t="s">
        <v>89</v>
      </c>
      <c r="H775" s="30" t="s">
        <v>89</v>
      </c>
      <c r="I775" s="48" t="s">
        <v>108</v>
      </c>
      <c r="J775" s="188" t="str">
        <f t="shared" si="15"/>
        <v/>
      </c>
      <c r="L775" s="48" t="s">
        <v>108</v>
      </c>
      <c r="O775" s="30" t="s">
        <v>89</v>
      </c>
      <c r="Q775" s="192"/>
      <c r="R775" s="161" t="str">
        <f>IFERROR(VLOOKUP(Q775,'PRODUCT TABLE'!$A$2:$B$26,2,FALSE),"-")</f>
        <v>-</v>
      </c>
      <c r="V775" s="161">
        <f t="shared" si="14"/>
        <v>0</v>
      </c>
      <c r="Y775" s="30"/>
      <c r="Z775" s="169">
        <f t="shared" si="2"/>
        <v>0</v>
      </c>
      <c r="AA775" s="167">
        <f t="shared" si="3"/>
        <v>0</v>
      </c>
      <c r="AB775" s="161"/>
      <c r="AC775" s="161">
        <f t="shared" si="4"/>
        <v>0</v>
      </c>
      <c r="AD775" s="161">
        <f t="shared" si="5"/>
        <v>0</v>
      </c>
      <c r="AE775" s="161">
        <f t="shared" si="6"/>
        <v>0</v>
      </c>
      <c r="AF775" s="167">
        <f t="shared" si="7"/>
        <v>0</v>
      </c>
      <c r="AG775" s="167">
        <f t="shared" si="8"/>
        <v>0</v>
      </c>
      <c r="AH775" s="158"/>
      <c r="AI775" s="158"/>
    </row>
    <row r="776" ht="12.75" customHeight="1">
      <c r="B776" s="160" t="str">
        <f>iferror(VLOOKUP((LEFT(A776,6)),CUSTOMER_DETAILS,2,FALSE),"-")</f>
        <v>-</v>
      </c>
      <c r="C776" s="161" t="s">
        <v>89</v>
      </c>
      <c r="D776" s="162"/>
      <c r="E776" s="161" t="s">
        <v>89</v>
      </c>
      <c r="F776" s="30" t="s">
        <v>89</v>
      </c>
      <c r="G776" s="30" t="s">
        <v>89</v>
      </c>
      <c r="H776" s="30" t="s">
        <v>89</v>
      </c>
      <c r="I776" s="48" t="s">
        <v>108</v>
      </c>
      <c r="J776" s="188" t="str">
        <f t="shared" si="15"/>
        <v/>
      </c>
      <c r="L776" s="48" t="s">
        <v>108</v>
      </c>
      <c r="O776" s="30" t="s">
        <v>89</v>
      </c>
      <c r="Q776" s="192"/>
      <c r="R776" s="161" t="str">
        <f>IFERROR(VLOOKUP(Q776,'PRODUCT TABLE'!$A$2:$B$26,2,FALSE),"-")</f>
        <v>-</v>
      </c>
      <c r="V776" s="161">
        <f t="shared" si="14"/>
        <v>0</v>
      </c>
      <c r="Y776" s="30"/>
      <c r="Z776" s="169">
        <f t="shared" si="2"/>
        <v>0</v>
      </c>
      <c r="AA776" s="167">
        <f t="shared" si="3"/>
        <v>0</v>
      </c>
      <c r="AB776" s="161"/>
      <c r="AC776" s="161">
        <f t="shared" si="4"/>
        <v>0</v>
      </c>
      <c r="AD776" s="161">
        <f t="shared" si="5"/>
        <v>0</v>
      </c>
      <c r="AE776" s="161">
        <f t="shared" si="6"/>
        <v>0</v>
      </c>
      <c r="AF776" s="167">
        <f t="shared" si="7"/>
        <v>0</v>
      </c>
      <c r="AG776" s="167">
        <f t="shared" si="8"/>
        <v>0</v>
      </c>
      <c r="AH776" s="158"/>
      <c r="AI776" s="158"/>
    </row>
    <row r="777" ht="12.75" customHeight="1">
      <c r="B777" s="160" t="str">
        <f>iferror(VLOOKUP((LEFT(A777,6)),CUSTOMER_DETAILS,2,FALSE),"-")</f>
        <v>-</v>
      </c>
      <c r="C777" s="161" t="s">
        <v>89</v>
      </c>
      <c r="D777" s="162"/>
      <c r="E777" s="161" t="s">
        <v>89</v>
      </c>
      <c r="F777" s="30" t="s">
        <v>89</v>
      </c>
      <c r="G777" s="30" t="s">
        <v>89</v>
      </c>
      <c r="H777" s="30" t="s">
        <v>89</v>
      </c>
      <c r="I777" s="48" t="s">
        <v>108</v>
      </c>
      <c r="J777" s="188" t="str">
        <f t="shared" si="15"/>
        <v/>
      </c>
      <c r="L777" s="48" t="s">
        <v>108</v>
      </c>
      <c r="O777" s="30" t="s">
        <v>89</v>
      </c>
      <c r="Q777" s="192"/>
      <c r="R777" s="161" t="str">
        <f>IFERROR(VLOOKUP(Q777,'PRODUCT TABLE'!$A$2:$B$26,2,FALSE),"-")</f>
        <v>-</v>
      </c>
      <c r="V777" s="161">
        <f t="shared" si="14"/>
        <v>0</v>
      </c>
      <c r="Y777" s="30"/>
      <c r="Z777" s="169">
        <f t="shared" si="2"/>
        <v>0</v>
      </c>
      <c r="AA777" s="167">
        <f t="shared" si="3"/>
        <v>0</v>
      </c>
      <c r="AB777" s="161"/>
      <c r="AC777" s="161">
        <f t="shared" si="4"/>
        <v>0</v>
      </c>
      <c r="AD777" s="161">
        <f t="shared" si="5"/>
        <v>0</v>
      </c>
      <c r="AE777" s="161">
        <f t="shared" si="6"/>
        <v>0</v>
      </c>
      <c r="AF777" s="167">
        <f t="shared" si="7"/>
        <v>0</v>
      </c>
      <c r="AG777" s="167">
        <f t="shared" si="8"/>
        <v>0</v>
      </c>
      <c r="AH777" s="158"/>
      <c r="AI777" s="158"/>
    </row>
    <row r="778" ht="12.75" customHeight="1">
      <c r="B778" s="160" t="str">
        <f>iferror(VLOOKUP((LEFT(A778,6)),CUSTOMER_DETAILS,2,FALSE),"-")</f>
        <v>-</v>
      </c>
      <c r="C778" s="161" t="s">
        <v>89</v>
      </c>
      <c r="D778" s="162"/>
      <c r="E778" s="161" t="s">
        <v>89</v>
      </c>
      <c r="F778" s="30" t="s">
        <v>89</v>
      </c>
      <c r="G778" s="30" t="s">
        <v>89</v>
      </c>
      <c r="H778" s="30" t="s">
        <v>89</v>
      </c>
      <c r="I778" s="48" t="s">
        <v>108</v>
      </c>
      <c r="J778" s="188" t="str">
        <f t="shared" si="15"/>
        <v/>
      </c>
      <c r="L778" s="48" t="s">
        <v>108</v>
      </c>
      <c r="O778" s="30" t="s">
        <v>89</v>
      </c>
      <c r="Q778" s="192"/>
      <c r="R778" s="161" t="str">
        <f>IFERROR(VLOOKUP(Q778,'PRODUCT TABLE'!$A$2:$B$26,2,FALSE),"-")</f>
        <v>-</v>
      </c>
      <c r="V778" s="161">
        <f t="shared" si="14"/>
        <v>0</v>
      </c>
      <c r="Y778" s="30"/>
      <c r="Z778" s="169">
        <f t="shared" si="2"/>
        <v>0</v>
      </c>
      <c r="AA778" s="167">
        <f t="shared" si="3"/>
        <v>0</v>
      </c>
      <c r="AB778" s="161"/>
      <c r="AC778" s="161">
        <f t="shared" si="4"/>
        <v>0</v>
      </c>
      <c r="AD778" s="161">
        <f t="shared" si="5"/>
        <v>0</v>
      </c>
      <c r="AE778" s="161">
        <f t="shared" si="6"/>
        <v>0</v>
      </c>
      <c r="AF778" s="167">
        <f t="shared" si="7"/>
        <v>0</v>
      </c>
      <c r="AG778" s="167">
        <f t="shared" si="8"/>
        <v>0</v>
      </c>
      <c r="AH778" s="158"/>
      <c r="AI778" s="158"/>
    </row>
    <row r="779" ht="12.75" customHeight="1">
      <c r="B779" s="160" t="str">
        <f>iferror(VLOOKUP((LEFT(A779,6)),CUSTOMER_DETAILS,2,FALSE),"-")</f>
        <v>-</v>
      </c>
      <c r="C779" s="161" t="s">
        <v>89</v>
      </c>
      <c r="D779" s="162"/>
      <c r="E779" s="161" t="s">
        <v>89</v>
      </c>
      <c r="F779" s="30" t="s">
        <v>89</v>
      </c>
      <c r="G779" s="30" t="s">
        <v>89</v>
      </c>
      <c r="H779" s="30" t="s">
        <v>89</v>
      </c>
      <c r="I779" s="48" t="s">
        <v>108</v>
      </c>
      <c r="J779" s="188" t="str">
        <f t="shared" si="15"/>
        <v/>
      </c>
      <c r="L779" s="48" t="s">
        <v>108</v>
      </c>
      <c r="O779" s="30" t="s">
        <v>89</v>
      </c>
      <c r="Q779" s="192"/>
      <c r="R779" s="161" t="str">
        <f>IFERROR(VLOOKUP(Q779,'PRODUCT TABLE'!$A$2:$B$26,2,FALSE),"-")</f>
        <v>-</v>
      </c>
      <c r="V779" s="161">
        <f t="shared" si="14"/>
        <v>0</v>
      </c>
      <c r="Y779" s="30"/>
      <c r="Z779" s="169">
        <f t="shared" si="2"/>
        <v>0</v>
      </c>
      <c r="AA779" s="167">
        <f t="shared" si="3"/>
        <v>0</v>
      </c>
      <c r="AB779" s="161"/>
      <c r="AC779" s="161">
        <f t="shared" si="4"/>
        <v>0</v>
      </c>
      <c r="AD779" s="161">
        <f t="shared" si="5"/>
        <v>0</v>
      </c>
      <c r="AE779" s="161">
        <f t="shared" si="6"/>
        <v>0</v>
      </c>
      <c r="AF779" s="167">
        <f t="shared" si="7"/>
        <v>0</v>
      </c>
      <c r="AG779" s="167">
        <f t="shared" si="8"/>
        <v>0</v>
      </c>
      <c r="AH779" s="158"/>
      <c r="AI779" s="158"/>
    </row>
    <row r="780" ht="12.75" customHeight="1">
      <c r="B780" s="160" t="str">
        <f>iferror(VLOOKUP((LEFT(A780,6)),CUSTOMER_DETAILS,2,FALSE),"-")</f>
        <v>-</v>
      </c>
      <c r="C780" s="161" t="s">
        <v>89</v>
      </c>
      <c r="D780" s="162"/>
      <c r="E780" s="161" t="s">
        <v>89</v>
      </c>
      <c r="F780" s="30" t="s">
        <v>89</v>
      </c>
      <c r="G780" s="30" t="s">
        <v>89</v>
      </c>
      <c r="H780" s="30" t="s">
        <v>89</v>
      </c>
      <c r="I780" s="48" t="s">
        <v>108</v>
      </c>
      <c r="J780" s="188" t="str">
        <f t="shared" si="15"/>
        <v/>
      </c>
      <c r="L780" s="48" t="s">
        <v>108</v>
      </c>
      <c r="O780" s="30" t="s">
        <v>89</v>
      </c>
      <c r="Q780" s="192"/>
      <c r="R780" s="161" t="str">
        <f>IFERROR(VLOOKUP(Q780,'PRODUCT TABLE'!$A$2:$B$26,2,FALSE),"-")</f>
        <v>-</v>
      </c>
      <c r="V780" s="161">
        <f t="shared" si="14"/>
        <v>0</v>
      </c>
      <c r="Y780" s="30"/>
      <c r="Z780" s="169">
        <f t="shared" si="2"/>
        <v>0</v>
      </c>
      <c r="AA780" s="167">
        <f t="shared" si="3"/>
        <v>0</v>
      </c>
      <c r="AB780" s="161"/>
      <c r="AC780" s="161">
        <f t="shared" si="4"/>
        <v>0</v>
      </c>
      <c r="AD780" s="161">
        <f t="shared" si="5"/>
        <v>0</v>
      </c>
      <c r="AE780" s="161">
        <f t="shared" si="6"/>
        <v>0</v>
      </c>
      <c r="AF780" s="167">
        <f t="shared" si="7"/>
        <v>0</v>
      </c>
      <c r="AG780" s="167">
        <f t="shared" si="8"/>
        <v>0</v>
      </c>
      <c r="AH780" s="158"/>
      <c r="AI780" s="158"/>
    </row>
    <row r="781" ht="12.75" customHeight="1">
      <c r="B781" s="160" t="str">
        <f>iferror(VLOOKUP((LEFT(A781,6)),CUSTOMER_DETAILS,2,FALSE),"-")</f>
        <v>-</v>
      </c>
      <c r="C781" s="161" t="s">
        <v>89</v>
      </c>
      <c r="D781" s="162"/>
      <c r="E781" s="161" t="s">
        <v>89</v>
      </c>
      <c r="F781" s="30" t="s">
        <v>89</v>
      </c>
      <c r="G781" s="30" t="s">
        <v>89</v>
      </c>
      <c r="H781" s="30" t="s">
        <v>89</v>
      </c>
      <c r="I781" s="48" t="s">
        <v>108</v>
      </c>
      <c r="J781" s="188" t="str">
        <f t="shared" si="15"/>
        <v/>
      </c>
      <c r="L781" s="48" t="s">
        <v>108</v>
      </c>
      <c r="O781" s="30" t="s">
        <v>89</v>
      </c>
      <c r="Q781" s="192"/>
      <c r="R781" s="161" t="str">
        <f>IFERROR(VLOOKUP(Q781,'PRODUCT TABLE'!$A$2:$B$26,2,FALSE),"-")</f>
        <v>-</v>
      </c>
      <c r="V781" s="161">
        <f t="shared" si="14"/>
        <v>0</v>
      </c>
      <c r="Y781" s="30"/>
      <c r="Z781" s="169">
        <f t="shared" si="2"/>
        <v>0</v>
      </c>
      <c r="AA781" s="167">
        <f t="shared" si="3"/>
        <v>0</v>
      </c>
      <c r="AB781" s="161"/>
      <c r="AC781" s="161">
        <f t="shared" si="4"/>
        <v>0</v>
      </c>
      <c r="AD781" s="161">
        <f t="shared" si="5"/>
        <v>0</v>
      </c>
      <c r="AE781" s="161">
        <f t="shared" si="6"/>
        <v>0</v>
      </c>
      <c r="AF781" s="167">
        <f t="shared" si="7"/>
        <v>0</v>
      </c>
      <c r="AG781" s="167">
        <f t="shared" si="8"/>
        <v>0</v>
      </c>
      <c r="AH781" s="158"/>
      <c r="AI781" s="158"/>
    </row>
    <row r="782" ht="12.75" customHeight="1">
      <c r="B782" s="160" t="str">
        <f>iferror(VLOOKUP((LEFT(A782,6)),CUSTOMER_DETAILS,2,FALSE),"-")</f>
        <v>-</v>
      </c>
      <c r="C782" s="161" t="s">
        <v>89</v>
      </c>
      <c r="D782" s="162"/>
      <c r="E782" s="161" t="s">
        <v>89</v>
      </c>
      <c r="F782" s="30" t="s">
        <v>89</v>
      </c>
      <c r="G782" s="30" t="s">
        <v>89</v>
      </c>
      <c r="H782" s="30" t="s">
        <v>89</v>
      </c>
      <c r="I782" s="48" t="s">
        <v>108</v>
      </c>
      <c r="J782" s="188" t="str">
        <f t="shared" si="15"/>
        <v/>
      </c>
      <c r="L782" s="48" t="s">
        <v>108</v>
      </c>
      <c r="O782" s="30" t="s">
        <v>89</v>
      </c>
      <c r="Q782" s="192"/>
      <c r="R782" s="161" t="str">
        <f>IFERROR(VLOOKUP(Q782,'PRODUCT TABLE'!$A$2:$B$26,2,FALSE),"-")</f>
        <v>-</v>
      </c>
      <c r="V782" s="161">
        <f t="shared" si="14"/>
        <v>0</v>
      </c>
      <c r="Y782" s="30"/>
      <c r="Z782" s="169">
        <f t="shared" si="2"/>
        <v>0</v>
      </c>
      <c r="AA782" s="167">
        <f t="shared" si="3"/>
        <v>0</v>
      </c>
      <c r="AB782" s="161"/>
      <c r="AC782" s="161">
        <f t="shared" si="4"/>
        <v>0</v>
      </c>
      <c r="AD782" s="161">
        <f t="shared" si="5"/>
        <v>0</v>
      </c>
      <c r="AE782" s="161">
        <f t="shared" si="6"/>
        <v>0</v>
      </c>
      <c r="AF782" s="167">
        <f t="shared" si="7"/>
        <v>0</v>
      </c>
      <c r="AG782" s="167">
        <f t="shared" si="8"/>
        <v>0</v>
      </c>
      <c r="AH782" s="158"/>
      <c r="AI782" s="158"/>
    </row>
    <row r="783" ht="12.75" customHeight="1">
      <c r="B783" s="160" t="str">
        <f>iferror(VLOOKUP((LEFT(A783,6)),CUSTOMER_DETAILS,2,FALSE),"-")</f>
        <v>-</v>
      </c>
      <c r="C783" s="161" t="s">
        <v>89</v>
      </c>
      <c r="D783" s="162"/>
      <c r="E783" s="161" t="s">
        <v>89</v>
      </c>
      <c r="F783" s="30" t="s">
        <v>89</v>
      </c>
      <c r="G783" s="30" t="s">
        <v>89</v>
      </c>
      <c r="H783" s="30" t="s">
        <v>89</v>
      </c>
      <c r="I783" s="48" t="s">
        <v>108</v>
      </c>
      <c r="J783" s="188" t="str">
        <f t="shared" si="15"/>
        <v/>
      </c>
      <c r="L783" s="48" t="s">
        <v>108</v>
      </c>
      <c r="O783" s="30" t="s">
        <v>89</v>
      </c>
      <c r="Q783" s="192"/>
      <c r="R783" s="161" t="str">
        <f>IFERROR(VLOOKUP(Q783,'PRODUCT TABLE'!$A$2:$B$26,2,FALSE),"-")</f>
        <v>-</v>
      </c>
      <c r="V783" s="161">
        <f t="shared" si="14"/>
        <v>0</v>
      </c>
      <c r="Y783" s="30"/>
      <c r="Z783" s="169">
        <f t="shared" si="2"/>
        <v>0</v>
      </c>
      <c r="AA783" s="167">
        <f t="shared" si="3"/>
        <v>0</v>
      </c>
      <c r="AB783" s="161"/>
      <c r="AC783" s="161">
        <f t="shared" si="4"/>
        <v>0</v>
      </c>
      <c r="AD783" s="161">
        <f t="shared" si="5"/>
        <v>0</v>
      </c>
      <c r="AE783" s="161">
        <f t="shared" si="6"/>
        <v>0</v>
      </c>
      <c r="AF783" s="167">
        <f t="shared" si="7"/>
        <v>0</v>
      </c>
      <c r="AG783" s="167">
        <f t="shared" si="8"/>
        <v>0</v>
      </c>
      <c r="AH783" s="158"/>
      <c r="AI783" s="158"/>
    </row>
    <row r="784" ht="12.75" customHeight="1">
      <c r="B784" s="160" t="str">
        <f>iferror(VLOOKUP((LEFT(A784,6)),CUSTOMER_DETAILS,2,FALSE),"-")</f>
        <v>-</v>
      </c>
      <c r="C784" s="161" t="s">
        <v>89</v>
      </c>
      <c r="D784" s="162"/>
      <c r="E784" s="161" t="s">
        <v>89</v>
      </c>
      <c r="F784" s="30" t="s">
        <v>89</v>
      </c>
      <c r="G784" s="30" t="s">
        <v>89</v>
      </c>
      <c r="H784" s="30" t="s">
        <v>89</v>
      </c>
      <c r="I784" s="48" t="s">
        <v>108</v>
      </c>
      <c r="J784" s="188" t="str">
        <f t="shared" si="15"/>
        <v/>
      </c>
      <c r="L784" s="48" t="s">
        <v>108</v>
      </c>
      <c r="O784" s="30" t="s">
        <v>89</v>
      </c>
      <c r="Q784" s="192"/>
      <c r="R784" s="161" t="str">
        <f>IFERROR(VLOOKUP(Q784,'PRODUCT TABLE'!$A$2:$B$26,2,FALSE),"-")</f>
        <v>-</v>
      </c>
      <c r="V784" s="161">
        <f t="shared" si="14"/>
        <v>0</v>
      </c>
      <c r="Y784" s="30"/>
      <c r="Z784" s="169">
        <f t="shared" si="2"/>
        <v>0</v>
      </c>
      <c r="AA784" s="167">
        <f t="shared" si="3"/>
        <v>0</v>
      </c>
      <c r="AB784" s="161"/>
      <c r="AC784" s="161">
        <f t="shared" si="4"/>
        <v>0</v>
      </c>
      <c r="AD784" s="161">
        <f t="shared" si="5"/>
        <v>0</v>
      </c>
      <c r="AE784" s="161">
        <f t="shared" si="6"/>
        <v>0</v>
      </c>
      <c r="AF784" s="167">
        <f t="shared" si="7"/>
        <v>0</v>
      </c>
      <c r="AG784" s="167">
        <f t="shared" si="8"/>
        <v>0</v>
      </c>
      <c r="AH784" s="158"/>
      <c r="AI784" s="158"/>
    </row>
    <row r="785" ht="12.75" customHeight="1">
      <c r="B785" s="160" t="str">
        <f>iferror(VLOOKUP((LEFT(A785,6)),CUSTOMER_DETAILS,2,FALSE),"-")</f>
        <v>-</v>
      </c>
      <c r="C785" s="161" t="s">
        <v>89</v>
      </c>
      <c r="D785" s="162"/>
      <c r="E785" s="161" t="s">
        <v>89</v>
      </c>
      <c r="F785" s="30" t="s">
        <v>89</v>
      </c>
      <c r="G785" s="30" t="s">
        <v>89</v>
      </c>
      <c r="H785" s="30" t="s">
        <v>89</v>
      </c>
      <c r="I785" s="48" t="s">
        <v>108</v>
      </c>
      <c r="J785" s="188" t="str">
        <f t="shared" si="15"/>
        <v/>
      </c>
      <c r="L785" s="48" t="s">
        <v>108</v>
      </c>
      <c r="O785" s="30" t="s">
        <v>89</v>
      </c>
      <c r="Q785" s="192"/>
      <c r="R785" s="161" t="str">
        <f>IFERROR(VLOOKUP(Q785,'PRODUCT TABLE'!$A$2:$B$26,2,FALSE),"-")</f>
        <v>-</v>
      </c>
      <c r="V785" s="161">
        <f t="shared" si="14"/>
        <v>0</v>
      </c>
      <c r="Y785" s="30"/>
      <c r="Z785" s="169">
        <f t="shared" si="2"/>
        <v>0</v>
      </c>
      <c r="AA785" s="167">
        <f t="shared" si="3"/>
        <v>0</v>
      </c>
      <c r="AB785" s="161"/>
      <c r="AC785" s="161">
        <f t="shared" si="4"/>
        <v>0</v>
      </c>
      <c r="AD785" s="161">
        <f t="shared" si="5"/>
        <v>0</v>
      </c>
      <c r="AE785" s="161">
        <f t="shared" si="6"/>
        <v>0</v>
      </c>
      <c r="AF785" s="167">
        <f t="shared" si="7"/>
        <v>0</v>
      </c>
      <c r="AG785" s="167">
        <f t="shared" si="8"/>
        <v>0</v>
      </c>
      <c r="AH785" s="158"/>
      <c r="AI785" s="158"/>
    </row>
    <row r="786" ht="12.75" customHeight="1">
      <c r="B786" s="160" t="str">
        <f>iferror(VLOOKUP((LEFT(A786,6)),CUSTOMER_DETAILS,2,FALSE),"-")</f>
        <v>-</v>
      </c>
      <c r="C786" s="161" t="s">
        <v>89</v>
      </c>
      <c r="D786" s="162"/>
      <c r="E786" s="161" t="s">
        <v>89</v>
      </c>
      <c r="F786" s="30" t="s">
        <v>89</v>
      </c>
      <c r="G786" s="30" t="s">
        <v>89</v>
      </c>
      <c r="H786" s="30" t="s">
        <v>89</v>
      </c>
      <c r="I786" s="48" t="s">
        <v>108</v>
      </c>
      <c r="J786" s="188" t="str">
        <f t="shared" si="15"/>
        <v/>
      </c>
      <c r="L786" s="48" t="s">
        <v>108</v>
      </c>
      <c r="O786" s="30" t="s">
        <v>89</v>
      </c>
      <c r="Q786" s="192"/>
      <c r="R786" s="161" t="str">
        <f>IFERROR(VLOOKUP(Q786,'PRODUCT TABLE'!$A$2:$B$26,2,FALSE),"-")</f>
        <v>-</v>
      </c>
      <c r="V786" s="161">
        <f t="shared" si="14"/>
        <v>0</v>
      </c>
      <c r="Y786" s="30"/>
      <c r="Z786" s="169">
        <f t="shared" si="2"/>
        <v>0</v>
      </c>
      <c r="AA786" s="167">
        <f t="shared" si="3"/>
        <v>0</v>
      </c>
      <c r="AB786" s="161"/>
      <c r="AC786" s="161">
        <f t="shared" si="4"/>
        <v>0</v>
      </c>
      <c r="AD786" s="161">
        <f t="shared" si="5"/>
        <v>0</v>
      </c>
      <c r="AE786" s="161">
        <f t="shared" si="6"/>
        <v>0</v>
      </c>
      <c r="AF786" s="167">
        <f t="shared" si="7"/>
        <v>0</v>
      </c>
      <c r="AG786" s="167">
        <f t="shared" si="8"/>
        <v>0</v>
      </c>
      <c r="AH786" s="158"/>
      <c r="AI786" s="158"/>
    </row>
    <row r="787" ht="12.75" customHeight="1">
      <c r="B787" s="160" t="str">
        <f>iferror(VLOOKUP((LEFT(A787,6)),CUSTOMER_DETAILS,2,FALSE),"-")</f>
        <v>-</v>
      </c>
      <c r="C787" s="161" t="s">
        <v>89</v>
      </c>
      <c r="D787" s="162"/>
      <c r="E787" s="161" t="s">
        <v>89</v>
      </c>
      <c r="F787" s="30" t="s">
        <v>89</v>
      </c>
      <c r="G787" s="30" t="s">
        <v>89</v>
      </c>
      <c r="H787" s="30" t="s">
        <v>89</v>
      </c>
      <c r="I787" s="48" t="s">
        <v>108</v>
      </c>
      <c r="J787" s="188" t="str">
        <f t="shared" si="15"/>
        <v/>
      </c>
      <c r="L787" s="48" t="s">
        <v>108</v>
      </c>
      <c r="O787" s="30" t="s">
        <v>89</v>
      </c>
      <c r="Q787" s="192"/>
      <c r="R787" s="161" t="str">
        <f>IFERROR(VLOOKUP(Q787,'PRODUCT TABLE'!$A$2:$B$26,2,FALSE),"-")</f>
        <v>-</v>
      </c>
      <c r="V787" s="161">
        <f t="shared" si="14"/>
        <v>0</v>
      </c>
      <c r="Y787" s="30"/>
      <c r="Z787" s="169">
        <f t="shared" si="2"/>
        <v>0</v>
      </c>
      <c r="AA787" s="167">
        <f t="shared" si="3"/>
        <v>0</v>
      </c>
      <c r="AB787" s="161"/>
      <c r="AC787" s="161">
        <f t="shared" si="4"/>
        <v>0</v>
      </c>
      <c r="AD787" s="161">
        <f t="shared" si="5"/>
        <v>0</v>
      </c>
      <c r="AE787" s="161">
        <f t="shared" si="6"/>
        <v>0</v>
      </c>
      <c r="AF787" s="167">
        <f t="shared" si="7"/>
        <v>0</v>
      </c>
      <c r="AG787" s="167">
        <f t="shared" si="8"/>
        <v>0</v>
      </c>
      <c r="AH787" s="158"/>
      <c r="AI787" s="158"/>
    </row>
    <row r="788" ht="12.75" customHeight="1">
      <c r="B788" s="160" t="str">
        <f>iferror(VLOOKUP((LEFT(A788,6)),CUSTOMER_DETAILS,2,FALSE),"-")</f>
        <v>-</v>
      </c>
      <c r="C788" s="161" t="s">
        <v>89</v>
      </c>
      <c r="D788" s="162"/>
      <c r="E788" s="161" t="s">
        <v>89</v>
      </c>
      <c r="F788" s="30" t="s">
        <v>89</v>
      </c>
      <c r="G788" s="30" t="s">
        <v>89</v>
      </c>
      <c r="H788" s="30" t="s">
        <v>89</v>
      </c>
      <c r="I788" s="48" t="s">
        <v>108</v>
      </c>
      <c r="J788" s="188" t="str">
        <f t="shared" si="15"/>
        <v/>
      </c>
      <c r="L788" s="48" t="s">
        <v>108</v>
      </c>
      <c r="O788" s="30" t="s">
        <v>89</v>
      </c>
      <c r="Q788" s="192"/>
      <c r="R788" s="161" t="str">
        <f>IFERROR(VLOOKUP(Q788,'PRODUCT TABLE'!$A$2:$B$26,2,FALSE),"-")</f>
        <v>-</v>
      </c>
      <c r="V788" s="161">
        <f t="shared" si="14"/>
        <v>0</v>
      </c>
      <c r="Y788" s="30"/>
      <c r="Z788" s="169">
        <f t="shared" si="2"/>
        <v>0</v>
      </c>
      <c r="AA788" s="167">
        <f t="shared" si="3"/>
        <v>0</v>
      </c>
      <c r="AB788" s="161"/>
      <c r="AC788" s="161">
        <f t="shared" si="4"/>
        <v>0</v>
      </c>
      <c r="AD788" s="161">
        <f t="shared" si="5"/>
        <v>0</v>
      </c>
      <c r="AE788" s="161">
        <f t="shared" si="6"/>
        <v>0</v>
      </c>
      <c r="AF788" s="167">
        <f t="shared" si="7"/>
        <v>0</v>
      </c>
      <c r="AG788" s="167">
        <f t="shared" si="8"/>
        <v>0</v>
      </c>
      <c r="AH788" s="158"/>
      <c r="AI788" s="158"/>
    </row>
    <row r="789" ht="12.75" customHeight="1">
      <c r="B789" s="160" t="str">
        <f>iferror(VLOOKUP((LEFT(A789,6)),CUSTOMER_DETAILS,2,FALSE),"-")</f>
        <v>-</v>
      </c>
      <c r="C789" s="161" t="s">
        <v>89</v>
      </c>
      <c r="D789" s="162"/>
      <c r="E789" s="161" t="s">
        <v>89</v>
      </c>
      <c r="F789" s="30" t="s">
        <v>89</v>
      </c>
      <c r="G789" s="30" t="s">
        <v>89</v>
      </c>
      <c r="H789" s="30" t="s">
        <v>89</v>
      </c>
      <c r="I789" s="48" t="s">
        <v>108</v>
      </c>
      <c r="J789" s="188" t="str">
        <f t="shared" si="15"/>
        <v/>
      </c>
      <c r="L789" s="48" t="s">
        <v>108</v>
      </c>
      <c r="O789" s="30" t="s">
        <v>89</v>
      </c>
      <c r="Q789" s="192"/>
      <c r="R789" s="161" t="str">
        <f>IFERROR(VLOOKUP(Q789,'PRODUCT TABLE'!$A$2:$B$26,2,FALSE),"-")</f>
        <v>-</v>
      </c>
      <c r="V789" s="161">
        <f t="shared" si="14"/>
        <v>0</v>
      </c>
      <c r="Y789" s="30"/>
      <c r="Z789" s="169">
        <f t="shared" si="2"/>
        <v>0</v>
      </c>
      <c r="AA789" s="167">
        <f t="shared" si="3"/>
        <v>0</v>
      </c>
      <c r="AB789" s="161"/>
      <c r="AC789" s="161">
        <f t="shared" si="4"/>
        <v>0</v>
      </c>
      <c r="AD789" s="161">
        <f t="shared" si="5"/>
        <v>0</v>
      </c>
      <c r="AE789" s="161">
        <f t="shared" si="6"/>
        <v>0</v>
      </c>
      <c r="AF789" s="167">
        <f t="shared" si="7"/>
        <v>0</v>
      </c>
      <c r="AG789" s="167">
        <f t="shared" si="8"/>
        <v>0</v>
      </c>
      <c r="AH789" s="158"/>
      <c r="AI789" s="158"/>
    </row>
    <row r="790" ht="12.75" customHeight="1">
      <c r="B790" s="160" t="str">
        <f>iferror(VLOOKUP((LEFT(A790,6)),CUSTOMER_DETAILS,2,FALSE),"-")</f>
        <v>-</v>
      </c>
      <c r="C790" s="161" t="s">
        <v>89</v>
      </c>
      <c r="D790" s="162"/>
      <c r="E790" s="161" t="s">
        <v>89</v>
      </c>
      <c r="F790" s="30" t="s">
        <v>89</v>
      </c>
      <c r="G790" s="30" t="s">
        <v>89</v>
      </c>
      <c r="H790" s="30" t="s">
        <v>89</v>
      </c>
      <c r="I790" s="48" t="s">
        <v>108</v>
      </c>
      <c r="J790" s="188" t="str">
        <f t="shared" si="15"/>
        <v/>
      </c>
      <c r="L790" s="48" t="s">
        <v>108</v>
      </c>
      <c r="O790" s="30" t="s">
        <v>89</v>
      </c>
      <c r="Q790" s="192"/>
      <c r="R790" s="161" t="str">
        <f>IFERROR(VLOOKUP(Q790,'PRODUCT TABLE'!$A$2:$B$26,2,FALSE),"-")</f>
        <v>-</v>
      </c>
      <c r="V790" s="161">
        <f t="shared" si="14"/>
        <v>0</v>
      </c>
      <c r="Y790" s="30"/>
      <c r="Z790" s="169">
        <f t="shared" si="2"/>
        <v>0</v>
      </c>
      <c r="AA790" s="167">
        <f t="shared" si="3"/>
        <v>0</v>
      </c>
      <c r="AB790" s="161"/>
      <c r="AC790" s="161">
        <f t="shared" si="4"/>
        <v>0</v>
      </c>
      <c r="AD790" s="161">
        <f t="shared" si="5"/>
        <v>0</v>
      </c>
      <c r="AE790" s="161">
        <f t="shared" si="6"/>
        <v>0</v>
      </c>
      <c r="AF790" s="167">
        <f t="shared" si="7"/>
        <v>0</v>
      </c>
      <c r="AG790" s="167">
        <f t="shared" si="8"/>
        <v>0</v>
      </c>
      <c r="AH790" s="158"/>
      <c r="AI790" s="158"/>
    </row>
    <row r="791" ht="12.75" customHeight="1">
      <c r="B791" s="160" t="str">
        <f>iferror(VLOOKUP((LEFT(A791,6)),CUSTOMER_DETAILS,2,FALSE),"-")</f>
        <v>-</v>
      </c>
      <c r="C791" s="161" t="s">
        <v>89</v>
      </c>
      <c r="D791" s="162"/>
      <c r="E791" s="161" t="s">
        <v>89</v>
      </c>
      <c r="F791" s="30" t="s">
        <v>89</v>
      </c>
      <c r="G791" s="30" t="s">
        <v>89</v>
      </c>
      <c r="H791" s="30" t="s">
        <v>89</v>
      </c>
      <c r="I791" s="48" t="s">
        <v>108</v>
      </c>
      <c r="J791" s="188" t="str">
        <f t="shared" si="15"/>
        <v/>
      </c>
      <c r="L791" s="48" t="s">
        <v>108</v>
      </c>
      <c r="O791" s="30" t="s">
        <v>89</v>
      </c>
      <c r="Q791" s="192"/>
      <c r="R791" s="161" t="str">
        <f>IFERROR(VLOOKUP(Q791,'PRODUCT TABLE'!$A$2:$B$26,2,FALSE),"-")</f>
        <v>-</v>
      </c>
      <c r="V791" s="161">
        <f t="shared" si="14"/>
        <v>0</v>
      </c>
      <c r="Y791" s="30"/>
      <c r="Z791" s="169">
        <f t="shared" si="2"/>
        <v>0</v>
      </c>
      <c r="AA791" s="167">
        <f t="shared" si="3"/>
        <v>0</v>
      </c>
      <c r="AB791" s="161"/>
      <c r="AC791" s="161">
        <f t="shared" si="4"/>
        <v>0</v>
      </c>
      <c r="AD791" s="161">
        <f t="shared" si="5"/>
        <v>0</v>
      </c>
      <c r="AE791" s="161">
        <f t="shared" si="6"/>
        <v>0</v>
      </c>
      <c r="AF791" s="167">
        <f t="shared" si="7"/>
        <v>0</v>
      </c>
      <c r="AG791" s="167">
        <f t="shared" si="8"/>
        <v>0</v>
      </c>
      <c r="AH791" s="158"/>
      <c r="AI791" s="158"/>
    </row>
    <row r="792" ht="12.75" customHeight="1">
      <c r="B792" s="160" t="str">
        <f>iferror(VLOOKUP((LEFT(A792,6)),CUSTOMER_DETAILS,2,FALSE),"-")</f>
        <v>-</v>
      </c>
      <c r="C792" s="161" t="s">
        <v>89</v>
      </c>
      <c r="D792" s="162"/>
      <c r="E792" s="161" t="s">
        <v>89</v>
      </c>
      <c r="F792" s="30" t="s">
        <v>89</v>
      </c>
      <c r="G792" s="30" t="s">
        <v>89</v>
      </c>
      <c r="H792" s="30" t="s">
        <v>89</v>
      </c>
      <c r="I792" s="48" t="s">
        <v>108</v>
      </c>
      <c r="J792" s="188" t="str">
        <f t="shared" si="15"/>
        <v/>
      </c>
      <c r="L792" s="48" t="s">
        <v>108</v>
      </c>
      <c r="O792" s="30" t="s">
        <v>89</v>
      </c>
      <c r="Q792" s="192"/>
      <c r="R792" s="161" t="str">
        <f>IFERROR(VLOOKUP(Q792,'PRODUCT TABLE'!$A$2:$B$26,2,FALSE),"-")</f>
        <v>-</v>
      </c>
      <c r="V792" s="161">
        <f t="shared" si="14"/>
        <v>0</v>
      </c>
      <c r="Y792" s="30"/>
      <c r="Z792" s="169">
        <f t="shared" si="2"/>
        <v>0</v>
      </c>
      <c r="AA792" s="167">
        <f t="shared" si="3"/>
        <v>0</v>
      </c>
      <c r="AB792" s="161"/>
      <c r="AC792" s="161">
        <f t="shared" si="4"/>
        <v>0</v>
      </c>
      <c r="AD792" s="161">
        <f t="shared" si="5"/>
        <v>0</v>
      </c>
      <c r="AE792" s="161">
        <f t="shared" si="6"/>
        <v>0</v>
      </c>
      <c r="AF792" s="167">
        <f t="shared" si="7"/>
        <v>0</v>
      </c>
      <c r="AG792" s="167">
        <f t="shared" si="8"/>
        <v>0</v>
      </c>
      <c r="AH792" s="158"/>
      <c r="AI792" s="158"/>
    </row>
    <row r="793" ht="12.75" customHeight="1">
      <c r="B793" s="160" t="str">
        <f>iferror(VLOOKUP((LEFT(A793,6)),CUSTOMER_DETAILS,2,FALSE),"-")</f>
        <v>-</v>
      </c>
      <c r="C793" s="161" t="s">
        <v>89</v>
      </c>
      <c r="D793" s="162"/>
      <c r="E793" s="161" t="s">
        <v>89</v>
      </c>
      <c r="F793" s="30" t="s">
        <v>89</v>
      </c>
      <c r="G793" s="30" t="s">
        <v>89</v>
      </c>
      <c r="H793" s="30" t="s">
        <v>89</v>
      </c>
      <c r="I793" s="48" t="s">
        <v>108</v>
      </c>
      <c r="J793" s="188" t="str">
        <f t="shared" si="15"/>
        <v/>
      </c>
      <c r="L793" s="48" t="s">
        <v>108</v>
      </c>
      <c r="O793" s="30" t="s">
        <v>89</v>
      </c>
      <c r="Q793" s="192"/>
      <c r="R793" s="161" t="str">
        <f>IFERROR(VLOOKUP(Q793,'PRODUCT TABLE'!$A$2:$B$26,2,FALSE),"-")</f>
        <v>-</v>
      </c>
      <c r="V793" s="161">
        <f t="shared" si="14"/>
        <v>0</v>
      </c>
      <c r="Y793" s="30"/>
      <c r="Z793" s="169">
        <f t="shared" si="2"/>
        <v>0</v>
      </c>
      <c r="AA793" s="167">
        <f t="shared" si="3"/>
        <v>0</v>
      </c>
      <c r="AB793" s="161"/>
      <c r="AC793" s="161">
        <f t="shared" si="4"/>
        <v>0</v>
      </c>
      <c r="AD793" s="161">
        <f t="shared" si="5"/>
        <v>0</v>
      </c>
      <c r="AE793" s="161">
        <f t="shared" si="6"/>
        <v>0</v>
      </c>
      <c r="AF793" s="167">
        <f t="shared" si="7"/>
        <v>0</v>
      </c>
      <c r="AG793" s="167">
        <f t="shared" si="8"/>
        <v>0</v>
      </c>
      <c r="AH793" s="158"/>
      <c r="AI793" s="158"/>
    </row>
    <row r="794" ht="12.75" customHeight="1">
      <c r="B794" s="160" t="str">
        <f>iferror(VLOOKUP((LEFT(A794,6)),CUSTOMER_DETAILS,2,FALSE),"-")</f>
        <v>-</v>
      </c>
      <c r="C794" s="161" t="s">
        <v>89</v>
      </c>
      <c r="D794" s="162"/>
      <c r="E794" s="161" t="s">
        <v>89</v>
      </c>
      <c r="F794" s="30" t="s">
        <v>89</v>
      </c>
      <c r="G794" s="30" t="s">
        <v>89</v>
      </c>
      <c r="H794" s="30" t="s">
        <v>89</v>
      </c>
      <c r="I794" s="48" t="s">
        <v>108</v>
      </c>
      <c r="J794" s="188" t="str">
        <f t="shared" si="15"/>
        <v/>
      </c>
      <c r="L794" s="48" t="s">
        <v>108</v>
      </c>
      <c r="O794" s="30" t="s">
        <v>89</v>
      </c>
      <c r="Q794" s="192"/>
      <c r="R794" s="161" t="str">
        <f>IFERROR(VLOOKUP(Q794,'PRODUCT TABLE'!$A$2:$B$26,2,FALSE),"-")</f>
        <v>-</v>
      </c>
      <c r="V794" s="161">
        <f t="shared" si="14"/>
        <v>0</v>
      </c>
      <c r="Y794" s="30"/>
      <c r="Z794" s="169">
        <f t="shared" si="2"/>
        <v>0</v>
      </c>
      <c r="AA794" s="167">
        <f t="shared" si="3"/>
        <v>0</v>
      </c>
      <c r="AB794" s="161"/>
      <c r="AC794" s="161">
        <f t="shared" si="4"/>
        <v>0</v>
      </c>
      <c r="AD794" s="161">
        <f t="shared" si="5"/>
        <v>0</v>
      </c>
      <c r="AE794" s="161">
        <f t="shared" si="6"/>
        <v>0</v>
      </c>
      <c r="AF794" s="167">
        <f t="shared" si="7"/>
        <v>0</v>
      </c>
      <c r="AG794" s="167">
        <f t="shared" si="8"/>
        <v>0</v>
      </c>
      <c r="AH794" s="158"/>
      <c r="AI794" s="158"/>
    </row>
    <row r="795" ht="12.75" customHeight="1">
      <c r="B795" s="160" t="str">
        <f>iferror(VLOOKUP((LEFT(A795,6)),CUSTOMER_DETAILS,2,FALSE),"-")</f>
        <v>-</v>
      </c>
      <c r="C795" s="161" t="s">
        <v>89</v>
      </c>
      <c r="D795" s="162"/>
      <c r="E795" s="161" t="s">
        <v>89</v>
      </c>
      <c r="F795" s="30" t="s">
        <v>89</v>
      </c>
      <c r="G795" s="30" t="s">
        <v>89</v>
      </c>
      <c r="H795" s="30" t="s">
        <v>89</v>
      </c>
      <c r="I795" s="48" t="s">
        <v>108</v>
      </c>
      <c r="J795" s="188" t="str">
        <f t="shared" si="15"/>
        <v/>
      </c>
      <c r="L795" s="48" t="s">
        <v>108</v>
      </c>
      <c r="O795" s="30" t="s">
        <v>89</v>
      </c>
      <c r="Q795" s="192"/>
      <c r="R795" s="161" t="str">
        <f>IFERROR(VLOOKUP(Q795,'PRODUCT TABLE'!$A$2:$B$26,2,FALSE),"-")</f>
        <v>-</v>
      </c>
      <c r="V795" s="161">
        <f t="shared" si="14"/>
        <v>0</v>
      </c>
      <c r="Y795" s="30"/>
      <c r="Z795" s="169">
        <f t="shared" si="2"/>
        <v>0</v>
      </c>
      <c r="AA795" s="167">
        <f t="shared" si="3"/>
        <v>0</v>
      </c>
      <c r="AB795" s="161"/>
      <c r="AC795" s="161">
        <f t="shared" si="4"/>
        <v>0</v>
      </c>
      <c r="AD795" s="161">
        <f t="shared" si="5"/>
        <v>0</v>
      </c>
      <c r="AE795" s="161">
        <f t="shared" si="6"/>
        <v>0</v>
      </c>
      <c r="AF795" s="167">
        <f t="shared" si="7"/>
        <v>0</v>
      </c>
      <c r="AG795" s="167">
        <f t="shared" si="8"/>
        <v>0</v>
      </c>
      <c r="AH795" s="158"/>
      <c r="AI795" s="158"/>
    </row>
    <row r="796" ht="12.75" customHeight="1">
      <c r="B796" s="160" t="str">
        <f>iferror(VLOOKUP((LEFT(A796,6)),CUSTOMER_DETAILS,2,FALSE),"-")</f>
        <v>-</v>
      </c>
      <c r="C796" s="161" t="s">
        <v>89</v>
      </c>
      <c r="D796" s="162"/>
      <c r="E796" s="161" t="s">
        <v>89</v>
      </c>
      <c r="F796" s="30" t="s">
        <v>89</v>
      </c>
      <c r="G796" s="30" t="s">
        <v>89</v>
      </c>
      <c r="H796" s="30" t="s">
        <v>89</v>
      </c>
      <c r="I796" s="48" t="s">
        <v>108</v>
      </c>
      <c r="J796" s="188" t="str">
        <f t="shared" si="15"/>
        <v/>
      </c>
      <c r="L796" s="48" t="s">
        <v>108</v>
      </c>
      <c r="O796" s="30" t="s">
        <v>89</v>
      </c>
      <c r="Q796" s="192"/>
      <c r="R796" s="161" t="str">
        <f>IFERROR(VLOOKUP(Q796,'PRODUCT TABLE'!$A$2:$B$26,2,FALSE),"-")</f>
        <v>-</v>
      </c>
      <c r="V796" s="161">
        <f t="shared" si="14"/>
        <v>0</v>
      </c>
      <c r="Y796" s="30"/>
      <c r="Z796" s="169">
        <f t="shared" si="2"/>
        <v>0</v>
      </c>
      <c r="AA796" s="167">
        <f t="shared" si="3"/>
        <v>0</v>
      </c>
      <c r="AB796" s="161"/>
      <c r="AC796" s="161">
        <f t="shared" si="4"/>
        <v>0</v>
      </c>
      <c r="AD796" s="161">
        <f t="shared" si="5"/>
        <v>0</v>
      </c>
      <c r="AE796" s="161">
        <f t="shared" si="6"/>
        <v>0</v>
      </c>
      <c r="AF796" s="167">
        <f t="shared" si="7"/>
        <v>0</v>
      </c>
      <c r="AG796" s="167">
        <f t="shared" si="8"/>
        <v>0</v>
      </c>
      <c r="AH796" s="158"/>
      <c r="AI796" s="158"/>
    </row>
    <row r="797" ht="12.75" customHeight="1">
      <c r="B797" s="160" t="str">
        <f>iferror(VLOOKUP((LEFT(A797,6)),CUSTOMER_DETAILS,2,FALSE),"-")</f>
        <v>-</v>
      </c>
      <c r="C797" s="161" t="s">
        <v>89</v>
      </c>
      <c r="D797" s="162"/>
      <c r="E797" s="161" t="s">
        <v>89</v>
      </c>
      <c r="F797" s="30" t="s">
        <v>89</v>
      </c>
      <c r="G797" s="30" t="s">
        <v>89</v>
      </c>
      <c r="H797" s="30" t="s">
        <v>89</v>
      </c>
      <c r="I797" s="48" t="s">
        <v>108</v>
      </c>
      <c r="J797" s="188" t="str">
        <f t="shared" si="15"/>
        <v/>
      </c>
      <c r="L797" s="48" t="s">
        <v>108</v>
      </c>
      <c r="O797" s="30" t="s">
        <v>89</v>
      </c>
      <c r="Q797" s="192"/>
      <c r="R797" s="161" t="str">
        <f>IFERROR(VLOOKUP(Q797,'PRODUCT TABLE'!$A$2:$B$26,2,FALSE),"-")</f>
        <v>-</v>
      </c>
      <c r="V797" s="161">
        <f t="shared" si="14"/>
        <v>0</v>
      </c>
      <c r="Y797" s="30"/>
      <c r="Z797" s="169">
        <f t="shared" si="2"/>
        <v>0</v>
      </c>
      <c r="AA797" s="167">
        <f t="shared" si="3"/>
        <v>0</v>
      </c>
      <c r="AB797" s="161"/>
      <c r="AC797" s="161">
        <f t="shared" si="4"/>
        <v>0</v>
      </c>
      <c r="AD797" s="161">
        <f t="shared" si="5"/>
        <v>0</v>
      </c>
      <c r="AE797" s="161">
        <f t="shared" si="6"/>
        <v>0</v>
      </c>
      <c r="AF797" s="167">
        <f t="shared" si="7"/>
        <v>0</v>
      </c>
      <c r="AG797" s="167">
        <f t="shared" si="8"/>
        <v>0</v>
      </c>
      <c r="AH797" s="158"/>
      <c r="AI797" s="158"/>
    </row>
    <row r="798" ht="12.75" customHeight="1">
      <c r="B798" s="160" t="str">
        <f>iferror(VLOOKUP((LEFT(A798,6)),CUSTOMER_DETAILS,2,FALSE),"-")</f>
        <v>-</v>
      </c>
      <c r="C798" s="161" t="s">
        <v>89</v>
      </c>
      <c r="D798" s="162"/>
      <c r="E798" s="161" t="s">
        <v>89</v>
      </c>
      <c r="F798" s="30" t="s">
        <v>89</v>
      </c>
      <c r="G798" s="30" t="s">
        <v>89</v>
      </c>
      <c r="H798" s="30" t="s">
        <v>89</v>
      </c>
      <c r="I798" s="48" t="s">
        <v>108</v>
      </c>
      <c r="J798" s="188" t="str">
        <f t="shared" si="15"/>
        <v/>
      </c>
      <c r="L798" s="48" t="s">
        <v>108</v>
      </c>
      <c r="O798" s="30" t="s">
        <v>89</v>
      </c>
      <c r="Q798" s="192"/>
      <c r="R798" s="161" t="str">
        <f>IFERROR(VLOOKUP(Q798,'PRODUCT TABLE'!$A$2:$B$26,2,FALSE),"-")</f>
        <v>-</v>
      </c>
      <c r="V798" s="161">
        <f t="shared" si="14"/>
        <v>0</v>
      </c>
      <c r="Y798" s="30"/>
      <c r="Z798" s="169">
        <f t="shared" si="2"/>
        <v>0</v>
      </c>
      <c r="AA798" s="167">
        <f t="shared" si="3"/>
        <v>0</v>
      </c>
      <c r="AB798" s="161"/>
      <c r="AC798" s="161">
        <f t="shared" si="4"/>
        <v>0</v>
      </c>
      <c r="AD798" s="161">
        <f t="shared" si="5"/>
        <v>0</v>
      </c>
      <c r="AE798" s="161">
        <f t="shared" si="6"/>
        <v>0</v>
      </c>
      <c r="AF798" s="167">
        <f t="shared" si="7"/>
        <v>0</v>
      </c>
      <c r="AG798" s="167">
        <f t="shared" si="8"/>
        <v>0</v>
      </c>
      <c r="AH798" s="158"/>
      <c r="AI798" s="158"/>
    </row>
    <row r="799" ht="12.75" customHeight="1">
      <c r="B799" s="160" t="str">
        <f>iferror(VLOOKUP((LEFT(A799,6)),CUSTOMER_DETAILS,2,FALSE),"-")</f>
        <v>-</v>
      </c>
      <c r="C799" s="161" t="s">
        <v>89</v>
      </c>
      <c r="D799" s="162"/>
      <c r="E799" s="161" t="s">
        <v>89</v>
      </c>
      <c r="F799" s="30" t="s">
        <v>89</v>
      </c>
      <c r="G799" s="30" t="s">
        <v>89</v>
      </c>
      <c r="H799" s="30" t="s">
        <v>89</v>
      </c>
      <c r="I799" s="48" t="s">
        <v>108</v>
      </c>
      <c r="J799" s="188" t="str">
        <f t="shared" si="15"/>
        <v/>
      </c>
      <c r="L799" s="48" t="s">
        <v>108</v>
      </c>
      <c r="O799" s="30" t="s">
        <v>89</v>
      </c>
      <c r="Q799" s="192"/>
      <c r="R799" s="161" t="str">
        <f>IFERROR(VLOOKUP(Q799,'PRODUCT TABLE'!$A$2:$B$26,2,FALSE),"-")</f>
        <v>-</v>
      </c>
      <c r="V799" s="161">
        <f t="shared" si="14"/>
        <v>0</v>
      </c>
      <c r="Y799" s="30"/>
      <c r="Z799" s="169">
        <f t="shared" si="2"/>
        <v>0</v>
      </c>
      <c r="AA799" s="167">
        <f t="shared" si="3"/>
        <v>0</v>
      </c>
      <c r="AB799" s="161"/>
      <c r="AC799" s="161">
        <f t="shared" si="4"/>
        <v>0</v>
      </c>
      <c r="AD799" s="161">
        <f t="shared" si="5"/>
        <v>0</v>
      </c>
      <c r="AE799" s="161">
        <f t="shared" si="6"/>
        <v>0</v>
      </c>
      <c r="AF799" s="167">
        <f t="shared" si="7"/>
        <v>0</v>
      </c>
      <c r="AG799" s="167">
        <f t="shared" si="8"/>
        <v>0</v>
      </c>
      <c r="AH799" s="158"/>
      <c r="AI799" s="158"/>
    </row>
    <row r="800" ht="12.75" customHeight="1">
      <c r="B800" s="160" t="str">
        <f>iferror(VLOOKUP((LEFT(A800,6)),CUSTOMER_DETAILS,2,FALSE),"-")</f>
        <v>-</v>
      </c>
      <c r="C800" s="161" t="s">
        <v>89</v>
      </c>
      <c r="D800" s="162"/>
      <c r="E800" s="161" t="s">
        <v>89</v>
      </c>
      <c r="F800" s="30" t="s">
        <v>89</v>
      </c>
      <c r="G800" s="30" t="s">
        <v>89</v>
      </c>
      <c r="H800" s="30" t="s">
        <v>89</v>
      </c>
      <c r="I800" s="48" t="s">
        <v>108</v>
      </c>
      <c r="J800" s="188" t="str">
        <f t="shared" si="15"/>
        <v/>
      </c>
      <c r="L800" s="48" t="s">
        <v>108</v>
      </c>
      <c r="O800" s="30" t="s">
        <v>89</v>
      </c>
      <c r="Q800" s="192"/>
      <c r="R800" s="161" t="str">
        <f>IFERROR(VLOOKUP(Q800,'PRODUCT TABLE'!$A$2:$B$26,2,FALSE),"-")</f>
        <v>-</v>
      </c>
      <c r="V800" s="161">
        <f t="shared" si="14"/>
        <v>0</v>
      </c>
      <c r="Y800" s="30"/>
      <c r="Z800" s="169">
        <f t="shared" si="2"/>
        <v>0</v>
      </c>
      <c r="AA800" s="167">
        <f t="shared" si="3"/>
        <v>0</v>
      </c>
      <c r="AB800" s="161"/>
      <c r="AC800" s="161">
        <f t="shared" si="4"/>
        <v>0</v>
      </c>
      <c r="AD800" s="161">
        <f t="shared" si="5"/>
        <v>0</v>
      </c>
      <c r="AE800" s="161">
        <f t="shared" si="6"/>
        <v>0</v>
      </c>
      <c r="AF800" s="167">
        <f t="shared" si="7"/>
        <v>0</v>
      </c>
      <c r="AG800" s="167">
        <f t="shared" si="8"/>
        <v>0</v>
      </c>
      <c r="AH800" s="158"/>
      <c r="AI800" s="158"/>
    </row>
    <row r="801" ht="12.75" customHeight="1">
      <c r="B801" s="160" t="str">
        <f>iferror(VLOOKUP((LEFT(A801,6)),CUSTOMER_DETAILS,2,FALSE),"-")</f>
        <v>-</v>
      </c>
      <c r="C801" s="161" t="s">
        <v>89</v>
      </c>
      <c r="D801" s="162"/>
      <c r="E801" s="161" t="s">
        <v>89</v>
      </c>
      <c r="F801" s="30" t="s">
        <v>89</v>
      </c>
      <c r="G801" s="30" t="s">
        <v>89</v>
      </c>
      <c r="H801" s="30" t="s">
        <v>89</v>
      </c>
      <c r="I801" s="48" t="s">
        <v>108</v>
      </c>
      <c r="J801" s="188" t="str">
        <f t="shared" si="15"/>
        <v/>
      </c>
      <c r="L801" s="48" t="s">
        <v>108</v>
      </c>
      <c r="O801" s="30" t="s">
        <v>89</v>
      </c>
      <c r="Q801" s="192"/>
      <c r="R801" s="161" t="str">
        <f>IFERROR(VLOOKUP(Q801,'PRODUCT TABLE'!$A$2:$B$26,2,FALSE),"-")</f>
        <v>-</v>
      </c>
      <c r="V801" s="161">
        <f t="shared" si="14"/>
        <v>0</v>
      </c>
      <c r="Y801" s="30"/>
      <c r="Z801" s="169">
        <f t="shared" si="2"/>
        <v>0</v>
      </c>
      <c r="AA801" s="167">
        <f t="shared" si="3"/>
        <v>0</v>
      </c>
      <c r="AB801" s="161"/>
      <c r="AC801" s="161">
        <f t="shared" si="4"/>
        <v>0</v>
      </c>
      <c r="AD801" s="161">
        <f t="shared" si="5"/>
        <v>0</v>
      </c>
      <c r="AE801" s="161">
        <f t="shared" si="6"/>
        <v>0</v>
      </c>
      <c r="AF801" s="167">
        <f t="shared" si="7"/>
        <v>0</v>
      </c>
      <c r="AG801" s="167">
        <f t="shared" si="8"/>
        <v>0</v>
      </c>
      <c r="AH801" s="158"/>
      <c r="AI801" s="158"/>
    </row>
    <row r="802" ht="12.75" customHeight="1">
      <c r="B802" s="160" t="str">
        <f>iferror(VLOOKUP((LEFT(A802,6)),CUSTOMER_DETAILS,2,FALSE),"-")</f>
        <v>-</v>
      </c>
      <c r="C802" s="161" t="s">
        <v>89</v>
      </c>
      <c r="D802" s="162"/>
      <c r="E802" s="161" t="s">
        <v>89</v>
      </c>
      <c r="F802" s="30" t="s">
        <v>89</v>
      </c>
      <c r="G802" s="30" t="s">
        <v>89</v>
      </c>
      <c r="H802" s="30" t="s">
        <v>89</v>
      </c>
      <c r="I802" s="48" t="s">
        <v>108</v>
      </c>
      <c r="J802" s="188" t="str">
        <f t="shared" si="15"/>
        <v/>
      </c>
      <c r="L802" s="48" t="s">
        <v>108</v>
      </c>
      <c r="O802" s="30" t="s">
        <v>89</v>
      </c>
      <c r="Q802" s="192"/>
      <c r="R802" s="161" t="str">
        <f>IFERROR(VLOOKUP(Q802,'PRODUCT TABLE'!$A$2:$B$26,2,FALSE),"-")</f>
        <v>-</v>
      </c>
      <c r="V802" s="161">
        <f t="shared" si="14"/>
        <v>0</v>
      </c>
      <c r="Y802" s="30"/>
      <c r="Z802" s="169">
        <f t="shared" si="2"/>
        <v>0</v>
      </c>
      <c r="AA802" s="167">
        <f t="shared" si="3"/>
        <v>0</v>
      </c>
      <c r="AB802" s="161"/>
      <c r="AC802" s="161">
        <f t="shared" si="4"/>
        <v>0</v>
      </c>
      <c r="AD802" s="161">
        <f t="shared" si="5"/>
        <v>0</v>
      </c>
      <c r="AE802" s="161">
        <f t="shared" si="6"/>
        <v>0</v>
      </c>
      <c r="AF802" s="167">
        <f t="shared" si="7"/>
        <v>0</v>
      </c>
      <c r="AG802" s="167">
        <f t="shared" si="8"/>
        <v>0</v>
      </c>
      <c r="AH802" s="158"/>
      <c r="AI802" s="158"/>
    </row>
    <row r="803" ht="12.75" customHeight="1">
      <c r="B803" s="160" t="str">
        <f>iferror(VLOOKUP((LEFT(A803,6)),CUSTOMER_DETAILS,2,FALSE),"-")</f>
        <v>-</v>
      </c>
      <c r="C803" s="161" t="s">
        <v>89</v>
      </c>
      <c r="D803" s="162"/>
      <c r="E803" s="161" t="s">
        <v>89</v>
      </c>
      <c r="F803" s="30" t="s">
        <v>89</v>
      </c>
      <c r="G803" s="30" t="s">
        <v>89</v>
      </c>
      <c r="H803" s="30" t="s">
        <v>89</v>
      </c>
      <c r="I803" s="48" t="s">
        <v>108</v>
      </c>
      <c r="J803" s="188" t="str">
        <f t="shared" si="15"/>
        <v/>
      </c>
      <c r="L803" s="48" t="s">
        <v>108</v>
      </c>
      <c r="O803" s="30" t="s">
        <v>89</v>
      </c>
      <c r="Q803" s="192"/>
      <c r="R803" s="161" t="str">
        <f>IFERROR(VLOOKUP(Q803,'PRODUCT TABLE'!$A$2:$B$26,2,FALSE),"-")</f>
        <v>-</v>
      </c>
      <c r="V803" s="161">
        <f t="shared" si="14"/>
        <v>0</v>
      </c>
      <c r="Y803" s="30"/>
      <c r="Z803" s="169">
        <f t="shared" si="2"/>
        <v>0</v>
      </c>
      <c r="AA803" s="167">
        <f t="shared" si="3"/>
        <v>0</v>
      </c>
      <c r="AB803" s="161"/>
      <c r="AC803" s="161">
        <f t="shared" si="4"/>
        <v>0</v>
      </c>
      <c r="AD803" s="161">
        <f t="shared" si="5"/>
        <v>0</v>
      </c>
      <c r="AE803" s="161">
        <f t="shared" si="6"/>
        <v>0</v>
      </c>
      <c r="AF803" s="167">
        <f t="shared" si="7"/>
        <v>0</v>
      </c>
      <c r="AG803" s="167">
        <f t="shared" si="8"/>
        <v>0</v>
      </c>
      <c r="AH803" s="158"/>
      <c r="AI803" s="158"/>
    </row>
    <row r="804" ht="12.75" customHeight="1">
      <c r="B804" s="160" t="str">
        <f>iferror(VLOOKUP((LEFT(A804,6)),CUSTOMER_DETAILS,2,FALSE),"-")</f>
        <v>-</v>
      </c>
      <c r="C804" s="161" t="s">
        <v>89</v>
      </c>
      <c r="D804" s="162"/>
      <c r="E804" s="161" t="s">
        <v>89</v>
      </c>
      <c r="F804" s="30" t="s">
        <v>89</v>
      </c>
      <c r="G804" s="30" t="s">
        <v>89</v>
      </c>
      <c r="H804" s="30" t="s">
        <v>89</v>
      </c>
      <c r="I804" s="48" t="s">
        <v>108</v>
      </c>
      <c r="J804" s="188" t="str">
        <f t="shared" si="15"/>
        <v/>
      </c>
      <c r="L804" s="48" t="s">
        <v>108</v>
      </c>
      <c r="O804" s="30" t="s">
        <v>89</v>
      </c>
      <c r="Q804" s="192"/>
      <c r="R804" s="161" t="str">
        <f>IFERROR(VLOOKUP(Q804,'PRODUCT TABLE'!$A$2:$B$26,2,FALSE),"-")</f>
        <v>-</v>
      </c>
      <c r="V804" s="161">
        <f t="shared" si="14"/>
        <v>0</v>
      </c>
      <c r="Y804" s="30"/>
      <c r="Z804" s="169">
        <f t="shared" si="2"/>
        <v>0</v>
      </c>
      <c r="AA804" s="167">
        <f t="shared" si="3"/>
        <v>0</v>
      </c>
      <c r="AB804" s="161"/>
      <c r="AC804" s="161">
        <f t="shared" si="4"/>
        <v>0</v>
      </c>
      <c r="AD804" s="161">
        <f t="shared" si="5"/>
        <v>0</v>
      </c>
      <c r="AE804" s="161">
        <f t="shared" si="6"/>
        <v>0</v>
      </c>
      <c r="AF804" s="167">
        <f t="shared" si="7"/>
        <v>0</v>
      </c>
      <c r="AG804" s="167">
        <f t="shared" si="8"/>
        <v>0</v>
      </c>
      <c r="AH804" s="158"/>
      <c r="AI804" s="158"/>
    </row>
    <row r="805" ht="12.75" customHeight="1">
      <c r="B805" s="160" t="str">
        <f>iferror(VLOOKUP((LEFT(A805,6)),CUSTOMER_DETAILS,2,FALSE),"-")</f>
        <v>-</v>
      </c>
      <c r="C805" s="161" t="s">
        <v>89</v>
      </c>
      <c r="D805" s="162"/>
      <c r="E805" s="161" t="s">
        <v>89</v>
      </c>
      <c r="F805" s="30" t="s">
        <v>89</v>
      </c>
      <c r="G805" s="30" t="s">
        <v>89</v>
      </c>
      <c r="H805" s="30" t="s">
        <v>89</v>
      </c>
      <c r="I805" s="48" t="s">
        <v>108</v>
      </c>
      <c r="J805" s="188" t="str">
        <f t="shared" si="15"/>
        <v/>
      </c>
      <c r="L805" s="48" t="s">
        <v>108</v>
      </c>
      <c r="O805" s="30" t="s">
        <v>89</v>
      </c>
      <c r="Q805" s="192"/>
      <c r="R805" s="161" t="str">
        <f>IFERROR(VLOOKUP(Q805,'PRODUCT TABLE'!$A$2:$B$26,2,FALSE),"-")</f>
        <v>-</v>
      </c>
      <c r="V805" s="161">
        <f t="shared" si="14"/>
        <v>0</v>
      </c>
      <c r="Y805" s="30"/>
      <c r="Z805" s="169">
        <f t="shared" si="2"/>
        <v>0</v>
      </c>
      <c r="AA805" s="167">
        <f t="shared" si="3"/>
        <v>0</v>
      </c>
      <c r="AB805" s="161"/>
      <c r="AC805" s="161">
        <f t="shared" si="4"/>
        <v>0</v>
      </c>
      <c r="AD805" s="161">
        <f t="shared" si="5"/>
        <v>0</v>
      </c>
      <c r="AE805" s="161">
        <f t="shared" si="6"/>
        <v>0</v>
      </c>
      <c r="AF805" s="167">
        <f t="shared" si="7"/>
        <v>0</v>
      </c>
      <c r="AG805" s="167">
        <f t="shared" si="8"/>
        <v>0</v>
      </c>
      <c r="AH805" s="158"/>
      <c r="AI805" s="158"/>
    </row>
    <row r="806" ht="12.75" customHeight="1">
      <c r="B806" s="160" t="str">
        <f>iferror(VLOOKUP((LEFT(A806,6)),CUSTOMER_DETAILS,2,FALSE),"-")</f>
        <v>-</v>
      </c>
      <c r="C806" s="161" t="s">
        <v>89</v>
      </c>
      <c r="D806" s="162"/>
      <c r="E806" s="161" t="s">
        <v>89</v>
      </c>
      <c r="F806" s="30" t="s">
        <v>89</v>
      </c>
      <c r="G806" s="30" t="s">
        <v>89</v>
      </c>
      <c r="H806" s="30" t="s">
        <v>89</v>
      </c>
      <c r="I806" s="48" t="s">
        <v>108</v>
      </c>
      <c r="J806" s="188" t="str">
        <f t="shared" si="15"/>
        <v/>
      </c>
      <c r="L806" s="48" t="s">
        <v>108</v>
      </c>
      <c r="O806" s="30" t="s">
        <v>89</v>
      </c>
      <c r="Q806" s="192"/>
      <c r="R806" s="161" t="str">
        <f>IFERROR(VLOOKUP(Q806,'PRODUCT TABLE'!$A$2:$B$26,2,FALSE),"-")</f>
        <v>-</v>
      </c>
      <c r="V806" s="161">
        <f t="shared" si="14"/>
        <v>0</v>
      </c>
      <c r="Y806" s="30"/>
      <c r="Z806" s="169">
        <f t="shared" si="2"/>
        <v>0</v>
      </c>
      <c r="AA806" s="167">
        <f t="shared" si="3"/>
        <v>0</v>
      </c>
      <c r="AB806" s="161"/>
      <c r="AC806" s="161">
        <f t="shared" si="4"/>
        <v>0</v>
      </c>
      <c r="AD806" s="161">
        <f t="shared" si="5"/>
        <v>0</v>
      </c>
      <c r="AE806" s="161">
        <f t="shared" si="6"/>
        <v>0</v>
      </c>
      <c r="AF806" s="167">
        <f t="shared" si="7"/>
        <v>0</v>
      </c>
      <c r="AG806" s="167">
        <f t="shared" si="8"/>
        <v>0</v>
      </c>
      <c r="AH806" s="158"/>
      <c r="AI806" s="158"/>
    </row>
    <row r="807" ht="12.75" customHeight="1">
      <c r="B807" s="160" t="str">
        <f>iferror(VLOOKUP((LEFT(A807,6)),CUSTOMER_DETAILS,2,FALSE),"-")</f>
        <v>-</v>
      </c>
      <c r="C807" s="161" t="s">
        <v>89</v>
      </c>
      <c r="D807" s="162"/>
      <c r="E807" s="161" t="s">
        <v>89</v>
      </c>
      <c r="F807" s="30" t="s">
        <v>89</v>
      </c>
      <c r="G807" s="30" t="s">
        <v>89</v>
      </c>
      <c r="H807" s="30" t="s">
        <v>89</v>
      </c>
      <c r="I807" s="48" t="s">
        <v>108</v>
      </c>
      <c r="J807" s="188" t="str">
        <f t="shared" si="15"/>
        <v/>
      </c>
      <c r="L807" s="48" t="s">
        <v>108</v>
      </c>
      <c r="O807" s="30" t="s">
        <v>89</v>
      </c>
      <c r="Q807" s="192"/>
      <c r="R807" s="161" t="str">
        <f>IFERROR(VLOOKUP(Q807,'PRODUCT TABLE'!$A$2:$B$26,2,FALSE),"-")</f>
        <v>-</v>
      </c>
      <c r="V807" s="161">
        <f t="shared" si="14"/>
        <v>0</v>
      </c>
      <c r="Y807" s="30"/>
      <c r="Z807" s="169">
        <f t="shared" si="2"/>
        <v>0</v>
      </c>
      <c r="AA807" s="167">
        <f t="shared" si="3"/>
        <v>0</v>
      </c>
      <c r="AB807" s="161"/>
      <c r="AC807" s="161">
        <f t="shared" si="4"/>
        <v>0</v>
      </c>
      <c r="AD807" s="161">
        <f t="shared" si="5"/>
        <v>0</v>
      </c>
      <c r="AE807" s="161">
        <f t="shared" si="6"/>
        <v>0</v>
      </c>
      <c r="AF807" s="167">
        <f t="shared" si="7"/>
        <v>0</v>
      </c>
      <c r="AG807" s="167">
        <f t="shared" si="8"/>
        <v>0</v>
      </c>
      <c r="AH807" s="158"/>
      <c r="AI807" s="158"/>
    </row>
    <row r="808" ht="12.75" customHeight="1">
      <c r="B808" s="160" t="str">
        <f>iferror(VLOOKUP((LEFT(A808,6)),CUSTOMER_DETAILS,2,FALSE),"-")</f>
        <v>-</v>
      </c>
      <c r="C808" s="161" t="s">
        <v>89</v>
      </c>
      <c r="D808" s="162"/>
      <c r="E808" s="161" t="s">
        <v>89</v>
      </c>
      <c r="F808" s="30" t="s">
        <v>89</v>
      </c>
      <c r="G808" s="30" t="s">
        <v>89</v>
      </c>
      <c r="H808" s="30" t="s">
        <v>89</v>
      </c>
      <c r="I808" s="48" t="s">
        <v>108</v>
      </c>
      <c r="J808" s="188" t="str">
        <f t="shared" si="15"/>
        <v/>
      </c>
      <c r="L808" s="48" t="s">
        <v>108</v>
      </c>
      <c r="O808" s="30" t="s">
        <v>89</v>
      </c>
      <c r="Q808" s="192"/>
      <c r="R808" s="161" t="str">
        <f>IFERROR(VLOOKUP(Q808,'PRODUCT TABLE'!$A$2:$B$26,2,FALSE),"-")</f>
        <v>-</v>
      </c>
      <c r="V808" s="161">
        <f t="shared" si="14"/>
        <v>0</v>
      </c>
      <c r="Y808" s="30"/>
      <c r="Z808" s="169">
        <f t="shared" si="2"/>
        <v>0</v>
      </c>
      <c r="AA808" s="167">
        <f t="shared" si="3"/>
        <v>0</v>
      </c>
      <c r="AB808" s="161"/>
      <c r="AC808" s="161">
        <f t="shared" si="4"/>
        <v>0</v>
      </c>
      <c r="AD808" s="161">
        <f t="shared" si="5"/>
        <v>0</v>
      </c>
      <c r="AE808" s="161">
        <f t="shared" si="6"/>
        <v>0</v>
      </c>
      <c r="AF808" s="167">
        <f t="shared" si="7"/>
        <v>0</v>
      </c>
      <c r="AG808" s="167">
        <f t="shared" si="8"/>
        <v>0</v>
      </c>
      <c r="AH808" s="158"/>
      <c r="AI808" s="158"/>
    </row>
    <row r="809" ht="12.75" customHeight="1">
      <c r="B809" s="160" t="str">
        <f>iferror(VLOOKUP((LEFT(A809,6)),CUSTOMER_DETAILS,2,FALSE),"-")</f>
        <v>-</v>
      </c>
      <c r="C809" s="161" t="s">
        <v>89</v>
      </c>
      <c r="D809" s="162"/>
      <c r="E809" s="161" t="s">
        <v>89</v>
      </c>
      <c r="F809" s="30" t="s">
        <v>89</v>
      </c>
      <c r="G809" s="30" t="s">
        <v>89</v>
      </c>
      <c r="H809" s="30" t="s">
        <v>89</v>
      </c>
      <c r="I809" s="48" t="s">
        <v>108</v>
      </c>
      <c r="J809" s="188" t="str">
        <f t="shared" si="15"/>
        <v/>
      </c>
      <c r="L809" s="48" t="s">
        <v>108</v>
      </c>
      <c r="O809" s="30" t="s">
        <v>89</v>
      </c>
      <c r="Q809" s="192"/>
      <c r="R809" s="161" t="str">
        <f>IFERROR(VLOOKUP(Q809,'PRODUCT TABLE'!$A$2:$B$26,2,FALSE),"-")</f>
        <v>-</v>
      </c>
      <c r="V809" s="161">
        <f t="shared" si="14"/>
        <v>0</v>
      </c>
      <c r="Y809" s="30"/>
      <c r="Z809" s="169">
        <f t="shared" si="2"/>
        <v>0</v>
      </c>
      <c r="AA809" s="167">
        <f t="shared" si="3"/>
        <v>0</v>
      </c>
      <c r="AB809" s="161"/>
      <c r="AC809" s="161">
        <f t="shared" si="4"/>
        <v>0</v>
      </c>
      <c r="AD809" s="161">
        <f t="shared" si="5"/>
        <v>0</v>
      </c>
      <c r="AE809" s="161">
        <f t="shared" si="6"/>
        <v>0</v>
      </c>
      <c r="AF809" s="167">
        <f t="shared" si="7"/>
        <v>0</v>
      </c>
      <c r="AG809" s="167">
        <f t="shared" si="8"/>
        <v>0</v>
      </c>
      <c r="AH809" s="158"/>
      <c r="AI809" s="158"/>
    </row>
    <row r="810" ht="12.75" customHeight="1">
      <c r="B810" s="160" t="str">
        <f>iferror(VLOOKUP((LEFT(A810,6)),CUSTOMER_DETAILS,2,FALSE),"-")</f>
        <v>-</v>
      </c>
      <c r="C810" s="161" t="s">
        <v>89</v>
      </c>
      <c r="D810" s="162"/>
      <c r="E810" s="161" t="s">
        <v>89</v>
      </c>
      <c r="F810" s="30" t="s">
        <v>89</v>
      </c>
      <c r="G810" s="30" t="s">
        <v>89</v>
      </c>
      <c r="H810" s="30" t="s">
        <v>89</v>
      </c>
      <c r="I810" s="48" t="s">
        <v>108</v>
      </c>
      <c r="J810" s="188" t="str">
        <f t="shared" si="15"/>
        <v/>
      </c>
      <c r="L810" s="48" t="s">
        <v>108</v>
      </c>
      <c r="O810" s="30" t="s">
        <v>89</v>
      </c>
      <c r="Q810" s="192"/>
      <c r="R810" s="161" t="str">
        <f>IFERROR(VLOOKUP(Q810,'PRODUCT TABLE'!$A$2:$B$26,2,FALSE),"-")</f>
        <v>-</v>
      </c>
      <c r="V810" s="161">
        <f t="shared" si="14"/>
        <v>0</v>
      </c>
      <c r="Y810" s="30"/>
      <c r="Z810" s="169">
        <f t="shared" si="2"/>
        <v>0</v>
      </c>
      <c r="AA810" s="167">
        <f t="shared" si="3"/>
        <v>0</v>
      </c>
      <c r="AB810" s="161"/>
      <c r="AC810" s="161">
        <f t="shared" si="4"/>
        <v>0</v>
      </c>
      <c r="AD810" s="161">
        <f t="shared" si="5"/>
        <v>0</v>
      </c>
      <c r="AE810" s="161">
        <f t="shared" si="6"/>
        <v>0</v>
      </c>
      <c r="AF810" s="167">
        <f t="shared" si="7"/>
        <v>0</v>
      </c>
      <c r="AG810" s="167">
        <f t="shared" si="8"/>
        <v>0</v>
      </c>
      <c r="AH810" s="158"/>
      <c r="AI810" s="158"/>
    </row>
    <row r="811" ht="12.75" customHeight="1">
      <c r="B811" s="160" t="str">
        <f>iferror(VLOOKUP((LEFT(A811,6)),CUSTOMER_DETAILS,2,FALSE),"-")</f>
        <v>-</v>
      </c>
      <c r="C811" s="161" t="s">
        <v>89</v>
      </c>
      <c r="D811" s="162"/>
      <c r="E811" s="161" t="s">
        <v>89</v>
      </c>
      <c r="F811" s="30" t="s">
        <v>89</v>
      </c>
      <c r="G811" s="30" t="s">
        <v>89</v>
      </c>
      <c r="H811" s="30" t="s">
        <v>89</v>
      </c>
      <c r="I811" s="48" t="s">
        <v>108</v>
      </c>
      <c r="J811" s="188" t="str">
        <f t="shared" si="15"/>
        <v/>
      </c>
      <c r="L811" s="48" t="s">
        <v>108</v>
      </c>
      <c r="O811" s="30" t="s">
        <v>89</v>
      </c>
      <c r="Q811" s="192"/>
      <c r="R811" s="161" t="str">
        <f>IFERROR(VLOOKUP(Q811,'PRODUCT TABLE'!$A$2:$B$26,2,FALSE),"-")</f>
        <v>-</v>
      </c>
      <c r="V811" s="161">
        <f t="shared" si="14"/>
        <v>0</v>
      </c>
      <c r="Y811" s="30"/>
      <c r="Z811" s="169">
        <f t="shared" si="2"/>
        <v>0</v>
      </c>
      <c r="AA811" s="167">
        <f t="shared" si="3"/>
        <v>0</v>
      </c>
      <c r="AB811" s="161"/>
      <c r="AC811" s="161">
        <f t="shared" si="4"/>
        <v>0</v>
      </c>
      <c r="AD811" s="161">
        <f t="shared" si="5"/>
        <v>0</v>
      </c>
      <c r="AE811" s="161">
        <f t="shared" si="6"/>
        <v>0</v>
      </c>
      <c r="AF811" s="167">
        <f t="shared" si="7"/>
        <v>0</v>
      </c>
      <c r="AG811" s="167">
        <f t="shared" si="8"/>
        <v>0</v>
      </c>
      <c r="AH811" s="158"/>
      <c r="AI811" s="158"/>
    </row>
    <row r="812" ht="12.75" customHeight="1">
      <c r="B812" s="160" t="str">
        <f>iferror(VLOOKUP((LEFT(A812,6)),CUSTOMER_DETAILS,2,FALSE),"-")</f>
        <v>-</v>
      </c>
      <c r="C812" s="161" t="s">
        <v>89</v>
      </c>
      <c r="D812" s="162"/>
      <c r="E812" s="161" t="s">
        <v>89</v>
      </c>
      <c r="F812" s="30" t="s">
        <v>89</v>
      </c>
      <c r="G812" s="30" t="s">
        <v>89</v>
      </c>
      <c r="H812" s="30" t="s">
        <v>89</v>
      </c>
      <c r="I812" s="48" t="s">
        <v>108</v>
      </c>
      <c r="J812" s="188" t="str">
        <f t="shared" si="15"/>
        <v/>
      </c>
      <c r="L812" s="48" t="s">
        <v>108</v>
      </c>
      <c r="O812" s="30" t="s">
        <v>89</v>
      </c>
      <c r="Q812" s="192"/>
      <c r="R812" s="161" t="str">
        <f>IFERROR(VLOOKUP(Q812,'PRODUCT TABLE'!$A$2:$B$26,2,FALSE),"-")</f>
        <v>-</v>
      </c>
      <c r="V812" s="161">
        <f t="shared" si="14"/>
        <v>0</v>
      </c>
      <c r="Y812" s="30"/>
      <c r="Z812" s="169">
        <f t="shared" si="2"/>
        <v>0</v>
      </c>
      <c r="AA812" s="167">
        <f t="shared" si="3"/>
        <v>0</v>
      </c>
      <c r="AB812" s="161"/>
      <c r="AC812" s="161">
        <f t="shared" si="4"/>
        <v>0</v>
      </c>
      <c r="AD812" s="161">
        <f t="shared" si="5"/>
        <v>0</v>
      </c>
      <c r="AE812" s="161">
        <f t="shared" si="6"/>
        <v>0</v>
      </c>
      <c r="AF812" s="167">
        <f t="shared" si="7"/>
        <v>0</v>
      </c>
      <c r="AG812" s="167">
        <f t="shared" si="8"/>
        <v>0</v>
      </c>
      <c r="AH812" s="158"/>
      <c r="AI812" s="158"/>
    </row>
    <row r="813" ht="12.75" customHeight="1">
      <c r="B813" s="160" t="str">
        <f>iferror(VLOOKUP((LEFT(A813,6)),CUSTOMER_DETAILS,2,FALSE),"-")</f>
        <v>-</v>
      </c>
      <c r="C813" s="161" t="s">
        <v>89</v>
      </c>
      <c r="D813" s="162"/>
      <c r="E813" s="161" t="s">
        <v>89</v>
      </c>
      <c r="F813" s="30" t="s">
        <v>89</v>
      </c>
      <c r="G813" s="30" t="s">
        <v>89</v>
      </c>
      <c r="H813" s="30" t="s">
        <v>89</v>
      </c>
      <c r="I813" s="48" t="s">
        <v>108</v>
      </c>
      <c r="J813" s="188" t="str">
        <f t="shared" si="15"/>
        <v/>
      </c>
      <c r="L813" s="48" t="s">
        <v>108</v>
      </c>
      <c r="O813" s="30" t="s">
        <v>89</v>
      </c>
      <c r="Q813" s="192"/>
      <c r="R813" s="161" t="str">
        <f>IFERROR(VLOOKUP(Q813,'PRODUCT TABLE'!$A$2:$B$26,2,FALSE),"-")</f>
        <v>-</v>
      </c>
      <c r="V813" s="161">
        <f t="shared" si="14"/>
        <v>0</v>
      </c>
      <c r="Y813" s="30"/>
      <c r="Z813" s="169">
        <f t="shared" si="2"/>
        <v>0</v>
      </c>
      <c r="AA813" s="167">
        <f t="shared" si="3"/>
        <v>0</v>
      </c>
      <c r="AB813" s="161"/>
      <c r="AC813" s="161">
        <f t="shared" si="4"/>
        <v>0</v>
      </c>
      <c r="AD813" s="161">
        <f t="shared" si="5"/>
        <v>0</v>
      </c>
      <c r="AE813" s="161">
        <f t="shared" si="6"/>
        <v>0</v>
      </c>
      <c r="AF813" s="167">
        <f t="shared" si="7"/>
        <v>0</v>
      </c>
      <c r="AG813" s="167">
        <f t="shared" si="8"/>
        <v>0</v>
      </c>
      <c r="AH813" s="158"/>
      <c r="AI813" s="158"/>
    </row>
    <row r="814" ht="12.75" customHeight="1">
      <c r="B814" s="160" t="str">
        <f>iferror(VLOOKUP((LEFT(A814,6)),CUSTOMER_DETAILS,2,FALSE),"-")</f>
        <v>-</v>
      </c>
      <c r="C814" s="161" t="s">
        <v>89</v>
      </c>
      <c r="D814" s="162"/>
      <c r="E814" s="161" t="s">
        <v>89</v>
      </c>
      <c r="F814" s="30" t="s">
        <v>89</v>
      </c>
      <c r="G814" s="30" t="s">
        <v>89</v>
      </c>
      <c r="H814" s="30" t="s">
        <v>89</v>
      </c>
      <c r="I814" s="48" t="s">
        <v>108</v>
      </c>
      <c r="J814" s="188" t="str">
        <f t="shared" si="15"/>
        <v/>
      </c>
      <c r="L814" s="48" t="s">
        <v>108</v>
      </c>
      <c r="O814" s="30" t="s">
        <v>89</v>
      </c>
      <c r="Q814" s="192"/>
      <c r="R814" s="161" t="str">
        <f>IFERROR(VLOOKUP(Q814,'PRODUCT TABLE'!$A$2:$B$26,2,FALSE),"-")</f>
        <v>-</v>
      </c>
      <c r="V814" s="161">
        <f t="shared" si="14"/>
        <v>0</v>
      </c>
      <c r="Y814" s="30"/>
      <c r="Z814" s="169">
        <f t="shared" si="2"/>
        <v>0</v>
      </c>
      <c r="AA814" s="167">
        <f t="shared" si="3"/>
        <v>0</v>
      </c>
      <c r="AB814" s="161"/>
      <c r="AC814" s="161">
        <f t="shared" si="4"/>
        <v>0</v>
      </c>
      <c r="AD814" s="161">
        <f t="shared" si="5"/>
        <v>0</v>
      </c>
      <c r="AE814" s="161">
        <f t="shared" si="6"/>
        <v>0</v>
      </c>
      <c r="AF814" s="167">
        <f t="shared" si="7"/>
        <v>0</v>
      </c>
      <c r="AG814" s="167">
        <f t="shared" si="8"/>
        <v>0</v>
      </c>
      <c r="AH814" s="158"/>
      <c r="AI814" s="158"/>
    </row>
    <row r="815" ht="12.75" customHeight="1">
      <c r="B815" s="160" t="str">
        <f>iferror(VLOOKUP((LEFT(A815,6)),CUSTOMER_DETAILS,2,FALSE),"-")</f>
        <v>-</v>
      </c>
      <c r="C815" s="161" t="s">
        <v>89</v>
      </c>
      <c r="D815" s="162"/>
      <c r="E815" s="161" t="s">
        <v>89</v>
      </c>
      <c r="F815" s="30" t="s">
        <v>89</v>
      </c>
      <c r="G815" s="30" t="s">
        <v>89</v>
      </c>
      <c r="H815" s="30" t="s">
        <v>89</v>
      </c>
      <c r="I815" s="48" t="s">
        <v>108</v>
      </c>
      <c r="J815" s="188" t="str">
        <f t="shared" si="15"/>
        <v/>
      </c>
      <c r="L815" s="48" t="s">
        <v>108</v>
      </c>
      <c r="O815" s="30" t="s">
        <v>89</v>
      </c>
      <c r="Q815" s="192"/>
      <c r="R815" s="161" t="str">
        <f>IFERROR(VLOOKUP(Q815,'PRODUCT TABLE'!$A$2:$B$26,2,FALSE),"-")</f>
        <v>-</v>
      </c>
      <c r="V815" s="161">
        <f t="shared" si="14"/>
        <v>0</v>
      </c>
      <c r="Y815" s="30"/>
      <c r="Z815" s="169">
        <f t="shared" si="2"/>
        <v>0</v>
      </c>
      <c r="AA815" s="167">
        <f t="shared" si="3"/>
        <v>0</v>
      </c>
      <c r="AB815" s="161"/>
      <c r="AC815" s="161">
        <f t="shared" si="4"/>
        <v>0</v>
      </c>
      <c r="AD815" s="161">
        <f t="shared" si="5"/>
        <v>0</v>
      </c>
      <c r="AE815" s="161">
        <f t="shared" si="6"/>
        <v>0</v>
      </c>
      <c r="AF815" s="167">
        <f t="shared" si="7"/>
        <v>0</v>
      </c>
      <c r="AG815" s="167">
        <f t="shared" si="8"/>
        <v>0</v>
      </c>
      <c r="AH815" s="158"/>
      <c r="AI815" s="158"/>
    </row>
    <row r="816" ht="12.75" customHeight="1">
      <c r="B816" s="160" t="str">
        <f>iferror(VLOOKUP((LEFT(A816,6)),CUSTOMER_DETAILS,2,FALSE),"-")</f>
        <v>-</v>
      </c>
      <c r="C816" s="161" t="s">
        <v>89</v>
      </c>
      <c r="D816" s="162"/>
      <c r="E816" s="161" t="s">
        <v>89</v>
      </c>
      <c r="F816" s="30" t="s">
        <v>89</v>
      </c>
      <c r="G816" s="30" t="s">
        <v>89</v>
      </c>
      <c r="H816" s="30" t="s">
        <v>89</v>
      </c>
      <c r="I816" s="48" t="s">
        <v>108</v>
      </c>
      <c r="J816" s="188" t="str">
        <f t="shared" si="15"/>
        <v/>
      </c>
      <c r="L816" s="48" t="s">
        <v>108</v>
      </c>
      <c r="O816" s="30" t="s">
        <v>89</v>
      </c>
      <c r="Q816" s="192"/>
      <c r="R816" s="161" t="str">
        <f>IFERROR(VLOOKUP(Q816,'PRODUCT TABLE'!$A$2:$B$26,2,FALSE),"-")</f>
        <v>-</v>
      </c>
      <c r="V816" s="161">
        <f t="shared" si="14"/>
        <v>0</v>
      </c>
      <c r="Y816" s="30"/>
      <c r="Z816" s="169">
        <f t="shared" si="2"/>
        <v>0</v>
      </c>
      <c r="AA816" s="167">
        <f t="shared" si="3"/>
        <v>0</v>
      </c>
      <c r="AB816" s="161"/>
      <c r="AC816" s="161">
        <f t="shared" si="4"/>
        <v>0</v>
      </c>
      <c r="AD816" s="161">
        <f t="shared" si="5"/>
        <v>0</v>
      </c>
      <c r="AE816" s="161">
        <f t="shared" si="6"/>
        <v>0</v>
      </c>
      <c r="AF816" s="167">
        <f t="shared" si="7"/>
        <v>0</v>
      </c>
      <c r="AG816" s="167">
        <f t="shared" si="8"/>
        <v>0</v>
      </c>
      <c r="AH816" s="158"/>
      <c r="AI816" s="158"/>
    </row>
    <row r="817" ht="12.75" customHeight="1">
      <c r="B817" s="160" t="str">
        <f>iferror(VLOOKUP((LEFT(A817,6)),CUSTOMER_DETAILS,2,FALSE),"-")</f>
        <v>-</v>
      </c>
      <c r="C817" s="161" t="s">
        <v>89</v>
      </c>
      <c r="D817" s="162"/>
      <c r="E817" s="161" t="s">
        <v>89</v>
      </c>
      <c r="F817" s="30" t="s">
        <v>89</v>
      </c>
      <c r="G817" s="30" t="s">
        <v>89</v>
      </c>
      <c r="H817" s="30" t="s">
        <v>89</v>
      </c>
      <c r="I817" s="48" t="s">
        <v>108</v>
      </c>
      <c r="J817" s="188" t="str">
        <f t="shared" si="15"/>
        <v/>
      </c>
      <c r="L817" s="48" t="s">
        <v>108</v>
      </c>
      <c r="O817" s="30" t="s">
        <v>89</v>
      </c>
      <c r="Q817" s="192"/>
      <c r="R817" s="161" t="str">
        <f>IFERROR(VLOOKUP(Q817,'PRODUCT TABLE'!$A$2:$B$26,2,FALSE),"-")</f>
        <v>-</v>
      </c>
      <c r="V817" s="161">
        <f t="shared" si="14"/>
        <v>0</v>
      </c>
      <c r="Y817" s="30"/>
      <c r="Z817" s="169">
        <f t="shared" si="2"/>
        <v>0</v>
      </c>
      <c r="AA817" s="167">
        <f t="shared" si="3"/>
        <v>0</v>
      </c>
      <c r="AB817" s="161"/>
      <c r="AC817" s="161">
        <f t="shared" si="4"/>
        <v>0</v>
      </c>
      <c r="AD817" s="161">
        <f t="shared" si="5"/>
        <v>0</v>
      </c>
      <c r="AE817" s="161">
        <f t="shared" si="6"/>
        <v>0</v>
      </c>
      <c r="AF817" s="167">
        <f t="shared" si="7"/>
        <v>0</v>
      </c>
      <c r="AG817" s="167">
        <f t="shared" si="8"/>
        <v>0</v>
      </c>
      <c r="AH817" s="158"/>
      <c r="AI817" s="158"/>
    </row>
    <row r="818" ht="12.75" customHeight="1">
      <c r="B818" s="160" t="str">
        <f>iferror(VLOOKUP((LEFT(A818,6)),CUSTOMER_DETAILS,2,FALSE),"-")</f>
        <v>-</v>
      </c>
      <c r="C818" s="161" t="s">
        <v>89</v>
      </c>
      <c r="D818" s="162"/>
      <c r="E818" s="161" t="s">
        <v>89</v>
      </c>
      <c r="F818" s="30" t="s">
        <v>89</v>
      </c>
      <c r="G818" s="30" t="s">
        <v>89</v>
      </c>
      <c r="H818" s="30" t="s">
        <v>89</v>
      </c>
      <c r="I818" s="48" t="s">
        <v>108</v>
      </c>
      <c r="J818" s="188" t="str">
        <f t="shared" si="15"/>
        <v/>
      </c>
      <c r="L818" s="48" t="s">
        <v>108</v>
      </c>
      <c r="O818" s="30" t="s">
        <v>89</v>
      </c>
      <c r="Q818" s="192"/>
      <c r="R818" s="161" t="str">
        <f>IFERROR(VLOOKUP(Q818,'PRODUCT TABLE'!$A$2:$B$26,2,FALSE),"-")</f>
        <v>-</v>
      </c>
      <c r="V818" s="161">
        <f t="shared" si="14"/>
        <v>0</v>
      </c>
      <c r="Y818" s="30"/>
      <c r="Z818" s="169">
        <f t="shared" si="2"/>
        <v>0</v>
      </c>
      <c r="AA818" s="167">
        <f t="shared" si="3"/>
        <v>0</v>
      </c>
      <c r="AB818" s="161"/>
      <c r="AC818" s="161">
        <f t="shared" si="4"/>
        <v>0</v>
      </c>
      <c r="AD818" s="161">
        <f t="shared" si="5"/>
        <v>0</v>
      </c>
      <c r="AE818" s="161">
        <f t="shared" si="6"/>
        <v>0</v>
      </c>
      <c r="AF818" s="167">
        <f t="shared" si="7"/>
        <v>0</v>
      </c>
      <c r="AG818" s="167">
        <f t="shared" si="8"/>
        <v>0</v>
      </c>
      <c r="AH818" s="158"/>
      <c r="AI818" s="158"/>
    </row>
    <row r="819" ht="12.75" customHeight="1">
      <c r="B819" s="160" t="str">
        <f>iferror(VLOOKUP((LEFT(A819,6)),CUSTOMER_DETAILS,2,FALSE),"-")</f>
        <v>-</v>
      </c>
      <c r="C819" s="161" t="s">
        <v>89</v>
      </c>
      <c r="D819" s="162"/>
      <c r="E819" s="161" t="s">
        <v>89</v>
      </c>
      <c r="F819" s="30" t="s">
        <v>89</v>
      </c>
      <c r="G819" s="30" t="s">
        <v>89</v>
      </c>
      <c r="H819" s="30" t="s">
        <v>89</v>
      </c>
      <c r="I819" s="48" t="s">
        <v>108</v>
      </c>
      <c r="J819" s="188" t="str">
        <f t="shared" si="15"/>
        <v/>
      </c>
      <c r="L819" s="48" t="s">
        <v>108</v>
      </c>
      <c r="O819" s="30" t="s">
        <v>89</v>
      </c>
      <c r="Q819" s="192"/>
      <c r="R819" s="161" t="str">
        <f>IFERROR(VLOOKUP(Q819,'PRODUCT TABLE'!$A$2:$B$26,2,FALSE),"-")</f>
        <v>-</v>
      </c>
      <c r="V819" s="161">
        <f t="shared" si="14"/>
        <v>0</v>
      </c>
      <c r="Y819" s="30"/>
      <c r="Z819" s="169">
        <f t="shared" si="2"/>
        <v>0</v>
      </c>
      <c r="AA819" s="167">
        <f t="shared" si="3"/>
        <v>0</v>
      </c>
      <c r="AB819" s="161"/>
      <c r="AC819" s="161">
        <f t="shared" si="4"/>
        <v>0</v>
      </c>
      <c r="AD819" s="161">
        <f t="shared" si="5"/>
        <v>0</v>
      </c>
      <c r="AE819" s="161">
        <f t="shared" si="6"/>
        <v>0</v>
      </c>
      <c r="AF819" s="167">
        <f t="shared" si="7"/>
        <v>0</v>
      </c>
      <c r="AG819" s="167">
        <f t="shared" si="8"/>
        <v>0</v>
      </c>
      <c r="AH819" s="158"/>
      <c r="AI819" s="158"/>
    </row>
    <row r="820" ht="12.75" customHeight="1">
      <c r="B820" s="160" t="str">
        <f>iferror(VLOOKUP((LEFT(A820,6)),CUSTOMER_DETAILS,2,FALSE),"-")</f>
        <v>-</v>
      </c>
      <c r="C820" s="161" t="s">
        <v>89</v>
      </c>
      <c r="D820" s="162"/>
      <c r="E820" s="161" t="s">
        <v>89</v>
      </c>
      <c r="F820" s="30" t="s">
        <v>89</v>
      </c>
      <c r="G820" s="30" t="s">
        <v>89</v>
      </c>
      <c r="H820" s="30" t="s">
        <v>89</v>
      </c>
      <c r="I820" s="48" t="s">
        <v>108</v>
      </c>
      <c r="J820" s="188" t="str">
        <f t="shared" si="15"/>
        <v/>
      </c>
      <c r="L820" s="48" t="s">
        <v>108</v>
      </c>
      <c r="O820" s="30" t="s">
        <v>89</v>
      </c>
      <c r="Q820" s="192"/>
      <c r="R820" s="161" t="str">
        <f>IFERROR(VLOOKUP(Q820,'PRODUCT TABLE'!$A$2:$B$26,2,FALSE),"-")</f>
        <v>-</v>
      </c>
      <c r="V820" s="161">
        <f t="shared" si="14"/>
        <v>0</v>
      </c>
      <c r="Y820" s="30"/>
      <c r="Z820" s="169">
        <f t="shared" si="2"/>
        <v>0</v>
      </c>
      <c r="AA820" s="167">
        <f t="shared" si="3"/>
        <v>0</v>
      </c>
      <c r="AB820" s="161"/>
      <c r="AC820" s="161">
        <f t="shared" si="4"/>
        <v>0</v>
      </c>
      <c r="AD820" s="161">
        <f t="shared" si="5"/>
        <v>0</v>
      </c>
      <c r="AE820" s="161">
        <f t="shared" si="6"/>
        <v>0</v>
      </c>
      <c r="AF820" s="167">
        <f t="shared" si="7"/>
        <v>0</v>
      </c>
      <c r="AG820" s="167">
        <f t="shared" si="8"/>
        <v>0</v>
      </c>
      <c r="AH820" s="158"/>
      <c r="AI820" s="158"/>
    </row>
    <row r="821" ht="12.75" customHeight="1">
      <c r="B821" s="160" t="str">
        <f>iferror(VLOOKUP((LEFT(A821,6)),CUSTOMER_DETAILS,2,FALSE),"-")</f>
        <v>-</v>
      </c>
      <c r="C821" s="161" t="s">
        <v>89</v>
      </c>
      <c r="D821" s="162"/>
      <c r="E821" s="161" t="s">
        <v>89</v>
      </c>
      <c r="F821" s="30" t="s">
        <v>89</v>
      </c>
      <c r="G821" s="30" t="s">
        <v>89</v>
      </c>
      <c r="H821" s="30" t="s">
        <v>89</v>
      </c>
      <c r="I821" s="48" t="s">
        <v>108</v>
      </c>
      <c r="J821" s="188" t="str">
        <f t="shared" si="15"/>
        <v/>
      </c>
      <c r="L821" s="48" t="s">
        <v>108</v>
      </c>
      <c r="O821" s="30" t="s">
        <v>89</v>
      </c>
      <c r="Q821" s="192"/>
      <c r="R821" s="161" t="str">
        <f>IFERROR(VLOOKUP(Q821,'PRODUCT TABLE'!$A$2:$B$26,2,FALSE),"-")</f>
        <v>-</v>
      </c>
      <c r="V821" s="161">
        <f t="shared" si="14"/>
        <v>0</v>
      </c>
      <c r="Y821" s="30"/>
      <c r="Z821" s="169">
        <f t="shared" si="2"/>
        <v>0</v>
      </c>
      <c r="AA821" s="167">
        <f t="shared" si="3"/>
        <v>0</v>
      </c>
      <c r="AB821" s="161"/>
      <c r="AC821" s="161">
        <f t="shared" si="4"/>
        <v>0</v>
      </c>
      <c r="AD821" s="161">
        <f t="shared" si="5"/>
        <v>0</v>
      </c>
      <c r="AE821" s="161">
        <f t="shared" si="6"/>
        <v>0</v>
      </c>
      <c r="AF821" s="167">
        <f t="shared" si="7"/>
        <v>0</v>
      </c>
      <c r="AG821" s="167">
        <f t="shared" si="8"/>
        <v>0</v>
      </c>
      <c r="AH821" s="158"/>
      <c r="AI821" s="158"/>
    </row>
    <row r="822" ht="12.75" customHeight="1">
      <c r="B822" s="160" t="str">
        <f>iferror(VLOOKUP((LEFT(A822,6)),CUSTOMER_DETAILS,2,FALSE),"-")</f>
        <v>-</v>
      </c>
      <c r="C822" s="161" t="s">
        <v>89</v>
      </c>
      <c r="D822" s="162"/>
      <c r="E822" s="161" t="s">
        <v>89</v>
      </c>
      <c r="F822" s="30" t="s">
        <v>89</v>
      </c>
      <c r="G822" s="30" t="s">
        <v>89</v>
      </c>
      <c r="H822" s="30" t="s">
        <v>89</v>
      </c>
      <c r="I822" s="48" t="s">
        <v>108</v>
      </c>
      <c r="J822" s="188" t="str">
        <f t="shared" si="15"/>
        <v/>
      </c>
      <c r="L822" s="48" t="s">
        <v>108</v>
      </c>
      <c r="O822" s="30" t="s">
        <v>89</v>
      </c>
      <c r="Q822" s="192"/>
      <c r="R822" s="161" t="str">
        <f>IFERROR(VLOOKUP(Q822,'PRODUCT TABLE'!$A$2:$B$26,2,FALSE),"-")</f>
        <v>-</v>
      </c>
      <c r="V822" s="161">
        <f t="shared" si="14"/>
        <v>0</v>
      </c>
      <c r="Y822" s="30"/>
      <c r="Z822" s="169">
        <f t="shared" si="2"/>
        <v>0</v>
      </c>
      <c r="AA822" s="167">
        <f t="shared" si="3"/>
        <v>0</v>
      </c>
      <c r="AB822" s="161"/>
      <c r="AC822" s="161">
        <f t="shared" si="4"/>
        <v>0</v>
      </c>
      <c r="AD822" s="161">
        <f t="shared" si="5"/>
        <v>0</v>
      </c>
      <c r="AE822" s="161">
        <f t="shared" si="6"/>
        <v>0</v>
      </c>
      <c r="AF822" s="167">
        <f t="shared" si="7"/>
        <v>0</v>
      </c>
      <c r="AG822" s="167">
        <f t="shared" si="8"/>
        <v>0</v>
      </c>
      <c r="AH822" s="158"/>
      <c r="AI822" s="158"/>
    </row>
    <row r="823" ht="12.75" customHeight="1">
      <c r="B823" s="160" t="str">
        <f>iferror(VLOOKUP((LEFT(A823,6)),CUSTOMER_DETAILS,2,FALSE),"-")</f>
        <v>-</v>
      </c>
      <c r="C823" s="161" t="s">
        <v>89</v>
      </c>
      <c r="D823" s="162"/>
      <c r="E823" s="161" t="s">
        <v>89</v>
      </c>
      <c r="F823" s="30" t="s">
        <v>89</v>
      </c>
      <c r="G823" s="30" t="s">
        <v>89</v>
      </c>
      <c r="H823" s="30" t="s">
        <v>89</v>
      </c>
      <c r="I823" s="48" t="s">
        <v>108</v>
      </c>
      <c r="J823" s="188" t="str">
        <f t="shared" si="15"/>
        <v/>
      </c>
      <c r="L823" s="48" t="s">
        <v>108</v>
      </c>
      <c r="O823" s="30" t="s">
        <v>89</v>
      </c>
      <c r="Q823" s="192"/>
      <c r="R823" s="161" t="str">
        <f>IFERROR(VLOOKUP(Q823,'PRODUCT TABLE'!$A$2:$B$26,2,FALSE),"-")</f>
        <v>-</v>
      </c>
      <c r="V823" s="161">
        <f t="shared" si="14"/>
        <v>0</v>
      </c>
      <c r="Y823" s="30"/>
      <c r="Z823" s="169">
        <f t="shared" si="2"/>
        <v>0</v>
      </c>
      <c r="AA823" s="167">
        <f t="shared" si="3"/>
        <v>0</v>
      </c>
      <c r="AB823" s="161"/>
      <c r="AC823" s="161">
        <f t="shared" si="4"/>
        <v>0</v>
      </c>
      <c r="AD823" s="161">
        <f t="shared" si="5"/>
        <v>0</v>
      </c>
      <c r="AE823" s="161">
        <f t="shared" si="6"/>
        <v>0</v>
      </c>
      <c r="AF823" s="167">
        <f t="shared" si="7"/>
        <v>0</v>
      </c>
      <c r="AG823" s="167">
        <f t="shared" si="8"/>
        <v>0</v>
      </c>
      <c r="AH823" s="158"/>
      <c r="AI823" s="158"/>
    </row>
    <row r="824" ht="12.75" customHeight="1">
      <c r="B824" s="160" t="str">
        <f>iferror(VLOOKUP((LEFT(A824,6)),CUSTOMER_DETAILS,2,FALSE),"-")</f>
        <v>-</v>
      </c>
      <c r="C824" s="161" t="s">
        <v>89</v>
      </c>
      <c r="D824" s="162"/>
      <c r="E824" s="161" t="s">
        <v>89</v>
      </c>
      <c r="F824" s="30" t="s">
        <v>89</v>
      </c>
      <c r="G824" s="30" t="s">
        <v>89</v>
      </c>
      <c r="H824" s="30" t="s">
        <v>89</v>
      </c>
      <c r="I824" s="48" t="s">
        <v>108</v>
      </c>
      <c r="J824" s="188" t="str">
        <f t="shared" si="15"/>
        <v/>
      </c>
      <c r="L824" s="48" t="s">
        <v>108</v>
      </c>
      <c r="O824" s="30" t="s">
        <v>89</v>
      </c>
      <c r="Q824" s="192"/>
      <c r="R824" s="161" t="str">
        <f>IFERROR(VLOOKUP(Q824,'PRODUCT TABLE'!$A$2:$B$26,2,FALSE),"-")</f>
        <v>-</v>
      </c>
      <c r="V824" s="161">
        <f t="shared" si="14"/>
        <v>0</v>
      </c>
      <c r="Y824" s="30"/>
      <c r="Z824" s="169">
        <f t="shared" si="2"/>
        <v>0</v>
      </c>
      <c r="AA824" s="167">
        <f t="shared" si="3"/>
        <v>0</v>
      </c>
      <c r="AB824" s="161"/>
      <c r="AC824" s="161">
        <f t="shared" si="4"/>
        <v>0</v>
      </c>
      <c r="AD824" s="161">
        <f t="shared" si="5"/>
        <v>0</v>
      </c>
      <c r="AE824" s="161">
        <f t="shared" si="6"/>
        <v>0</v>
      </c>
      <c r="AF824" s="167">
        <f t="shared" si="7"/>
        <v>0</v>
      </c>
      <c r="AG824" s="167">
        <f t="shared" si="8"/>
        <v>0</v>
      </c>
      <c r="AH824" s="158"/>
      <c r="AI824" s="158"/>
    </row>
    <row r="825" ht="12.75" customHeight="1">
      <c r="B825" s="160" t="str">
        <f>iferror(VLOOKUP((LEFT(A825,6)),CUSTOMER_DETAILS,2,FALSE),"-")</f>
        <v>-</v>
      </c>
      <c r="C825" s="161" t="s">
        <v>89</v>
      </c>
      <c r="D825" s="162"/>
      <c r="E825" s="161" t="s">
        <v>89</v>
      </c>
      <c r="F825" s="30" t="s">
        <v>89</v>
      </c>
      <c r="G825" s="30" t="s">
        <v>89</v>
      </c>
      <c r="H825" s="30" t="s">
        <v>89</v>
      </c>
      <c r="I825" s="48" t="s">
        <v>108</v>
      </c>
      <c r="J825" s="188" t="str">
        <f t="shared" si="15"/>
        <v/>
      </c>
      <c r="L825" s="48" t="s">
        <v>108</v>
      </c>
      <c r="O825" s="30" t="s">
        <v>89</v>
      </c>
      <c r="Q825" s="192"/>
      <c r="R825" s="161" t="str">
        <f>IFERROR(VLOOKUP(Q825,'PRODUCT TABLE'!$A$2:$B$26,2,FALSE),"-")</f>
        <v>-</v>
      </c>
      <c r="V825" s="161">
        <f t="shared" si="14"/>
        <v>0</v>
      </c>
      <c r="Y825" s="30"/>
      <c r="Z825" s="169">
        <f t="shared" si="2"/>
        <v>0</v>
      </c>
      <c r="AA825" s="167">
        <f t="shared" si="3"/>
        <v>0</v>
      </c>
      <c r="AB825" s="161"/>
      <c r="AC825" s="161">
        <f t="shared" si="4"/>
        <v>0</v>
      </c>
      <c r="AD825" s="161">
        <f t="shared" si="5"/>
        <v>0</v>
      </c>
      <c r="AE825" s="161">
        <f t="shared" si="6"/>
        <v>0</v>
      </c>
      <c r="AF825" s="167">
        <f t="shared" si="7"/>
        <v>0</v>
      </c>
      <c r="AG825" s="167">
        <f t="shared" si="8"/>
        <v>0</v>
      </c>
      <c r="AH825" s="158"/>
      <c r="AI825" s="158"/>
    </row>
    <row r="826" ht="12.75" customHeight="1">
      <c r="B826" s="160" t="str">
        <f>iferror(VLOOKUP((LEFT(A826,6)),CUSTOMER_DETAILS,2,FALSE),"-")</f>
        <v>-</v>
      </c>
      <c r="C826" s="161" t="s">
        <v>89</v>
      </c>
      <c r="D826" s="162"/>
      <c r="E826" s="161" t="s">
        <v>89</v>
      </c>
      <c r="F826" s="30" t="s">
        <v>89</v>
      </c>
      <c r="G826" s="30" t="s">
        <v>89</v>
      </c>
      <c r="H826" s="30" t="s">
        <v>89</v>
      </c>
      <c r="I826" s="48" t="s">
        <v>108</v>
      </c>
      <c r="J826" s="188" t="str">
        <f t="shared" si="15"/>
        <v/>
      </c>
      <c r="L826" s="48" t="s">
        <v>108</v>
      </c>
      <c r="O826" s="30" t="s">
        <v>89</v>
      </c>
      <c r="Q826" s="192"/>
      <c r="R826" s="161" t="str">
        <f>IFERROR(VLOOKUP(Q826,'PRODUCT TABLE'!$A$2:$B$26,2,FALSE),"-")</f>
        <v>-</v>
      </c>
      <c r="V826" s="161">
        <f t="shared" si="14"/>
        <v>0</v>
      </c>
      <c r="Y826" s="30"/>
      <c r="Z826" s="169">
        <f t="shared" si="2"/>
        <v>0</v>
      </c>
      <c r="AA826" s="167">
        <f t="shared" si="3"/>
        <v>0</v>
      </c>
      <c r="AB826" s="161"/>
      <c r="AC826" s="161">
        <f t="shared" si="4"/>
        <v>0</v>
      </c>
      <c r="AD826" s="161">
        <f t="shared" si="5"/>
        <v>0</v>
      </c>
      <c r="AE826" s="161">
        <f t="shared" si="6"/>
        <v>0</v>
      </c>
      <c r="AF826" s="167">
        <f t="shared" si="7"/>
        <v>0</v>
      </c>
      <c r="AG826" s="167">
        <f t="shared" si="8"/>
        <v>0</v>
      </c>
      <c r="AH826" s="158"/>
      <c r="AI826" s="158"/>
    </row>
    <row r="827" ht="12.75" customHeight="1">
      <c r="B827" s="160" t="str">
        <f>iferror(VLOOKUP((LEFT(A827,6)),CUSTOMER_DETAILS,2,FALSE),"-")</f>
        <v>-</v>
      </c>
      <c r="C827" s="161" t="s">
        <v>89</v>
      </c>
      <c r="D827" s="162"/>
      <c r="E827" s="161" t="s">
        <v>89</v>
      </c>
      <c r="F827" s="30" t="s">
        <v>89</v>
      </c>
      <c r="G827" s="30" t="s">
        <v>89</v>
      </c>
      <c r="H827" s="30" t="s">
        <v>89</v>
      </c>
      <c r="I827" s="48" t="s">
        <v>108</v>
      </c>
      <c r="J827" s="188" t="str">
        <f t="shared" si="15"/>
        <v/>
      </c>
      <c r="L827" s="48" t="s">
        <v>108</v>
      </c>
      <c r="O827" s="30" t="s">
        <v>89</v>
      </c>
      <c r="Q827" s="192"/>
      <c r="R827" s="161" t="str">
        <f>IFERROR(VLOOKUP(Q827,'PRODUCT TABLE'!$A$2:$B$26,2,FALSE),"-")</f>
        <v>-</v>
      </c>
      <c r="V827" s="161">
        <f t="shared" si="14"/>
        <v>0</v>
      </c>
      <c r="Y827" s="30"/>
      <c r="Z827" s="169">
        <f t="shared" si="2"/>
        <v>0</v>
      </c>
      <c r="AA827" s="167">
        <f t="shared" si="3"/>
        <v>0</v>
      </c>
      <c r="AB827" s="161"/>
      <c r="AC827" s="161">
        <f t="shared" si="4"/>
        <v>0</v>
      </c>
      <c r="AD827" s="161">
        <f t="shared" si="5"/>
        <v>0</v>
      </c>
      <c r="AE827" s="161">
        <f t="shared" si="6"/>
        <v>0</v>
      </c>
      <c r="AF827" s="167">
        <f t="shared" si="7"/>
        <v>0</v>
      </c>
      <c r="AG827" s="167">
        <f t="shared" si="8"/>
        <v>0</v>
      </c>
      <c r="AH827" s="158"/>
      <c r="AI827" s="158"/>
    </row>
    <row r="828" ht="12.75" customHeight="1">
      <c r="B828" s="160" t="str">
        <f>iferror(VLOOKUP((LEFT(A828,6)),CUSTOMER_DETAILS,2,FALSE),"-")</f>
        <v>-</v>
      </c>
      <c r="C828" s="161" t="s">
        <v>89</v>
      </c>
      <c r="D828" s="162"/>
      <c r="E828" s="161" t="s">
        <v>89</v>
      </c>
      <c r="F828" s="30" t="s">
        <v>89</v>
      </c>
      <c r="G828" s="30" t="s">
        <v>89</v>
      </c>
      <c r="H828" s="30" t="s">
        <v>89</v>
      </c>
      <c r="I828" s="48" t="s">
        <v>108</v>
      </c>
      <c r="J828" s="188" t="str">
        <f t="shared" si="15"/>
        <v/>
      </c>
      <c r="L828" s="48" t="s">
        <v>108</v>
      </c>
      <c r="O828" s="30" t="s">
        <v>89</v>
      </c>
      <c r="Q828" s="192"/>
      <c r="R828" s="161" t="str">
        <f>IFERROR(VLOOKUP(Q828,'PRODUCT TABLE'!$A$2:$B$26,2,FALSE),"-")</f>
        <v>-</v>
      </c>
      <c r="V828" s="161">
        <f t="shared" si="14"/>
        <v>0</v>
      </c>
      <c r="Y828" s="30"/>
      <c r="Z828" s="169">
        <f t="shared" si="2"/>
        <v>0</v>
      </c>
      <c r="AA828" s="167">
        <f t="shared" si="3"/>
        <v>0</v>
      </c>
      <c r="AB828" s="161"/>
      <c r="AC828" s="161">
        <f t="shared" si="4"/>
        <v>0</v>
      </c>
      <c r="AD828" s="161">
        <f t="shared" si="5"/>
        <v>0</v>
      </c>
      <c r="AE828" s="161">
        <f t="shared" si="6"/>
        <v>0</v>
      </c>
      <c r="AF828" s="167">
        <f t="shared" si="7"/>
        <v>0</v>
      </c>
      <c r="AG828" s="167">
        <f t="shared" si="8"/>
        <v>0</v>
      </c>
      <c r="AH828" s="158"/>
      <c r="AI828" s="158"/>
    </row>
    <row r="829" ht="12.75" customHeight="1">
      <c r="B829" s="160" t="str">
        <f>iferror(VLOOKUP((LEFT(A829,6)),CUSTOMER_DETAILS,2,FALSE),"-")</f>
        <v>-</v>
      </c>
      <c r="C829" s="161" t="s">
        <v>89</v>
      </c>
      <c r="D829" s="162"/>
      <c r="E829" s="161" t="s">
        <v>89</v>
      </c>
      <c r="F829" s="30" t="s">
        <v>89</v>
      </c>
      <c r="G829" s="30" t="s">
        <v>89</v>
      </c>
      <c r="H829" s="30" t="s">
        <v>89</v>
      </c>
      <c r="I829" s="48" t="s">
        <v>108</v>
      </c>
      <c r="J829" s="188" t="str">
        <f t="shared" si="15"/>
        <v/>
      </c>
      <c r="L829" s="48" t="s">
        <v>108</v>
      </c>
      <c r="O829" s="30" t="s">
        <v>89</v>
      </c>
      <c r="Q829" s="192"/>
      <c r="R829" s="161" t="str">
        <f>IFERROR(VLOOKUP(Q829,'PRODUCT TABLE'!$A$2:$B$26,2,FALSE),"-")</f>
        <v>-</v>
      </c>
      <c r="V829" s="161">
        <f t="shared" si="14"/>
        <v>0</v>
      </c>
      <c r="Y829" s="30"/>
      <c r="Z829" s="169">
        <f t="shared" si="2"/>
        <v>0</v>
      </c>
      <c r="AA829" s="167">
        <f t="shared" si="3"/>
        <v>0</v>
      </c>
      <c r="AB829" s="161"/>
      <c r="AC829" s="161">
        <f t="shared" si="4"/>
        <v>0</v>
      </c>
      <c r="AD829" s="161">
        <f t="shared" si="5"/>
        <v>0</v>
      </c>
      <c r="AE829" s="161">
        <f t="shared" si="6"/>
        <v>0</v>
      </c>
      <c r="AF829" s="167">
        <f t="shared" si="7"/>
        <v>0</v>
      </c>
      <c r="AG829" s="167">
        <f t="shared" si="8"/>
        <v>0</v>
      </c>
      <c r="AH829" s="158"/>
      <c r="AI829" s="158"/>
    </row>
    <row r="830" ht="12.75" customHeight="1">
      <c r="B830" s="160" t="str">
        <f>iferror(VLOOKUP((LEFT(A830,6)),CUSTOMER_DETAILS,2,FALSE),"-")</f>
        <v>-</v>
      </c>
      <c r="C830" s="161" t="s">
        <v>89</v>
      </c>
      <c r="D830" s="162"/>
      <c r="E830" s="161" t="s">
        <v>89</v>
      </c>
      <c r="F830" s="30" t="s">
        <v>89</v>
      </c>
      <c r="G830" s="30" t="s">
        <v>89</v>
      </c>
      <c r="H830" s="30" t="s">
        <v>89</v>
      </c>
      <c r="I830" s="48" t="s">
        <v>108</v>
      </c>
      <c r="J830" s="188" t="str">
        <f t="shared" si="15"/>
        <v/>
      </c>
      <c r="L830" s="48" t="s">
        <v>108</v>
      </c>
      <c r="O830" s="30" t="s">
        <v>89</v>
      </c>
      <c r="Q830" s="192"/>
      <c r="R830" s="161" t="str">
        <f>IFERROR(VLOOKUP(Q830,'PRODUCT TABLE'!$A$2:$B$26,2,FALSE),"-")</f>
        <v>-</v>
      </c>
      <c r="V830" s="161">
        <f t="shared" si="14"/>
        <v>0</v>
      </c>
      <c r="Y830" s="30"/>
      <c r="Z830" s="169">
        <f t="shared" si="2"/>
        <v>0</v>
      </c>
      <c r="AA830" s="167">
        <f t="shared" si="3"/>
        <v>0</v>
      </c>
      <c r="AB830" s="161"/>
      <c r="AC830" s="161">
        <f t="shared" si="4"/>
        <v>0</v>
      </c>
      <c r="AD830" s="161">
        <f t="shared" si="5"/>
        <v>0</v>
      </c>
      <c r="AE830" s="161">
        <f t="shared" si="6"/>
        <v>0</v>
      </c>
      <c r="AF830" s="167">
        <f t="shared" si="7"/>
        <v>0</v>
      </c>
      <c r="AG830" s="167">
        <f t="shared" si="8"/>
        <v>0</v>
      </c>
      <c r="AH830" s="158"/>
      <c r="AI830" s="158"/>
    </row>
    <row r="831" ht="12.75" customHeight="1">
      <c r="B831" s="160" t="str">
        <f>iferror(VLOOKUP((LEFT(A831,6)),CUSTOMER_DETAILS,2,FALSE),"-")</f>
        <v>-</v>
      </c>
      <c r="C831" s="161" t="s">
        <v>89</v>
      </c>
      <c r="D831" s="162"/>
      <c r="E831" s="161" t="s">
        <v>89</v>
      </c>
      <c r="F831" s="30" t="s">
        <v>89</v>
      </c>
      <c r="G831" s="30" t="s">
        <v>89</v>
      </c>
      <c r="H831" s="30" t="s">
        <v>89</v>
      </c>
      <c r="I831" s="48" t="s">
        <v>108</v>
      </c>
      <c r="J831" s="188" t="str">
        <f t="shared" si="15"/>
        <v/>
      </c>
      <c r="L831" s="48" t="s">
        <v>108</v>
      </c>
      <c r="O831" s="30" t="s">
        <v>89</v>
      </c>
      <c r="Q831" s="192"/>
      <c r="R831" s="161" t="str">
        <f>IFERROR(VLOOKUP(Q831,'PRODUCT TABLE'!$A$2:$B$26,2,FALSE),"-")</f>
        <v>-</v>
      </c>
      <c r="V831" s="161">
        <f t="shared" si="14"/>
        <v>0</v>
      </c>
      <c r="Y831" s="30"/>
      <c r="Z831" s="169">
        <f t="shared" si="2"/>
        <v>0</v>
      </c>
      <c r="AA831" s="167">
        <f t="shared" si="3"/>
        <v>0</v>
      </c>
      <c r="AB831" s="161"/>
      <c r="AC831" s="161">
        <f t="shared" si="4"/>
        <v>0</v>
      </c>
      <c r="AD831" s="161">
        <f t="shared" si="5"/>
        <v>0</v>
      </c>
      <c r="AE831" s="161">
        <f t="shared" si="6"/>
        <v>0</v>
      </c>
      <c r="AF831" s="167">
        <f t="shared" si="7"/>
        <v>0</v>
      </c>
      <c r="AG831" s="167">
        <f t="shared" si="8"/>
        <v>0</v>
      </c>
      <c r="AH831" s="158"/>
      <c r="AI831" s="158"/>
    </row>
    <row r="832" ht="12.75" customHeight="1">
      <c r="B832" s="160" t="str">
        <f>iferror(VLOOKUP((LEFT(A832,6)),CUSTOMER_DETAILS,2,FALSE),"-")</f>
        <v>-</v>
      </c>
      <c r="C832" s="161" t="s">
        <v>89</v>
      </c>
      <c r="D832" s="162"/>
      <c r="E832" s="161" t="s">
        <v>89</v>
      </c>
      <c r="F832" s="30" t="s">
        <v>89</v>
      </c>
      <c r="G832" s="30" t="s">
        <v>89</v>
      </c>
      <c r="H832" s="30" t="s">
        <v>89</v>
      </c>
      <c r="I832" s="48" t="s">
        <v>108</v>
      </c>
      <c r="J832" s="188" t="str">
        <f t="shared" si="15"/>
        <v/>
      </c>
      <c r="L832" s="48" t="s">
        <v>108</v>
      </c>
      <c r="O832" s="30" t="s">
        <v>89</v>
      </c>
      <c r="Q832" s="192"/>
      <c r="R832" s="161" t="str">
        <f>IFERROR(VLOOKUP(Q832,'PRODUCT TABLE'!$A$2:$B$26,2,FALSE),"-")</f>
        <v>-</v>
      </c>
      <c r="V832" s="161">
        <f t="shared" si="14"/>
        <v>0</v>
      </c>
      <c r="Y832" s="30"/>
      <c r="Z832" s="169">
        <f t="shared" si="2"/>
        <v>0</v>
      </c>
      <c r="AA832" s="167">
        <f t="shared" si="3"/>
        <v>0</v>
      </c>
      <c r="AB832" s="161"/>
      <c r="AC832" s="161">
        <f t="shared" si="4"/>
        <v>0</v>
      </c>
      <c r="AD832" s="161">
        <f t="shared" si="5"/>
        <v>0</v>
      </c>
      <c r="AE832" s="161">
        <f t="shared" si="6"/>
        <v>0</v>
      </c>
      <c r="AF832" s="167">
        <f t="shared" si="7"/>
        <v>0</v>
      </c>
      <c r="AG832" s="167">
        <f t="shared" si="8"/>
        <v>0</v>
      </c>
      <c r="AH832" s="158"/>
      <c r="AI832" s="158"/>
    </row>
    <row r="833" ht="12.75" customHeight="1">
      <c r="B833" s="160" t="str">
        <f>iferror(VLOOKUP((LEFT(A833,6)),CUSTOMER_DETAILS,2,FALSE),"-")</f>
        <v>-</v>
      </c>
      <c r="C833" s="161" t="s">
        <v>89</v>
      </c>
      <c r="D833" s="162"/>
      <c r="E833" s="161" t="s">
        <v>89</v>
      </c>
      <c r="F833" s="30" t="s">
        <v>89</v>
      </c>
      <c r="G833" s="30" t="s">
        <v>89</v>
      </c>
      <c r="H833" s="30" t="s">
        <v>89</v>
      </c>
      <c r="I833" s="48" t="s">
        <v>108</v>
      </c>
      <c r="J833" s="188" t="str">
        <f t="shared" si="15"/>
        <v/>
      </c>
      <c r="L833" s="48" t="s">
        <v>108</v>
      </c>
      <c r="O833" s="30" t="s">
        <v>89</v>
      </c>
      <c r="Q833" s="192"/>
      <c r="R833" s="161" t="str">
        <f>IFERROR(VLOOKUP(Q833,'PRODUCT TABLE'!$A$2:$B$26,2,FALSE),"-")</f>
        <v>-</v>
      </c>
      <c r="V833" s="161">
        <f t="shared" si="14"/>
        <v>0</v>
      </c>
      <c r="Y833" s="30"/>
      <c r="Z833" s="169">
        <f t="shared" si="2"/>
        <v>0</v>
      </c>
      <c r="AA833" s="167">
        <f t="shared" si="3"/>
        <v>0</v>
      </c>
      <c r="AB833" s="161"/>
      <c r="AC833" s="161">
        <f t="shared" si="4"/>
        <v>0</v>
      </c>
      <c r="AD833" s="161">
        <f t="shared" si="5"/>
        <v>0</v>
      </c>
      <c r="AE833" s="161">
        <f t="shared" si="6"/>
        <v>0</v>
      </c>
      <c r="AF833" s="167">
        <f t="shared" si="7"/>
        <v>0</v>
      </c>
      <c r="AG833" s="167">
        <f t="shared" si="8"/>
        <v>0</v>
      </c>
      <c r="AH833" s="158"/>
      <c r="AI833" s="158"/>
    </row>
    <row r="834" ht="12.75" customHeight="1">
      <c r="B834" s="160" t="str">
        <f>iferror(VLOOKUP((LEFT(A834,6)),CUSTOMER_DETAILS,2,FALSE),"-")</f>
        <v>-</v>
      </c>
      <c r="C834" s="161" t="s">
        <v>89</v>
      </c>
      <c r="D834" s="162"/>
      <c r="E834" s="161" t="s">
        <v>89</v>
      </c>
      <c r="F834" s="30" t="s">
        <v>89</v>
      </c>
      <c r="G834" s="30" t="s">
        <v>89</v>
      </c>
      <c r="H834" s="30" t="s">
        <v>89</v>
      </c>
      <c r="I834" s="48" t="s">
        <v>108</v>
      </c>
      <c r="J834" s="188" t="str">
        <f t="shared" si="15"/>
        <v/>
      </c>
      <c r="L834" s="48" t="s">
        <v>108</v>
      </c>
      <c r="O834" s="30" t="s">
        <v>89</v>
      </c>
      <c r="Q834" s="192"/>
      <c r="R834" s="161" t="str">
        <f>IFERROR(VLOOKUP(Q834,'PRODUCT TABLE'!$A$2:$B$26,2,FALSE),"-")</f>
        <v>-</v>
      </c>
      <c r="V834" s="161">
        <f t="shared" si="14"/>
        <v>0</v>
      </c>
      <c r="Y834" s="30"/>
      <c r="Z834" s="169">
        <f t="shared" si="2"/>
        <v>0</v>
      </c>
      <c r="AA834" s="167">
        <f t="shared" si="3"/>
        <v>0</v>
      </c>
      <c r="AB834" s="161"/>
      <c r="AC834" s="161">
        <f t="shared" si="4"/>
        <v>0</v>
      </c>
      <c r="AD834" s="161">
        <f t="shared" si="5"/>
        <v>0</v>
      </c>
      <c r="AE834" s="161">
        <f t="shared" si="6"/>
        <v>0</v>
      </c>
      <c r="AF834" s="167">
        <f t="shared" si="7"/>
        <v>0</v>
      </c>
      <c r="AG834" s="167">
        <f t="shared" si="8"/>
        <v>0</v>
      </c>
      <c r="AH834" s="158"/>
      <c r="AI834" s="158"/>
    </row>
    <row r="835" ht="12.75" customHeight="1">
      <c r="B835" s="160" t="str">
        <f>iferror(VLOOKUP((LEFT(A835,6)),CUSTOMER_DETAILS,2,FALSE),"-")</f>
        <v>-</v>
      </c>
      <c r="C835" s="161" t="s">
        <v>89</v>
      </c>
      <c r="D835" s="162"/>
      <c r="E835" s="161" t="s">
        <v>89</v>
      </c>
      <c r="F835" s="30" t="s">
        <v>89</v>
      </c>
      <c r="G835" s="30" t="s">
        <v>89</v>
      </c>
      <c r="H835" s="30" t="s">
        <v>89</v>
      </c>
      <c r="I835" s="48" t="s">
        <v>108</v>
      </c>
      <c r="J835" s="188" t="str">
        <f t="shared" si="15"/>
        <v/>
      </c>
      <c r="L835" s="48" t="s">
        <v>108</v>
      </c>
      <c r="O835" s="30" t="s">
        <v>89</v>
      </c>
      <c r="Q835" s="192"/>
      <c r="R835" s="161" t="str">
        <f>IFERROR(VLOOKUP(Q835,'PRODUCT TABLE'!$A$2:$B$26,2,FALSE),"-")</f>
        <v>-</v>
      </c>
      <c r="V835" s="161">
        <f t="shared" si="14"/>
        <v>0</v>
      </c>
      <c r="Y835" s="30"/>
      <c r="Z835" s="169">
        <f t="shared" si="2"/>
        <v>0</v>
      </c>
      <c r="AA835" s="167">
        <f t="shared" si="3"/>
        <v>0</v>
      </c>
      <c r="AB835" s="161"/>
      <c r="AC835" s="161">
        <f t="shared" si="4"/>
        <v>0</v>
      </c>
      <c r="AD835" s="161">
        <f t="shared" si="5"/>
        <v>0</v>
      </c>
      <c r="AE835" s="161">
        <f t="shared" si="6"/>
        <v>0</v>
      </c>
      <c r="AF835" s="167">
        <f t="shared" si="7"/>
        <v>0</v>
      </c>
      <c r="AG835" s="167">
        <f t="shared" si="8"/>
        <v>0</v>
      </c>
      <c r="AH835" s="158"/>
      <c r="AI835" s="158"/>
    </row>
    <row r="836" ht="12.75" customHeight="1">
      <c r="B836" s="160" t="str">
        <f>iferror(VLOOKUP((LEFT(A836,6)),CUSTOMER_DETAILS,2,FALSE),"-")</f>
        <v>-</v>
      </c>
      <c r="C836" s="161" t="s">
        <v>89</v>
      </c>
      <c r="D836" s="162"/>
      <c r="E836" s="161" t="s">
        <v>89</v>
      </c>
      <c r="F836" s="30" t="s">
        <v>89</v>
      </c>
      <c r="G836" s="30" t="s">
        <v>89</v>
      </c>
      <c r="H836" s="30" t="s">
        <v>89</v>
      </c>
      <c r="I836" s="48" t="s">
        <v>108</v>
      </c>
      <c r="J836" s="188" t="str">
        <f t="shared" si="15"/>
        <v/>
      </c>
      <c r="L836" s="48" t="s">
        <v>108</v>
      </c>
      <c r="O836" s="30" t="s">
        <v>89</v>
      </c>
      <c r="Q836" s="192"/>
      <c r="R836" s="161" t="str">
        <f>IFERROR(VLOOKUP(Q836,'PRODUCT TABLE'!$A$2:$B$26,2,FALSE),"-")</f>
        <v>-</v>
      </c>
      <c r="V836" s="161">
        <f t="shared" si="14"/>
        <v>0</v>
      </c>
      <c r="Y836" s="30"/>
      <c r="Z836" s="169">
        <f t="shared" si="2"/>
        <v>0</v>
      </c>
      <c r="AA836" s="167">
        <f t="shared" si="3"/>
        <v>0</v>
      </c>
      <c r="AB836" s="161"/>
      <c r="AC836" s="161">
        <f t="shared" si="4"/>
        <v>0</v>
      </c>
      <c r="AD836" s="161">
        <f t="shared" si="5"/>
        <v>0</v>
      </c>
      <c r="AE836" s="161">
        <f t="shared" si="6"/>
        <v>0</v>
      </c>
      <c r="AF836" s="167">
        <f t="shared" si="7"/>
        <v>0</v>
      </c>
      <c r="AG836" s="167">
        <f t="shared" si="8"/>
        <v>0</v>
      </c>
      <c r="AH836" s="158"/>
      <c r="AI836" s="158"/>
    </row>
    <row r="837" ht="12.75" customHeight="1">
      <c r="B837" s="160" t="str">
        <f>iferror(VLOOKUP((LEFT(A837,6)),CUSTOMER_DETAILS,2,FALSE),"-")</f>
        <v>-</v>
      </c>
      <c r="C837" s="161" t="s">
        <v>89</v>
      </c>
      <c r="D837" s="162"/>
      <c r="E837" s="161" t="s">
        <v>89</v>
      </c>
      <c r="F837" s="30" t="s">
        <v>89</v>
      </c>
      <c r="G837" s="30" t="s">
        <v>89</v>
      </c>
      <c r="H837" s="30" t="s">
        <v>89</v>
      </c>
      <c r="I837" s="48" t="s">
        <v>108</v>
      </c>
      <c r="J837" s="188" t="str">
        <f t="shared" si="15"/>
        <v/>
      </c>
      <c r="L837" s="48" t="s">
        <v>108</v>
      </c>
      <c r="O837" s="30" t="s">
        <v>89</v>
      </c>
      <c r="Q837" s="192"/>
      <c r="R837" s="161" t="str">
        <f>IFERROR(VLOOKUP(Q837,'PRODUCT TABLE'!$A$2:$B$26,2,FALSE),"-")</f>
        <v>-</v>
      </c>
      <c r="V837" s="161">
        <f t="shared" si="14"/>
        <v>0</v>
      </c>
      <c r="Y837" s="30"/>
      <c r="Z837" s="169">
        <f t="shared" si="2"/>
        <v>0</v>
      </c>
      <c r="AA837" s="167">
        <f t="shared" si="3"/>
        <v>0</v>
      </c>
      <c r="AB837" s="161"/>
      <c r="AC837" s="161">
        <f t="shared" si="4"/>
        <v>0</v>
      </c>
      <c r="AD837" s="161">
        <f t="shared" si="5"/>
        <v>0</v>
      </c>
      <c r="AE837" s="161">
        <f t="shared" si="6"/>
        <v>0</v>
      </c>
      <c r="AF837" s="167">
        <f t="shared" si="7"/>
        <v>0</v>
      </c>
      <c r="AG837" s="167">
        <f t="shared" si="8"/>
        <v>0</v>
      </c>
      <c r="AH837" s="158"/>
      <c r="AI837" s="158"/>
    </row>
    <row r="838" ht="12.75" customHeight="1">
      <c r="B838" s="160" t="str">
        <f>iferror(VLOOKUP((LEFT(A838,6)),CUSTOMER_DETAILS,2,FALSE),"-")</f>
        <v>-</v>
      </c>
      <c r="C838" s="161" t="s">
        <v>89</v>
      </c>
      <c r="D838" s="162"/>
      <c r="E838" s="161" t="s">
        <v>89</v>
      </c>
      <c r="F838" s="30" t="s">
        <v>89</v>
      </c>
      <c r="G838" s="30" t="s">
        <v>89</v>
      </c>
      <c r="H838" s="30" t="s">
        <v>89</v>
      </c>
      <c r="I838" s="48" t="s">
        <v>108</v>
      </c>
      <c r="J838" s="188" t="str">
        <f t="shared" si="15"/>
        <v/>
      </c>
      <c r="L838" s="48" t="s">
        <v>108</v>
      </c>
      <c r="O838" s="30" t="s">
        <v>89</v>
      </c>
      <c r="Q838" s="192"/>
      <c r="R838" s="161" t="str">
        <f>IFERROR(VLOOKUP(Q838,'PRODUCT TABLE'!$A$2:$B$26,2,FALSE),"-")</f>
        <v>-</v>
      </c>
      <c r="V838" s="161">
        <f t="shared" si="14"/>
        <v>0</v>
      </c>
      <c r="Y838" s="30"/>
      <c r="Z838" s="169">
        <f t="shared" si="2"/>
        <v>0</v>
      </c>
      <c r="AA838" s="167">
        <f t="shared" si="3"/>
        <v>0</v>
      </c>
      <c r="AB838" s="161"/>
      <c r="AC838" s="161">
        <f t="shared" si="4"/>
        <v>0</v>
      </c>
      <c r="AD838" s="161">
        <f t="shared" si="5"/>
        <v>0</v>
      </c>
      <c r="AE838" s="161">
        <f t="shared" si="6"/>
        <v>0</v>
      </c>
      <c r="AF838" s="167">
        <f t="shared" si="7"/>
        <v>0</v>
      </c>
      <c r="AG838" s="167">
        <f t="shared" si="8"/>
        <v>0</v>
      </c>
      <c r="AH838" s="158"/>
      <c r="AI838" s="158"/>
    </row>
    <row r="839" ht="12.75" customHeight="1">
      <c r="B839" s="160" t="str">
        <f>iferror(VLOOKUP((LEFT(A839,6)),CUSTOMER_DETAILS,2,FALSE),"-")</f>
        <v>-</v>
      </c>
      <c r="C839" s="161" t="s">
        <v>89</v>
      </c>
      <c r="D839" s="162"/>
      <c r="E839" s="161" t="s">
        <v>89</v>
      </c>
      <c r="F839" s="30" t="s">
        <v>89</v>
      </c>
      <c r="G839" s="30" t="s">
        <v>89</v>
      </c>
      <c r="H839" s="30" t="s">
        <v>89</v>
      </c>
      <c r="I839" s="48" t="s">
        <v>108</v>
      </c>
      <c r="J839" s="188" t="str">
        <f t="shared" si="15"/>
        <v/>
      </c>
      <c r="L839" s="48" t="s">
        <v>108</v>
      </c>
      <c r="O839" s="30" t="s">
        <v>89</v>
      </c>
      <c r="Q839" s="192"/>
      <c r="R839" s="161" t="str">
        <f>IFERROR(VLOOKUP(Q839,'PRODUCT TABLE'!$A$2:$B$26,2,FALSE),"-")</f>
        <v>-</v>
      </c>
      <c r="V839" s="161">
        <f t="shared" si="14"/>
        <v>0</v>
      </c>
      <c r="Y839" s="30"/>
      <c r="Z839" s="169">
        <f t="shared" si="2"/>
        <v>0</v>
      </c>
      <c r="AA839" s="167">
        <f t="shared" si="3"/>
        <v>0</v>
      </c>
      <c r="AB839" s="161"/>
      <c r="AC839" s="161">
        <f t="shared" si="4"/>
        <v>0</v>
      </c>
      <c r="AD839" s="161">
        <f t="shared" si="5"/>
        <v>0</v>
      </c>
      <c r="AE839" s="161">
        <f t="shared" si="6"/>
        <v>0</v>
      </c>
      <c r="AF839" s="167">
        <f t="shared" si="7"/>
        <v>0</v>
      </c>
      <c r="AG839" s="167">
        <f t="shared" si="8"/>
        <v>0</v>
      </c>
      <c r="AH839" s="158"/>
      <c r="AI839" s="158"/>
    </row>
    <row r="840" ht="12.75" customHeight="1">
      <c r="B840" s="160" t="str">
        <f>iferror(VLOOKUP((LEFT(A840,6)),CUSTOMER_DETAILS,2,FALSE),"-")</f>
        <v>-</v>
      </c>
      <c r="C840" s="161" t="s">
        <v>89</v>
      </c>
      <c r="D840" s="162"/>
      <c r="E840" s="161" t="s">
        <v>89</v>
      </c>
      <c r="F840" s="30" t="s">
        <v>89</v>
      </c>
      <c r="G840" s="30" t="s">
        <v>89</v>
      </c>
      <c r="H840" s="30" t="s">
        <v>89</v>
      </c>
      <c r="I840" s="48" t="s">
        <v>108</v>
      </c>
      <c r="J840" s="188" t="str">
        <f t="shared" si="15"/>
        <v/>
      </c>
      <c r="L840" s="48" t="s">
        <v>108</v>
      </c>
      <c r="O840" s="30" t="s">
        <v>89</v>
      </c>
      <c r="Q840" s="192"/>
      <c r="R840" s="161" t="str">
        <f>IFERROR(VLOOKUP(Q840,'PRODUCT TABLE'!$A$2:$B$26,2,FALSE),"-")</f>
        <v>-</v>
      </c>
      <c r="V840" s="161">
        <f t="shared" si="14"/>
        <v>0</v>
      </c>
      <c r="Y840" s="30"/>
      <c r="Z840" s="169">
        <f t="shared" si="2"/>
        <v>0</v>
      </c>
      <c r="AA840" s="167">
        <f t="shared" si="3"/>
        <v>0</v>
      </c>
      <c r="AB840" s="161"/>
      <c r="AC840" s="161">
        <f t="shared" si="4"/>
        <v>0</v>
      </c>
      <c r="AD840" s="161">
        <f t="shared" si="5"/>
        <v>0</v>
      </c>
      <c r="AE840" s="161">
        <f t="shared" si="6"/>
        <v>0</v>
      </c>
      <c r="AF840" s="167">
        <f t="shared" si="7"/>
        <v>0</v>
      </c>
      <c r="AG840" s="167">
        <f t="shared" si="8"/>
        <v>0</v>
      </c>
      <c r="AH840" s="158"/>
      <c r="AI840" s="158"/>
    </row>
    <row r="841" ht="12.75" customHeight="1">
      <c r="B841" s="160" t="str">
        <f>iferror(VLOOKUP((LEFT(A841,6)),CUSTOMER_DETAILS,2,FALSE),"-")</f>
        <v>-</v>
      </c>
      <c r="C841" s="161" t="s">
        <v>89</v>
      </c>
      <c r="D841" s="162"/>
      <c r="E841" s="161" t="s">
        <v>89</v>
      </c>
      <c r="F841" s="30" t="s">
        <v>89</v>
      </c>
      <c r="G841" s="30" t="s">
        <v>89</v>
      </c>
      <c r="H841" s="30" t="s">
        <v>89</v>
      </c>
      <c r="I841" s="48" t="s">
        <v>108</v>
      </c>
      <c r="J841" s="188" t="str">
        <f t="shared" si="15"/>
        <v/>
      </c>
      <c r="L841" s="48" t="s">
        <v>108</v>
      </c>
      <c r="O841" s="30" t="s">
        <v>89</v>
      </c>
      <c r="Q841" s="192"/>
      <c r="R841" s="161" t="str">
        <f>IFERROR(VLOOKUP(Q841,'PRODUCT TABLE'!$A$2:$B$26,2,FALSE),"-")</f>
        <v>-</v>
      </c>
      <c r="V841" s="161">
        <f t="shared" si="14"/>
        <v>0</v>
      </c>
      <c r="Y841" s="30"/>
      <c r="Z841" s="169">
        <f t="shared" si="2"/>
        <v>0</v>
      </c>
      <c r="AA841" s="167">
        <f t="shared" si="3"/>
        <v>0</v>
      </c>
      <c r="AB841" s="161"/>
      <c r="AC841" s="161">
        <f t="shared" si="4"/>
        <v>0</v>
      </c>
      <c r="AD841" s="161">
        <f t="shared" si="5"/>
        <v>0</v>
      </c>
      <c r="AE841" s="161">
        <f t="shared" si="6"/>
        <v>0</v>
      </c>
      <c r="AF841" s="167">
        <f t="shared" si="7"/>
        <v>0</v>
      </c>
      <c r="AG841" s="167">
        <f t="shared" si="8"/>
        <v>0</v>
      </c>
      <c r="AH841" s="158"/>
      <c r="AI841" s="158"/>
    </row>
    <row r="842" ht="12.75" customHeight="1">
      <c r="B842" s="160" t="str">
        <f>iferror(VLOOKUP((LEFT(A842,6)),CUSTOMER_DETAILS,2,FALSE),"-")</f>
        <v>-</v>
      </c>
      <c r="C842" s="161" t="s">
        <v>89</v>
      </c>
      <c r="D842" s="162"/>
      <c r="E842" s="161" t="s">
        <v>89</v>
      </c>
      <c r="F842" s="30" t="s">
        <v>89</v>
      </c>
      <c r="G842" s="30" t="s">
        <v>89</v>
      </c>
      <c r="H842" s="30" t="s">
        <v>89</v>
      </c>
      <c r="I842" s="48" t="s">
        <v>108</v>
      </c>
      <c r="J842" s="188" t="str">
        <f t="shared" si="15"/>
        <v/>
      </c>
      <c r="L842" s="48" t="s">
        <v>108</v>
      </c>
      <c r="O842" s="30" t="s">
        <v>89</v>
      </c>
      <c r="Q842" s="192"/>
      <c r="R842" s="161" t="str">
        <f>IFERROR(VLOOKUP(Q842,'PRODUCT TABLE'!$A$2:$B$26,2,FALSE),"-")</f>
        <v>-</v>
      </c>
      <c r="V842" s="161">
        <f t="shared" si="14"/>
        <v>0</v>
      </c>
      <c r="Y842" s="30"/>
      <c r="Z842" s="169">
        <f t="shared" si="2"/>
        <v>0</v>
      </c>
      <c r="AA842" s="167">
        <f t="shared" si="3"/>
        <v>0</v>
      </c>
      <c r="AB842" s="161"/>
      <c r="AC842" s="161">
        <f t="shared" si="4"/>
        <v>0</v>
      </c>
      <c r="AD842" s="161">
        <f t="shared" si="5"/>
        <v>0</v>
      </c>
      <c r="AE842" s="161">
        <f t="shared" si="6"/>
        <v>0</v>
      </c>
      <c r="AF842" s="167">
        <f t="shared" si="7"/>
        <v>0</v>
      </c>
      <c r="AG842" s="167">
        <f t="shared" si="8"/>
        <v>0</v>
      </c>
      <c r="AH842" s="158"/>
      <c r="AI842" s="158"/>
    </row>
    <row r="843" ht="12.75" customHeight="1">
      <c r="B843" s="160" t="str">
        <f>iferror(VLOOKUP((LEFT(A843,6)),CUSTOMER_DETAILS,2,FALSE),"-")</f>
        <v>-</v>
      </c>
      <c r="C843" s="161" t="s">
        <v>89</v>
      </c>
      <c r="D843" s="162"/>
      <c r="E843" s="161" t="s">
        <v>89</v>
      </c>
      <c r="F843" s="30" t="s">
        <v>89</v>
      </c>
      <c r="G843" s="30" t="s">
        <v>89</v>
      </c>
      <c r="H843" s="30" t="s">
        <v>89</v>
      </c>
      <c r="I843" s="48" t="s">
        <v>108</v>
      </c>
      <c r="J843" s="188" t="str">
        <f t="shared" si="15"/>
        <v/>
      </c>
      <c r="L843" s="48" t="s">
        <v>108</v>
      </c>
      <c r="O843" s="30" t="s">
        <v>89</v>
      </c>
      <c r="Q843" s="192"/>
      <c r="R843" s="161" t="str">
        <f>IFERROR(VLOOKUP(Q843,'PRODUCT TABLE'!$A$2:$B$26,2,FALSE),"-")</f>
        <v>-</v>
      </c>
      <c r="V843" s="161">
        <f t="shared" si="14"/>
        <v>0</v>
      </c>
      <c r="Y843" s="30"/>
      <c r="Z843" s="169">
        <f t="shared" si="2"/>
        <v>0</v>
      </c>
      <c r="AA843" s="167">
        <f t="shared" si="3"/>
        <v>0</v>
      </c>
      <c r="AB843" s="161"/>
      <c r="AC843" s="161">
        <f t="shared" si="4"/>
        <v>0</v>
      </c>
      <c r="AD843" s="161">
        <f t="shared" si="5"/>
        <v>0</v>
      </c>
      <c r="AE843" s="161">
        <f t="shared" si="6"/>
        <v>0</v>
      </c>
      <c r="AF843" s="167">
        <f t="shared" si="7"/>
        <v>0</v>
      </c>
      <c r="AG843" s="167">
        <f t="shared" si="8"/>
        <v>0</v>
      </c>
      <c r="AH843" s="158"/>
      <c r="AI843" s="158"/>
    </row>
    <row r="844" ht="12.75" customHeight="1">
      <c r="B844" s="160" t="str">
        <f>iferror(VLOOKUP((LEFT(A844,6)),CUSTOMER_DETAILS,2,FALSE),"-")</f>
        <v>-</v>
      </c>
      <c r="C844" s="161" t="s">
        <v>89</v>
      </c>
      <c r="D844" s="162"/>
      <c r="E844" s="161" t="s">
        <v>89</v>
      </c>
      <c r="F844" s="30" t="s">
        <v>89</v>
      </c>
      <c r="G844" s="30" t="s">
        <v>89</v>
      </c>
      <c r="H844" s="30" t="s">
        <v>89</v>
      </c>
      <c r="I844" s="48" t="s">
        <v>108</v>
      </c>
      <c r="J844" s="188" t="str">
        <f t="shared" si="15"/>
        <v/>
      </c>
      <c r="L844" s="48" t="s">
        <v>108</v>
      </c>
      <c r="O844" s="30" t="s">
        <v>89</v>
      </c>
      <c r="Q844" s="192"/>
      <c r="R844" s="161" t="str">
        <f>IFERROR(VLOOKUP(Q844,'PRODUCT TABLE'!$A$2:$B$26,2,FALSE),"-")</f>
        <v>-</v>
      </c>
      <c r="V844" s="161">
        <f t="shared" si="14"/>
        <v>0</v>
      </c>
      <c r="Y844" s="30"/>
      <c r="Z844" s="169">
        <f t="shared" si="2"/>
        <v>0</v>
      </c>
      <c r="AA844" s="167">
        <f t="shared" si="3"/>
        <v>0</v>
      </c>
      <c r="AB844" s="161"/>
      <c r="AC844" s="161">
        <f t="shared" si="4"/>
        <v>0</v>
      </c>
      <c r="AD844" s="161">
        <f t="shared" si="5"/>
        <v>0</v>
      </c>
      <c r="AE844" s="161">
        <f t="shared" si="6"/>
        <v>0</v>
      </c>
      <c r="AF844" s="167">
        <f t="shared" si="7"/>
        <v>0</v>
      </c>
      <c r="AG844" s="167">
        <f t="shared" si="8"/>
        <v>0</v>
      </c>
      <c r="AH844" s="158"/>
      <c r="AI844" s="158"/>
    </row>
    <row r="845" ht="12.75" customHeight="1">
      <c r="B845" s="160" t="str">
        <f>iferror(VLOOKUP((LEFT(A845,6)),CUSTOMER_DETAILS,2,FALSE),"-")</f>
        <v>-</v>
      </c>
      <c r="C845" s="161" t="s">
        <v>89</v>
      </c>
      <c r="D845" s="162"/>
      <c r="E845" s="161" t="s">
        <v>89</v>
      </c>
      <c r="F845" s="30" t="s">
        <v>89</v>
      </c>
      <c r="G845" s="30" t="s">
        <v>89</v>
      </c>
      <c r="H845" s="30" t="s">
        <v>89</v>
      </c>
      <c r="I845" s="48" t="s">
        <v>108</v>
      </c>
      <c r="J845" s="188" t="str">
        <f t="shared" si="15"/>
        <v/>
      </c>
      <c r="L845" s="48" t="s">
        <v>108</v>
      </c>
      <c r="O845" s="30" t="s">
        <v>89</v>
      </c>
      <c r="Q845" s="192"/>
      <c r="R845" s="161" t="str">
        <f>IFERROR(VLOOKUP(Q845,'PRODUCT TABLE'!$A$2:$B$26,2,FALSE),"-")</f>
        <v>-</v>
      </c>
      <c r="V845" s="161">
        <f t="shared" si="14"/>
        <v>0</v>
      </c>
      <c r="Y845" s="30"/>
      <c r="Z845" s="169">
        <f t="shared" si="2"/>
        <v>0</v>
      </c>
      <c r="AA845" s="167">
        <f t="shared" si="3"/>
        <v>0</v>
      </c>
      <c r="AB845" s="161"/>
      <c r="AC845" s="161">
        <f t="shared" si="4"/>
        <v>0</v>
      </c>
      <c r="AD845" s="161">
        <f t="shared" si="5"/>
        <v>0</v>
      </c>
      <c r="AE845" s="161">
        <f t="shared" si="6"/>
        <v>0</v>
      </c>
      <c r="AF845" s="167">
        <f t="shared" si="7"/>
        <v>0</v>
      </c>
      <c r="AG845" s="167">
        <f t="shared" si="8"/>
        <v>0</v>
      </c>
      <c r="AH845" s="158"/>
      <c r="AI845" s="158"/>
    </row>
    <row r="846" ht="12.75" customHeight="1">
      <c r="B846" s="160" t="str">
        <f>iferror(VLOOKUP((LEFT(A846,6)),CUSTOMER_DETAILS,2,FALSE),"-")</f>
        <v>-</v>
      </c>
      <c r="C846" s="161" t="s">
        <v>89</v>
      </c>
      <c r="D846" s="162"/>
      <c r="E846" s="161" t="s">
        <v>89</v>
      </c>
      <c r="F846" s="30" t="s">
        <v>89</v>
      </c>
      <c r="G846" s="30" t="s">
        <v>89</v>
      </c>
      <c r="H846" s="30" t="s">
        <v>89</v>
      </c>
      <c r="I846" s="48" t="s">
        <v>108</v>
      </c>
      <c r="J846" s="188" t="str">
        <f t="shared" si="15"/>
        <v/>
      </c>
      <c r="L846" s="48" t="s">
        <v>108</v>
      </c>
      <c r="O846" s="30" t="s">
        <v>89</v>
      </c>
      <c r="Q846" s="192"/>
      <c r="R846" s="161" t="str">
        <f>IFERROR(VLOOKUP(Q846,'PRODUCT TABLE'!$A$2:$B$26,2,FALSE),"-")</f>
        <v>-</v>
      </c>
      <c r="V846" s="161">
        <f t="shared" si="14"/>
        <v>0</v>
      </c>
      <c r="Y846" s="30"/>
      <c r="Z846" s="169">
        <f t="shared" si="2"/>
        <v>0</v>
      </c>
      <c r="AA846" s="167">
        <f t="shared" si="3"/>
        <v>0</v>
      </c>
      <c r="AB846" s="161"/>
      <c r="AC846" s="161">
        <f t="shared" si="4"/>
        <v>0</v>
      </c>
      <c r="AD846" s="161">
        <f t="shared" si="5"/>
        <v>0</v>
      </c>
      <c r="AE846" s="161">
        <f t="shared" si="6"/>
        <v>0</v>
      </c>
      <c r="AF846" s="167">
        <f t="shared" si="7"/>
        <v>0</v>
      </c>
      <c r="AG846" s="167">
        <f t="shared" si="8"/>
        <v>0</v>
      </c>
      <c r="AH846" s="158"/>
      <c r="AI846" s="158"/>
    </row>
    <row r="847" ht="12.75" customHeight="1">
      <c r="B847" s="160" t="str">
        <f>iferror(VLOOKUP((LEFT(A847,6)),CUSTOMER_DETAILS,2,FALSE),"-")</f>
        <v>-</v>
      </c>
      <c r="C847" s="161" t="s">
        <v>89</v>
      </c>
      <c r="D847" s="162"/>
      <c r="E847" s="161" t="s">
        <v>89</v>
      </c>
      <c r="F847" s="30" t="s">
        <v>89</v>
      </c>
      <c r="G847" s="30" t="s">
        <v>89</v>
      </c>
      <c r="H847" s="30" t="s">
        <v>89</v>
      </c>
      <c r="I847" s="48" t="s">
        <v>108</v>
      </c>
      <c r="J847" s="188" t="str">
        <f t="shared" si="15"/>
        <v/>
      </c>
      <c r="L847" s="48" t="s">
        <v>108</v>
      </c>
      <c r="O847" s="30" t="s">
        <v>89</v>
      </c>
      <c r="Q847" s="192"/>
      <c r="R847" s="161" t="str">
        <f>IFERROR(VLOOKUP(Q847,'PRODUCT TABLE'!$A$2:$B$26,2,FALSE),"-")</f>
        <v>-</v>
      </c>
      <c r="V847" s="161">
        <f t="shared" si="14"/>
        <v>0</v>
      </c>
      <c r="Y847" s="30"/>
      <c r="Z847" s="169">
        <f t="shared" si="2"/>
        <v>0</v>
      </c>
      <c r="AA847" s="167">
        <f t="shared" si="3"/>
        <v>0</v>
      </c>
      <c r="AB847" s="161"/>
      <c r="AC847" s="161">
        <f t="shared" si="4"/>
        <v>0</v>
      </c>
      <c r="AD847" s="161">
        <f t="shared" si="5"/>
        <v>0</v>
      </c>
      <c r="AE847" s="161">
        <f t="shared" si="6"/>
        <v>0</v>
      </c>
      <c r="AF847" s="167">
        <f t="shared" si="7"/>
        <v>0</v>
      </c>
      <c r="AG847" s="167">
        <f t="shared" si="8"/>
        <v>0</v>
      </c>
      <c r="AH847" s="158"/>
      <c r="AI847" s="158"/>
    </row>
    <row r="848" ht="12.75" customHeight="1">
      <c r="B848" s="160" t="str">
        <f>iferror(VLOOKUP((LEFT(A848,6)),CUSTOMER_DETAILS,2,FALSE),"-")</f>
        <v>-</v>
      </c>
      <c r="C848" s="161" t="s">
        <v>89</v>
      </c>
      <c r="D848" s="162"/>
      <c r="E848" s="161" t="s">
        <v>89</v>
      </c>
      <c r="F848" s="30" t="s">
        <v>89</v>
      </c>
      <c r="G848" s="30" t="s">
        <v>89</v>
      </c>
      <c r="H848" s="30" t="s">
        <v>89</v>
      </c>
      <c r="I848" s="48" t="s">
        <v>108</v>
      </c>
      <c r="J848" s="188" t="str">
        <f t="shared" si="15"/>
        <v/>
      </c>
      <c r="L848" s="48" t="s">
        <v>108</v>
      </c>
      <c r="O848" s="30" t="s">
        <v>89</v>
      </c>
      <c r="Q848" s="192"/>
      <c r="R848" s="161" t="str">
        <f>IFERROR(VLOOKUP(Q848,'PRODUCT TABLE'!$A$2:$B$26,2,FALSE),"-")</f>
        <v>-</v>
      </c>
      <c r="V848" s="161">
        <f t="shared" si="14"/>
        <v>0</v>
      </c>
      <c r="Y848" s="30"/>
      <c r="Z848" s="169">
        <f t="shared" si="2"/>
        <v>0</v>
      </c>
      <c r="AA848" s="167">
        <f t="shared" si="3"/>
        <v>0</v>
      </c>
      <c r="AB848" s="161"/>
      <c r="AC848" s="161">
        <f t="shared" si="4"/>
        <v>0</v>
      </c>
      <c r="AD848" s="161">
        <f t="shared" si="5"/>
        <v>0</v>
      </c>
      <c r="AE848" s="161">
        <f t="shared" si="6"/>
        <v>0</v>
      </c>
      <c r="AF848" s="167">
        <f t="shared" si="7"/>
        <v>0</v>
      </c>
      <c r="AG848" s="167">
        <f t="shared" si="8"/>
        <v>0</v>
      </c>
      <c r="AH848" s="158"/>
      <c r="AI848" s="158"/>
    </row>
    <row r="849" ht="12.75" customHeight="1">
      <c r="B849" s="160" t="str">
        <f>iferror(VLOOKUP((LEFT(A849,6)),CUSTOMER_DETAILS,2,FALSE),"-")</f>
        <v>-</v>
      </c>
      <c r="C849" s="161" t="s">
        <v>89</v>
      </c>
      <c r="D849" s="162"/>
      <c r="E849" s="161" t="s">
        <v>89</v>
      </c>
      <c r="F849" s="30" t="s">
        <v>89</v>
      </c>
      <c r="G849" s="30" t="s">
        <v>89</v>
      </c>
      <c r="H849" s="30" t="s">
        <v>89</v>
      </c>
      <c r="I849" s="48" t="s">
        <v>108</v>
      </c>
      <c r="J849" s="188" t="str">
        <f t="shared" si="15"/>
        <v/>
      </c>
      <c r="L849" s="48" t="s">
        <v>108</v>
      </c>
      <c r="O849" s="30" t="s">
        <v>89</v>
      </c>
      <c r="Q849" s="192"/>
      <c r="R849" s="161" t="str">
        <f>IFERROR(VLOOKUP(Q849,'PRODUCT TABLE'!$A$2:$B$26,2,FALSE),"-")</f>
        <v>-</v>
      </c>
      <c r="V849" s="161">
        <f t="shared" si="14"/>
        <v>0</v>
      </c>
      <c r="Y849" s="30"/>
      <c r="Z849" s="169">
        <f t="shared" si="2"/>
        <v>0</v>
      </c>
      <c r="AA849" s="167">
        <f t="shared" si="3"/>
        <v>0</v>
      </c>
      <c r="AB849" s="161"/>
      <c r="AC849" s="161">
        <f t="shared" si="4"/>
        <v>0</v>
      </c>
      <c r="AD849" s="161">
        <f t="shared" si="5"/>
        <v>0</v>
      </c>
      <c r="AE849" s="161">
        <f t="shared" si="6"/>
        <v>0</v>
      </c>
      <c r="AF849" s="167">
        <f t="shared" si="7"/>
        <v>0</v>
      </c>
      <c r="AG849" s="167">
        <f t="shared" si="8"/>
        <v>0</v>
      </c>
      <c r="AH849" s="158"/>
      <c r="AI849" s="158"/>
    </row>
    <row r="850" ht="12.75" customHeight="1">
      <c r="B850" s="160" t="str">
        <f>iferror(VLOOKUP((LEFT(A850,6)),CUSTOMER_DETAILS,2,FALSE),"-")</f>
        <v>-</v>
      </c>
      <c r="C850" s="161" t="s">
        <v>89</v>
      </c>
      <c r="D850" s="162"/>
      <c r="E850" s="161" t="s">
        <v>89</v>
      </c>
      <c r="F850" s="30" t="s">
        <v>89</v>
      </c>
      <c r="G850" s="30" t="s">
        <v>89</v>
      </c>
      <c r="H850" s="30" t="s">
        <v>89</v>
      </c>
      <c r="I850" s="48" t="s">
        <v>108</v>
      </c>
      <c r="J850" s="188" t="str">
        <f t="shared" si="15"/>
        <v/>
      </c>
      <c r="L850" s="48" t="s">
        <v>108</v>
      </c>
      <c r="O850" s="30" t="s">
        <v>89</v>
      </c>
      <c r="Q850" s="192"/>
      <c r="R850" s="161" t="str">
        <f>IFERROR(VLOOKUP(Q850,'PRODUCT TABLE'!$A$2:$B$26,2,FALSE),"-")</f>
        <v>-</v>
      </c>
      <c r="V850" s="161">
        <f t="shared" si="14"/>
        <v>0</v>
      </c>
      <c r="Y850" s="30"/>
      <c r="Z850" s="169">
        <f t="shared" si="2"/>
        <v>0</v>
      </c>
      <c r="AA850" s="167">
        <f t="shared" si="3"/>
        <v>0</v>
      </c>
      <c r="AB850" s="161"/>
      <c r="AC850" s="161">
        <f t="shared" si="4"/>
        <v>0</v>
      </c>
      <c r="AD850" s="161">
        <f t="shared" si="5"/>
        <v>0</v>
      </c>
      <c r="AE850" s="161">
        <f t="shared" si="6"/>
        <v>0</v>
      </c>
      <c r="AF850" s="167">
        <f t="shared" si="7"/>
        <v>0</v>
      </c>
      <c r="AG850" s="167">
        <f t="shared" si="8"/>
        <v>0</v>
      </c>
      <c r="AH850" s="158"/>
      <c r="AI850" s="158"/>
    </row>
    <row r="851" ht="12.75" customHeight="1">
      <c r="B851" s="160" t="str">
        <f>iferror(VLOOKUP((LEFT(A851,6)),CUSTOMER_DETAILS,2,FALSE),"-")</f>
        <v>-</v>
      </c>
      <c r="C851" s="161" t="s">
        <v>89</v>
      </c>
      <c r="D851" s="162"/>
      <c r="E851" s="161" t="s">
        <v>89</v>
      </c>
      <c r="F851" s="30" t="s">
        <v>89</v>
      </c>
      <c r="G851" s="30" t="s">
        <v>89</v>
      </c>
      <c r="H851" s="30" t="s">
        <v>89</v>
      </c>
      <c r="I851" s="48" t="s">
        <v>108</v>
      </c>
      <c r="J851" s="188" t="str">
        <f t="shared" si="15"/>
        <v/>
      </c>
      <c r="L851" s="48" t="s">
        <v>108</v>
      </c>
      <c r="O851" s="30" t="s">
        <v>89</v>
      </c>
      <c r="Q851" s="192"/>
      <c r="R851" s="161" t="str">
        <f>IFERROR(VLOOKUP(Q851,'PRODUCT TABLE'!$A$2:$B$26,2,FALSE),"-")</f>
        <v>-</v>
      </c>
      <c r="V851" s="161">
        <f t="shared" si="14"/>
        <v>0</v>
      </c>
      <c r="Y851" s="30"/>
      <c r="Z851" s="169">
        <f t="shared" si="2"/>
        <v>0</v>
      </c>
      <c r="AA851" s="167">
        <f t="shared" si="3"/>
        <v>0</v>
      </c>
      <c r="AB851" s="161"/>
      <c r="AC851" s="161">
        <f t="shared" si="4"/>
        <v>0</v>
      </c>
      <c r="AD851" s="161">
        <f t="shared" si="5"/>
        <v>0</v>
      </c>
      <c r="AE851" s="161">
        <f t="shared" si="6"/>
        <v>0</v>
      </c>
      <c r="AF851" s="167">
        <f t="shared" si="7"/>
        <v>0</v>
      </c>
      <c r="AG851" s="167">
        <f t="shared" si="8"/>
        <v>0</v>
      </c>
      <c r="AH851" s="158"/>
      <c r="AI851" s="158"/>
    </row>
    <row r="852" ht="12.75" customHeight="1">
      <c r="B852" s="160" t="str">
        <f>iferror(VLOOKUP((LEFT(A852,6)),CUSTOMER_DETAILS,2,FALSE),"-")</f>
        <v>-</v>
      </c>
      <c r="C852" s="161" t="s">
        <v>89</v>
      </c>
      <c r="D852" s="162"/>
      <c r="E852" s="161" t="s">
        <v>89</v>
      </c>
      <c r="F852" s="30" t="s">
        <v>89</v>
      </c>
      <c r="G852" s="30" t="s">
        <v>89</v>
      </c>
      <c r="H852" s="30" t="s">
        <v>89</v>
      </c>
      <c r="I852" s="48" t="s">
        <v>108</v>
      </c>
      <c r="J852" s="188" t="str">
        <f t="shared" si="15"/>
        <v/>
      </c>
      <c r="L852" s="48" t="s">
        <v>108</v>
      </c>
      <c r="O852" s="30" t="s">
        <v>89</v>
      </c>
      <c r="Q852" s="192"/>
      <c r="R852" s="161" t="str">
        <f>IFERROR(VLOOKUP(Q852,'PRODUCT TABLE'!$A$2:$B$26,2,FALSE),"-")</f>
        <v>-</v>
      </c>
      <c r="V852" s="161">
        <f t="shared" si="14"/>
        <v>0</v>
      </c>
      <c r="Y852" s="30"/>
      <c r="Z852" s="169">
        <f t="shared" si="2"/>
        <v>0</v>
      </c>
      <c r="AA852" s="167">
        <f t="shared" si="3"/>
        <v>0</v>
      </c>
      <c r="AB852" s="161"/>
      <c r="AC852" s="161">
        <f t="shared" si="4"/>
        <v>0</v>
      </c>
      <c r="AD852" s="161">
        <f t="shared" si="5"/>
        <v>0</v>
      </c>
      <c r="AE852" s="161">
        <f t="shared" si="6"/>
        <v>0</v>
      </c>
      <c r="AF852" s="167">
        <f t="shared" si="7"/>
        <v>0</v>
      </c>
      <c r="AG852" s="167">
        <f t="shared" si="8"/>
        <v>0</v>
      </c>
      <c r="AH852" s="158"/>
      <c r="AI852" s="158"/>
    </row>
    <row r="853" ht="12.75" customHeight="1">
      <c r="B853" s="160" t="str">
        <f>iferror(VLOOKUP((LEFT(A853,6)),CUSTOMER_DETAILS,2,FALSE),"-")</f>
        <v>-</v>
      </c>
      <c r="C853" s="161" t="s">
        <v>89</v>
      </c>
      <c r="D853" s="162"/>
      <c r="E853" s="161" t="s">
        <v>89</v>
      </c>
      <c r="F853" s="30" t="s">
        <v>89</v>
      </c>
      <c r="G853" s="30" t="s">
        <v>89</v>
      </c>
      <c r="H853" s="30" t="s">
        <v>89</v>
      </c>
      <c r="I853" s="48" t="s">
        <v>108</v>
      </c>
      <c r="J853" s="188" t="str">
        <f t="shared" si="15"/>
        <v/>
      </c>
      <c r="L853" s="48" t="s">
        <v>108</v>
      </c>
      <c r="O853" s="30" t="s">
        <v>89</v>
      </c>
      <c r="Q853" s="192"/>
      <c r="R853" s="161" t="str">
        <f>IFERROR(VLOOKUP(Q853,'PRODUCT TABLE'!$A$2:$B$26,2,FALSE),"-")</f>
        <v>-</v>
      </c>
      <c r="V853" s="161">
        <f t="shared" si="14"/>
        <v>0</v>
      </c>
      <c r="Y853" s="30"/>
      <c r="Z853" s="169">
        <f t="shared" si="2"/>
        <v>0</v>
      </c>
      <c r="AA853" s="167">
        <f t="shared" si="3"/>
        <v>0</v>
      </c>
      <c r="AB853" s="161"/>
      <c r="AC853" s="161">
        <f t="shared" si="4"/>
        <v>0</v>
      </c>
      <c r="AD853" s="161">
        <f t="shared" si="5"/>
        <v>0</v>
      </c>
      <c r="AE853" s="161">
        <f t="shared" si="6"/>
        <v>0</v>
      </c>
      <c r="AF853" s="167">
        <f t="shared" si="7"/>
        <v>0</v>
      </c>
      <c r="AG853" s="167">
        <f t="shared" si="8"/>
        <v>0</v>
      </c>
      <c r="AH853" s="158"/>
      <c r="AI853" s="158"/>
    </row>
    <row r="854" ht="12.75" customHeight="1">
      <c r="B854" s="160" t="str">
        <f>iferror(VLOOKUP((LEFT(A854,6)),CUSTOMER_DETAILS,2,FALSE),"-")</f>
        <v>-</v>
      </c>
      <c r="C854" s="161" t="s">
        <v>89</v>
      </c>
      <c r="D854" s="162"/>
      <c r="E854" s="161" t="s">
        <v>89</v>
      </c>
      <c r="F854" s="30" t="s">
        <v>89</v>
      </c>
      <c r="G854" s="30" t="s">
        <v>89</v>
      </c>
      <c r="H854" s="30" t="s">
        <v>89</v>
      </c>
      <c r="I854" s="48" t="s">
        <v>108</v>
      </c>
      <c r="J854" s="188" t="str">
        <f t="shared" si="15"/>
        <v/>
      </c>
      <c r="L854" s="48" t="s">
        <v>108</v>
      </c>
      <c r="O854" s="30" t="s">
        <v>89</v>
      </c>
      <c r="Q854" s="192"/>
      <c r="R854" s="161" t="str">
        <f>IFERROR(VLOOKUP(Q854,'PRODUCT TABLE'!$A$2:$B$26,2,FALSE),"-")</f>
        <v>-</v>
      </c>
      <c r="V854" s="161">
        <f t="shared" si="14"/>
        <v>0</v>
      </c>
      <c r="Y854" s="30"/>
      <c r="Z854" s="169">
        <f t="shared" si="2"/>
        <v>0</v>
      </c>
      <c r="AA854" s="167">
        <f t="shared" si="3"/>
        <v>0</v>
      </c>
      <c r="AB854" s="161"/>
      <c r="AC854" s="161">
        <f t="shared" si="4"/>
        <v>0</v>
      </c>
      <c r="AD854" s="161">
        <f t="shared" si="5"/>
        <v>0</v>
      </c>
      <c r="AE854" s="161">
        <f t="shared" si="6"/>
        <v>0</v>
      </c>
      <c r="AF854" s="167">
        <f t="shared" si="7"/>
        <v>0</v>
      </c>
      <c r="AG854" s="167">
        <f t="shared" si="8"/>
        <v>0</v>
      </c>
      <c r="AH854" s="158"/>
      <c r="AI854" s="158"/>
    </row>
    <row r="855" ht="12.75" customHeight="1">
      <c r="B855" s="160" t="str">
        <f>iferror(VLOOKUP((LEFT(A855,6)),CUSTOMER_DETAILS,2,FALSE),"-")</f>
        <v>-</v>
      </c>
      <c r="C855" s="161" t="s">
        <v>89</v>
      </c>
      <c r="D855" s="162"/>
      <c r="E855" s="161" t="s">
        <v>89</v>
      </c>
      <c r="F855" s="30" t="s">
        <v>89</v>
      </c>
      <c r="G855" s="30" t="s">
        <v>89</v>
      </c>
      <c r="H855" s="30" t="s">
        <v>89</v>
      </c>
      <c r="I855" s="48" t="s">
        <v>108</v>
      </c>
      <c r="J855" s="188" t="str">
        <f t="shared" si="15"/>
        <v/>
      </c>
      <c r="L855" s="48" t="s">
        <v>108</v>
      </c>
      <c r="O855" s="30" t="s">
        <v>89</v>
      </c>
      <c r="Q855" s="192"/>
      <c r="R855" s="161" t="str">
        <f>IFERROR(VLOOKUP(Q855,'PRODUCT TABLE'!$A$2:$B$26,2,FALSE),"-")</f>
        <v>-</v>
      </c>
      <c r="V855" s="161">
        <f t="shared" si="14"/>
        <v>0</v>
      </c>
      <c r="Y855" s="30"/>
      <c r="Z855" s="169">
        <f t="shared" si="2"/>
        <v>0</v>
      </c>
      <c r="AA855" s="167">
        <f t="shared" si="3"/>
        <v>0</v>
      </c>
      <c r="AB855" s="161"/>
      <c r="AC855" s="161">
        <f t="shared" si="4"/>
        <v>0</v>
      </c>
      <c r="AD855" s="161">
        <f t="shared" si="5"/>
        <v>0</v>
      </c>
      <c r="AE855" s="161">
        <f t="shared" si="6"/>
        <v>0</v>
      </c>
      <c r="AF855" s="167">
        <f t="shared" si="7"/>
        <v>0</v>
      </c>
      <c r="AG855" s="167">
        <f t="shared" si="8"/>
        <v>0</v>
      </c>
      <c r="AH855" s="158"/>
      <c r="AI855" s="158"/>
    </row>
    <row r="856" ht="12.75" customHeight="1">
      <c r="B856" s="160" t="str">
        <f>iferror(VLOOKUP((LEFT(A856,6)),CUSTOMER_DETAILS,2,FALSE),"-")</f>
        <v>-</v>
      </c>
      <c r="C856" s="161" t="s">
        <v>89</v>
      </c>
      <c r="D856" s="162"/>
      <c r="E856" s="161" t="s">
        <v>89</v>
      </c>
      <c r="F856" s="30" t="s">
        <v>89</v>
      </c>
      <c r="G856" s="30" t="s">
        <v>89</v>
      </c>
      <c r="H856" s="30" t="s">
        <v>89</v>
      </c>
      <c r="I856" s="48" t="s">
        <v>108</v>
      </c>
      <c r="J856" s="188" t="str">
        <f t="shared" si="15"/>
        <v/>
      </c>
      <c r="L856" s="48" t="s">
        <v>108</v>
      </c>
      <c r="O856" s="30" t="s">
        <v>89</v>
      </c>
      <c r="Q856" s="192"/>
      <c r="R856" s="161" t="str">
        <f>IFERROR(VLOOKUP(Q856,'PRODUCT TABLE'!$A$2:$B$26,2,FALSE),"-")</f>
        <v>-</v>
      </c>
      <c r="V856" s="161">
        <f t="shared" si="14"/>
        <v>0</v>
      </c>
      <c r="Y856" s="30"/>
      <c r="Z856" s="169">
        <f t="shared" si="2"/>
        <v>0</v>
      </c>
      <c r="AA856" s="167">
        <f t="shared" si="3"/>
        <v>0</v>
      </c>
      <c r="AB856" s="161"/>
      <c r="AC856" s="161">
        <f t="shared" si="4"/>
        <v>0</v>
      </c>
      <c r="AD856" s="161">
        <f t="shared" si="5"/>
        <v>0</v>
      </c>
      <c r="AE856" s="161">
        <f t="shared" si="6"/>
        <v>0</v>
      </c>
      <c r="AF856" s="167">
        <f t="shared" si="7"/>
        <v>0</v>
      </c>
      <c r="AG856" s="167">
        <f t="shared" si="8"/>
        <v>0</v>
      </c>
      <c r="AH856" s="158"/>
      <c r="AI856" s="158"/>
    </row>
    <row r="857" ht="12.75" customHeight="1">
      <c r="B857" s="160" t="str">
        <f>iferror(VLOOKUP((LEFT(A857,6)),CUSTOMER_DETAILS,2,FALSE),"-")</f>
        <v>-</v>
      </c>
      <c r="C857" s="161" t="s">
        <v>89</v>
      </c>
      <c r="D857" s="162"/>
      <c r="E857" s="161" t="s">
        <v>89</v>
      </c>
      <c r="F857" s="30" t="s">
        <v>89</v>
      </c>
      <c r="G857" s="30" t="s">
        <v>89</v>
      </c>
      <c r="H857" s="30" t="s">
        <v>89</v>
      </c>
      <c r="I857" s="48" t="s">
        <v>108</v>
      </c>
      <c r="J857" s="188" t="str">
        <f t="shared" si="15"/>
        <v/>
      </c>
      <c r="L857" s="48" t="s">
        <v>108</v>
      </c>
      <c r="O857" s="30" t="s">
        <v>89</v>
      </c>
      <c r="Q857" s="192"/>
      <c r="R857" s="161" t="str">
        <f>IFERROR(VLOOKUP(Q857,'PRODUCT TABLE'!$A$2:$B$26,2,FALSE),"-")</f>
        <v>-</v>
      </c>
      <c r="V857" s="161">
        <f t="shared" si="14"/>
        <v>0</v>
      </c>
      <c r="Y857" s="30"/>
      <c r="Z857" s="169">
        <f t="shared" si="2"/>
        <v>0</v>
      </c>
      <c r="AA857" s="167">
        <f t="shared" si="3"/>
        <v>0</v>
      </c>
      <c r="AB857" s="161"/>
      <c r="AC857" s="161">
        <f t="shared" si="4"/>
        <v>0</v>
      </c>
      <c r="AD857" s="161">
        <f t="shared" si="5"/>
        <v>0</v>
      </c>
      <c r="AE857" s="161">
        <f t="shared" si="6"/>
        <v>0</v>
      </c>
      <c r="AF857" s="167">
        <f t="shared" si="7"/>
        <v>0</v>
      </c>
      <c r="AG857" s="167">
        <f t="shared" si="8"/>
        <v>0</v>
      </c>
      <c r="AH857" s="158"/>
      <c r="AI857" s="158"/>
    </row>
    <row r="858" ht="12.75" customHeight="1">
      <c r="B858" s="160" t="str">
        <f>iferror(VLOOKUP((LEFT(A858,6)),CUSTOMER_DETAILS,2,FALSE),"-")</f>
        <v>-</v>
      </c>
      <c r="C858" s="161" t="s">
        <v>89</v>
      </c>
      <c r="D858" s="162"/>
      <c r="E858" s="161" t="s">
        <v>89</v>
      </c>
      <c r="F858" s="30" t="s">
        <v>89</v>
      </c>
      <c r="G858" s="30" t="s">
        <v>89</v>
      </c>
      <c r="H858" s="30" t="s">
        <v>89</v>
      </c>
      <c r="I858" s="48" t="s">
        <v>108</v>
      </c>
      <c r="J858" s="188" t="str">
        <f t="shared" si="15"/>
        <v/>
      </c>
      <c r="L858" s="48" t="s">
        <v>108</v>
      </c>
      <c r="O858" s="30" t="s">
        <v>89</v>
      </c>
      <c r="Q858" s="192"/>
      <c r="R858" s="161" t="str">
        <f>IFERROR(VLOOKUP(Q858,'PRODUCT TABLE'!$A$2:$B$26,2,FALSE),"-")</f>
        <v>-</v>
      </c>
      <c r="V858" s="161">
        <f t="shared" si="14"/>
        <v>0</v>
      </c>
      <c r="Y858" s="30"/>
      <c r="Z858" s="169">
        <f t="shared" si="2"/>
        <v>0</v>
      </c>
      <c r="AA858" s="167">
        <f t="shared" si="3"/>
        <v>0</v>
      </c>
      <c r="AB858" s="161"/>
      <c r="AC858" s="161">
        <f t="shared" si="4"/>
        <v>0</v>
      </c>
      <c r="AD858" s="161">
        <f t="shared" si="5"/>
        <v>0</v>
      </c>
      <c r="AE858" s="161">
        <f t="shared" si="6"/>
        <v>0</v>
      </c>
      <c r="AF858" s="167">
        <f t="shared" si="7"/>
        <v>0</v>
      </c>
      <c r="AG858" s="167">
        <f t="shared" si="8"/>
        <v>0</v>
      </c>
      <c r="AH858" s="158"/>
      <c r="AI858" s="158"/>
    </row>
    <row r="859" ht="12.75" customHeight="1">
      <c r="B859" s="160" t="str">
        <f>iferror(VLOOKUP((LEFT(A859,6)),CUSTOMER_DETAILS,2,FALSE),"-")</f>
        <v>-</v>
      </c>
      <c r="C859" s="161" t="s">
        <v>89</v>
      </c>
      <c r="D859" s="162"/>
      <c r="E859" s="161" t="s">
        <v>89</v>
      </c>
      <c r="F859" s="30" t="s">
        <v>89</v>
      </c>
      <c r="G859" s="30" t="s">
        <v>89</v>
      </c>
      <c r="H859" s="30" t="s">
        <v>89</v>
      </c>
      <c r="I859" s="48" t="s">
        <v>108</v>
      </c>
      <c r="J859" s="188" t="str">
        <f t="shared" si="15"/>
        <v/>
      </c>
      <c r="L859" s="48" t="s">
        <v>108</v>
      </c>
      <c r="O859" s="30" t="s">
        <v>89</v>
      </c>
      <c r="Q859" s="192"/>
      <c r="R859" s="161" t="str">
        <f>IFERROR(VLOOKUP(Q859,'PRODUCT TABLE'!$A$2:$B$26,2,FALSE),"-")</f>
        <v>-</v>
      </c>
      <c r="V859" s="161">
        <f t="shared" si="14"/>
        <v>0</v>
      </c>
      <c r="Y859" s="30"/>
      <c r="Z859" s="169">
        <f t="shared" si="2"/>
        <v>0</v>
      </c>
      <c r="AA859" s="167">
        <f t="shared" si="3"/>
        <v>0</v>
      </c>
      <c r="AB859" s="161"/>
      <c r="AC859" s="161">
        <f t="shared" si="4"/>
        <v>0</v>
      </c>
      <c r="AD859" s="161">
        <f t="shared" si="5"/>
        <v>0</v>
      </c>
      <c r="AE859" s="161">
        <f t="shared" si="6"/>
        <v>0</v>
      </c>
      <c r="AF859" s="167">
        <f t="shared" si="7"/>
        <v>0</v>
      </c>
      <c r="AG859" s="167">
        <f t="shared" si="8"/>
        <v>0</v>
      </c>
      <c r="AH859" s="158"/>
      <c r="AI859" s="158"/>
    </row>
    <row r="860" ht="12.75" customHeight="1">
      <c r="B860" s="160" t="str">
        <f>iferror(VLOOKUP((LEFT(A860,6)),CUSTOMER_DETAILS,2,FALSE),"-")</f>
        <v>-</v>
      </c>
      <c r="C860" s="161" t="s">
        <v>89</v>
      </c>
      <c r="D860" s="162"/>
      <c r="E860" s="161" t="s">
        <v>89</v>
      </c>
      <c r="F860" s="30" t="s">
        <v>89</v>
      </c>
      <c r="G860" s="30" t="s">
        <v>89</v>
      </c>
      <c r="H860" s="30" t="s">
        <v>89</v>
      </c>
      <c r="I860" s="48" t="s">
        <v>108</v>
      </c>
      <c r="J860" s="188" t="str">
        <f t="shared" si="15"/>
        <v/>
      </c>
      <c r="L860" s="48" t="s">
        <v>108</v>
      </c>
      <c r="O860" s="30" t="s">
        <v>89</v>
      </c>
      <c r="Q860" s="192"/>
      <c r="R860" s="161" t="str">
        <f>IFERROR(VLOOKUP(Q860,'PRODUCT TABLE'!$A$2:$B$26,2,FALSE),"-")</f>
        <v>-</v>
      </c>
      <c r="V860" s="161">
        <f t="shared" si="14"/>
        <v>0</v>
      </c>
      <c r="Y860" s="30"/>
      <c r="Z860" s="169">
        <f t="shared" si="2"/>
        <v>0</v>
      </c>
      <c r="AA860" s="167">
        <f t="shared" si="3"/>
        <v>0</v>
      </c>
      <c r="AB860" s="161"/>
      <c r="AC860" s="161">
        <f t="shared" si="4"/>
        <v>0</v>
      </c>
      <c r="AD860" s="161">
        <f t="shared" si="5"/>
        <v>0</v>
      </c>
      <c r="AE860" s="161">
        <f t="shared" si="6"/>
        <v>0</v>
      </c>
      <c r="AF860" s="167">
        <f t="shared" si="7"/>
        <v>0</v>
      </c>
      <c r="AG860" s="167">
        <f t="shared" si="8"/>
        <v>0</v>
      </c>
      <c r="AH860" s="158"/>
      <c r="AI860" s="158"/>
    </row>
    <row r="861" ht="12.75" customHeight="1">
      <c r="B861" s="160" t="str">
        <f>iferror(VLOOKUP((LEFT(A861,6)),CUSTOMER_DETAILS,2,FALSE),"-")</f>
        <v>-</v>
      </c>
      <c r="C861" s="161" t="s">
        <v>89</v>
      </c>
      <c r="D861" s="162"/>
      <c r="E861" s="161" t="s">
        <v>89</v>
      </c>
      <c r="F861" s="30" t="s">
        <v>89</v>
      </c>
      <c r="G861" s="30" t="s">
        <v>89</v>
      </c>
      <c r="H861" s="30" t="s">
        <v>89</v>
      </c>
      <c r="I861" s="48" t="s">
        <v>108</v>
      </c>
      <c r="J861" s="188" t="str">
        <f t="shared" si="15"/>
        <v/>
      </c>
      <c r="L861" s="48" t="s">
        <v>108</v>
      </c>
      <c r="O861" s="30" t="s">
        <v>89</v>
      </c>
      <c r="Q861" s="192"/>
      <c r="R861" s="161" t="str">
        <f>IFERROR(VLOOKUP(Q861,'PRODUCT TABLE'!$A$2:$B$26,2,FALSE),"-")</f>
        <v>-</v>
      </c>
      <c r="V861" s="161">
        <f t="shared" si="14"/>
        <v>0</v>
      </c>
      <c r="Y861" s="30"/>
      <c r="Z861" s="169">
        <f t="shared" si="2"/>
        <v>0</v>
      </c>
      <c r="AA861" s="167">
        <f t="shared" si="3"/>
        <v>0</v>
      </c>
      <c r="AB861" s="161"/>
      <c r="AC861" s="161">
        <f t="shared" si="4"/>
        <v>0</v>
      </c>
      <c r="AD861" s="161">
        <f t="shared" si="5"/>
        <v>0</v>
      </c>
      <c r="AE861" s="161">
        <f t="shared" si="6"/>
        <v>0</v>
      </c>
      <c r="AF861" s="167">
        <f t="shared" si="7"/>
        <v>0</v>
      </c>
      <c r="AG861" s="167">
        <f t="shared" si="8"/>
        <v>0</v>
      </c>
      <c r="AH861" s="158"/>
      <c r="AI861" s="158"/>
    </row>
    <row r="862" ht="12.75" customHeight="1">
      <c r="B862" s="160" t="str">
        <f>iferror(VLOOKUP((LEFT(A862,6)),CUSTOMER_DETAILS,2,FALSE),"-")</f>
        <v>-</v>
      </c>
      <c r="C862" s="161" t="s">
        <v>89</v>
      </c>
      <c r="D862" s="162"/>
      <c r="E862" s="161" t="s">
        <v>89</v>
      </c>
      <c r="F862" s="30" t="s">
        <v>89</v>
      </c>
      <c r="G862" s="30" t="s">
        <v>89</v>
      </c>
      <c r="H862" s="30" t="s">
        <v>89</v>
      </c>
      <c r="I862" s="48" t="s">
        <v>108</v>
      </c>
      <c r="J862" s="188" t="str">
        <f t="shared" si="15"/>
        <v/>
      </c>
      <c r="L862" s="48" t="s">
        <v>108</v>
      </c>
      <c r="O862" s="30" t="s">
        <v>89</v>
      </c>
      <c r="Q862" s="192"/>
      <c r="R862" s="161" t="str">
        <f>IFERROR(VLOOKUP(Q862,'PRODUCT TABLE'!$A$2:$B$26,2,FALSE),"-")</f>
        <v>-</v>
      </c>
      <c r="V862" s="161">
        <f t="shared" si="14"/>
        <v>0</v>
      </c>
      <c r="Y862" s="30"/>
      <c r="Z862" s="169">
        <f t="shared" si="2"/>
        <v>0</v>
      </c>
      <c r="AA862" s="167">
        <f t="shared" si="3"/>
        <v>0</v>
      </c>
      <c r="AB862" s="161"/>
      <c r="AC862" s="161">
        <f t="shared" si="4"/>
        <v>0</v>
      </c>
      <c r="AD862" s="161">
        <f t="shared" si="5"/>
        <v>0</v>
      </c>
      <c r="AE862" s="161">
        <f t="shared" si="6"/>
        <v>0</v>
      </c>
      <c r="AF862" s="167">
        <f t="shared" si="7"/>
        <v>0</v>
      </c>
      <c r="AG862" s="167">
        <f t="shared" si="8"/>
        <v>0</v>
      </c>
      <c r="AH862" s="158"/>
      <c r="AI862" s="158"/>
    </row>
    <row r="863" ht="12.75" customHeight="1">
      <c r="B863" s="160" t="str">
        <f>iferror(VLOOKUP((LEFT(A863,6)),CUSTOMER_DETAILS,2,FALSE),"-")</f>
        <v>-</v>
      </c>
      <c r="C863" s="161" t="s">
        <v>89</v>
      </c>
      <c r="D863" s="162"/>
      <c r="E863" s="161" t="s">
        <v>89</v>
      </c>
      <c r="F863" s="30" t="s">
        <v>89</v>
      </c>
      <c r="G863" s="30" t="s">
        <v>89</v>
      </c>
      <c r="H863" s="30" t="s">
        <v>89</v>
      </c>
      <c r="I863" s="48" t="s">
        <v>108</v>
      </c>
      <c r="J863" s="188" t="str">
        <f t="shared" si="15"/>
        <v/>
      </c>
      <c r="L863" s="48" t="s">
        <v>108</v>
      </c>
      <c r="O863" s="30" t="s">
        <v>89</v>
      </c>
      <c r="Q863" s="192"/>
      <c r="R863" s="161" t="str">
        <f>IFERROR(VLOOKUP(Q863,'PRODUCT TABLE'!$A$2:$B$26,2,FALSE),"-")</f>
        <v>-</v>
      </c>
      <c r="V863" s="161">
        <f t="shared" si="14"/>
        <v>0</v>
      </c>
      <c r="Y863" s="30"/>
      <c r="Z863" s="169">
        <f t="shared" si="2"/>
        <v>0</v>
      </c>
      <c r="AA863" s="167">
        <f t="shared" si="3"/>
        <v>0</v>
      </c>
      <c r="AB863" s="161"/>
      <c r="AC863" s="161">
        <f t="shared" si="4"/>
        <v>0</v>
      </c>
      <c r="AD863" s="161">
        <f t="shared" si="5"/>
        <v>0</v>
      </c>
      <c r="AE863" s="161">
        <f t="shared" si="6"/>
        <v>0</v>
      </c>
      <c r="AF863" s="167">
        <f t="shared" si="7"/>
        <v>0</v>
      </c>
      <c r="AG863" s="167">
        <f t="shared" si="8"/>
        <v>0</v>
      </c>
      <c r="AH863" s="158"/>
      <c r="AI863" s="158"/>
    </row>
    <row r="864" ht="12.75" customHeight="1">
      <c r="B864" s="160" t="str">
        <f>iferror(VLOOKUP((LEFT(A864,6)),CUSTOMER_DETAILS,2,FALSE),"-")</f>
        <v>-</v>
      </c>
      <c r="C864" s="161" t="s">
        <v>89</v>
      </c>
      <c r="D864" s="162"/>
      <c r="E864" s="161" t="s">
        <v>89</v>
      </c>
      <c r="F864" s="30" t="s">
        <v>89</v>
      </c>
      <c r="G864" s="30" t="s">
        <v>89</v>
      </c>
      <c r="H864" s="30" t="s">
        <v>89</v>
      </c>
      <c r="I864" s="48" t="s">
        <v>108</v>
      </c>
      <c r="J864" s="188" t="str">
        <f t="shared" si="15"/>
        <v/>
      </c>
      <c r="L864" s="48" t="s">
        <v>108</v>
      </c>
      <c r="O864" s="30" t="s">
        <v>89</v>
      </c>
      <c r="Q864" s="192"/>
      <c r="R864" s="161" t="str">
        <f>IFERROR(VLOOKUP(Q864,'PRODUCT TABLE'!$A$2:$B$26,2,FALSE),"-")</f>
        <v>-</v>
      </c>
      <c r="V864" s="161">
        <f t="shared" si="14"/>
        <v>0</v>
      </c>
      <c r="Y864" s="30"/>
      <c r="Z864" s="169">
        <f t="shared" si="2"/>
        <v>0</v>
      </c>
      <c r="AA864" s="167">
        <f t="shared" si="3"/>
        <v>0</v>
      </c>
      <c r="AB864" s="161"/>
      <c r="AC864" s="161">
        <f t="shared" si="4"/>
        <v>0</v>
      </c>
      <c r="AD864" s="161">
        <f t="shared" si="5"/>
        <v>0</v>
      </c>
      <c r="AE864" s="161">
        <f t="shared" si="6"/>
        <v>0</v>
      </c>
      <c r="AF864" s="167">
        <f t="shared" si="7"/>
        <v>0</v>
      </c>
      <c r="AG864" s="167">
        <f t="shared" si="8"/>
        <v>0</v>
      </c>
      <c r="AH864" s="158"/>
      <c r="AI864" s="158"/>
    </row>
    <row r="865" ht="12.75" customHeight="1">
      <c r="B865" s="160" t="str">
        <f>iferror(VLOOKUP((LEFT(A865,6)),CUSTOMER_DETAILS,2,FALSE),"-")</f>
        <v>-</v>
      </c>
      <c r="C865" s="161" t="s">
        <v>89</v>
      </c>
      <c r="D865" s="162"/>
      <c r="E865" s="161" t="s">
        <v>89</v>
      </c>
      <c r="F865" s="30" t="s">
        <v>89</v>
      </c>
      <c r="G865" s="30" t="s">
        <v>89</v>
      </c>
      <c r="H865" s="30" t="s">
        <v>89</v>
      </c>
      <c r="I865" s="48" t="s">
        <v>108</v>
      </c>
      <c r="J865" s="188" t="str">
        <f t="shared" si="15"/>
        <v/>
      </c>
      <c r="L865" s="48" t="s">
        <v>108</v>
      </c>
      <c r="O865" s="30" t="s">
        <v>89</v>
      </c>
      <c r="Q865" s="192"/>
      <c r="R865" s="161" t="str">
        <f>IFERROR(VLOOKUP(Q865,'PRODUCT TABLE'!$A$2:$B$26,2,FALSE),"-")</f>
        <v>-</v>
      </c>
      <c r="V865" s="161">
        <f t="shared" si="14"/>
        <v>0</v>
      </c>
      <c r="Y865" s="30"/>
      <c r="Z865" s="169">
        <f t="shared" si="2"/>
        <v>0</v>
      </c>
      <c r="AA865" s="167">
        <f t="shared" si="3"/>
        <v>0</v>
      </c>
      <c r="AB865" s="161"/>
      <c r="AC865" s="161">
        <f t="shared" si="4"/>
        <v>0</v>
      </c>
      <c r="AD865" s="161">
        <f t="shared" si="5"/>
        <v>0</v>
      </c>
      <c r="AE865" s="161">
        <f t="shared" si="6"/>
        <v>0</v>
      </c>
      <c r="AF865" s="167">
        <f t="shared" si="7"/>
        <v>0</v>
      </c>
      <c r="AG865" s="167">
        <f t="shared" si="8"/>
        <v>0</v>
      </c>
      <c r="AH865" s="158"/>
      <c r="AI865" s="158"/>
    </row>
    <row r="866" ht="12.75" customHeight="1">
      <c r="B866" s="160" t="str">
        <f>iferror(VLOOKUP((LEFT(A866,6)),CUSTOMER_DETAILS,2,FALSE),"-")</f>
        <v>-</v>
      </c>
      <c r="C866" s="161" t="s">
        <v>89</v>
      </c>
      <c r="D866" s="162"/>
      <c r="E866" s="161" t="s">
        <v>89</v>
      </c>
      <c r="F866" s="30" t="s">
        <v>89</v>
      </c>
      <c r="G866" s="30" t="s">
        <v>89</v>
      </c>
      <c r="H866" s="30" t="s">
        <v>89</v>
      </c>
      <c r="I866" s="48" t="s">
        <v>108</v>
      </c>
      <c r="J866" s="188" t="str">
        <f t="shared" si="15"/>
        <v/>
      </c>
      <c r="L866" s="48" t="s">
        <v>108</v>
      </c>
      <c r="O866" s="30" t="s">
        <v>89</v>
      </c>
      <c r="Q866" s="192"/>
      <c r="R866" s="161" t="str">
        <f>IFERROR(VLOOKUP(Q866,'PRODUCT TABLE'!$A$2:$B$26,2,FALSE),"-")</f>
        <v>-</v>
      </c>
      <c r="V866" s="161">
        <f t="shared" si="14"/>
        <v>0</v>
      </c>
      <c r="Y866" s="30"/>
      <c r="Z866" s="169">
        <f t="shared" si="2"/>
        <v>0</v>
      </c>
      <c r="AA866" s="167">
        <f t="shared" si="3"/>
        <v>0</v>
      </c>
      <c r="AB866" s="161"/>
      <c r="AC866" s="161">
        <f t="shared" si="4"/>
        <v>0</v>
      </c>
      <c r="AD866" s="161">
        <f t="shared" si="5"/>
        <v>0</v>
      </c>
      <c r="AE866" s="161">
        <f t="shared" si="6"/>
        <v>0</v>
      </c>
      <c r="AF866" s="167">
        <f t="shared" si="7"/>
        <v>0</v>
      </c>
      <c r="AG866" s="167">
        <f t="shared" si="8"/>
        <v>0</v>
      </c>
      <c r="AH866" s="158"/>
      <c r="AI866" s="158"/>
    </row>
    <row r="867" ht="12.75" customHeight="1">
      <c r="B867" s="160" t="str">
        <f>iferror(VLOOKUP((LEFT(A867,6)),CUSTOMER_DETAILS,2,FALSE),"-")</f>
        <v>-</v>
      </c>
      <c r="C867" s="161" t="s">
        <v>89</v>
      </c>
      <c r="D867" s="162"/>
      <c r="E867" s="161" t="s">
        <v>89</v>
      </c>
      <c r="F867" s="30" t="s">
        <v>89</v>
      </c>
      <c r="G867" s="30" t="s">
        <v>89</v>
      </c>
      <c r="H867" s="30" t="s">
        <v>89</v>
      </c>
      <c r="I867" s="48" t="s">
        <v>108</v>
      </c>
      <c r="J867" s="188" t="str">
        <f t="shared" si="15"/>
        <v/>
      </c>
      <c r="L867" s="48" t="s">
        <v>108</v>
      </c>
      <c r="O867" s="30" t="s">
        <v>89</v>
      </c>
      <c r="Q867" s="192"/>
      <c r="R867" s="161" t="str">
        <f>IFERROR(VLOOKUP(Q867,'PRODUCT TABLE'!$A$2:$B$26,2,FALSE),"-")</f>
        <v>-</v>
      </c>
      <c r="V867" s="161">
        <f t="shared" si="14"/>
        <v>0</v>
      </c>
      <c r="Y867" s="30"/>
      <c r="Z867" s="169">
        <f t="shared" si="2"/>
        <v>0</v>
      </c>
      <c r="AA867" s="167">
        <f t="shared" si="3"/>
        <v>0</v>
      </c>
      <c r="AB867" s="161"/>
      <c r="AC867" s="161">
        <f t="shared" si="4"/>
        <v>0</v>
      </c>
      <c r="AD867" s="161">
        <f t="shared" si="5"/>
        <v>0</v>
      </c>
      <c r="AE867" s="161">
        <f t="shared" si="6"/>
        <v>0</v>
      </c>
      <c r="AF867" s="167">
        <f t="shared" si="7"/>
        <v>0</v>
      </c>
      <c r="AG867" s="167">
        <f t="shared" si="8"/>
        <v>0</v>
      </c>
      <c r="AH867" s="158"/>
      <c r="AI867" s="158"/>
    </row>
    <row r="868" ht="12.75" customHeight="1">
      <c r="B868" s="160" t="str">
        <f>iferror(VLOOKUP((LEFT(A868,6)),CUSTOMER_DETAILS,2,FALSE),"-")</f>
        <v>-</v>
      </c>
      <c r="C868" s="161" t="s">
        <v>89</v>
      </c>
      <c r="D868" s="162"/>
      <c r="E868" s="161" t="s">
        <v>89</v>
      </c>
      <c r="F868" s="30" t="s">
        <v>89</v>
      </c>
      <c r="G868" s="30" t="s">
        <v>89</v>
      </c>
      <c r="H868" s="30" t="s">
        <v>89</v>
      </c>
      <c r="I868" s="48" t="s">
        <v>108</v>
      </c>
      <c r="J868" s="188" t="str">
        <f t="shared" si="15"/>
        <v/>
      </c>
      <c r="L868" s="48" t="s">
        <v>108</v>
      </c>
      <c r="O868" s="30" t="s">
        <v>89</v>
      </c>
      <c r="Q868" s="192"/>
      <c r="R868" s="161" t="str">
        <f>IFERROR(VLOOKUP(Q868,'PRODUCT TABLE'!$A$2:$B$26,2,FALSE),"-")</f>
        <v>-</v>
      </c>
      <c r="V868" s="161">
        <f t="shared" si="14"/>
        <v>0</v>
      </c>
      <c r="Y868" s="30"/>
      <c r="Z868" s="169">
        <f t="shared" si="2"/>
        <v>0</v>
      </c>
      <c r="AA868" s="167">
        <f t="shared" si="3"/>
        <v>0</v>
      </c>
      <c r="AB868" s="161"/>
      <c r="AC868" s="161">
        <f t="shared" si="4"/>
        <v>0</v>
      </c>
      <c r="AD868" s="161">
        <f t="shared" si="5"/>
        <v>0</v>
      </c>
      <c r="AE868" s="161">
        <f t="shared" si="6"/>
        <v>0</v>
      </c>
      <c r="AF868" s="167">
        <f t="shared" si="7"/>
        <v>0</v>
      </c>
      <c r="AG868" s="167">
        <f t="shared" si="8"/>
        <v>0</v>
      </c>
      <c r="AH868" s="158"/>
      <c r="AI868" s="158"/>
    </row>
    <row r="869" ht="12.75" customHeight="1">
      <c r="B869" s="160" t="str">
        <f>iferror(VLOOKUP((LEFT(A869,6)),CUSTOMER_DETAILS,2,FALSE),"-")</f>
        <v>-</v>
      </c>
      <c r="C869" s="161" t="s">
        <v>89</v>
      </c>
      <c r="D869" s="162"/>
      <c r="E869" s="161" t="s">
        <v>89</v>
      </c>
      <c r="F869" s="30" t="s">
        <v>89</v>
      </c>
      <c r="G869" s="30" t="s">
        <v>89</v>
      </c>
      <c r="H869" s="30" t="s">
        <v>89</v>
      </c>
      <c r="I869" s="48" t="s">
        <v>108</v>
      </c>
      <c r="J869" s="188" t="str">
        <f t="shared" si="15"/>
        <v/>
      </c>
      <c r="L869" s="48" t="s">
        <v>108</v>
      </c>
      <c r="O869" s="30" t="s">
        <v>89</v>
      </c>
      <c r="Q869" s="192"/>
      <c r="R869" s="161" t="str">
        <f>IFERROR(VLOOKUP(Q869,'PRODUCT TABLE'!$A$2:$B$26,2,FALSE),"-")</f>
        <v>-</v>
      </c>
      <c r="V869" s="161">
        <f t="shared" si="14"/>
        <v>0</v>
      </c>
      <c r="Y869" s="30"/>
      <c r="Z869" s="169">
        <f t="shared" si="2"/>
        <v>0</v>
      </c>
      <c r="AA869" s="167">
        <f t="shared" si="3"/>
        <v>0</v>
      </c>
      <c r="AB869" s="161"/>
      <c r="AC869" s="161">
        <f t="shared" si="4"/>
        <v>0</v>
      </c>
      <c r="AD869" s="161">
        <f t="shared" si="5"/>
        <v>0</v>
      </c>
      <c r="AE869" s="161">
        <f t="shared" si="6"/>
        <v>0</v>
      </c>
      <c r="AF869" s="167">
        <f t="shared" si="7"/>
        <v>0</v>
      </c>
      <c r="AG869" s="167">
        <f t="shared" si="8"/>
        <v>0</v>
      </c>
      <c r="AH869" s="158"/>
      <c r="AI869" s="158"/>
    </row>
    <row r="870" ht="12.75" customHeight="1">
      <c r="B870" s="160" t="str">
        <f>iferror(VLOOKUP((LEFT(A870,6)),CUSTOMER_DETAILS,2,FALSE),"-")</f>
        <v>-</v>
      </c>
      <c r="C870" s="161" t="s">
        <v>89</v>
      </c>
      <c r="D870" s="162"/>
      <c r="E870" s="161" t="s">
        <v>89</v>
      </c>
      <c r="F870" s="30" t="s">
        <v>89</v>
      </c>
      <c r="G870" s="30" t="s">
        <v>89</v>
      </c>
      <c r="H870" s="30" t="s">
        <v>89</v>
      </c>
      <c r="I870" s="48" t="s">
        <v>108</v>
      </c>
      <c r="J870" s="188" t="str">
        <f t="shared" si="15"/>
        <v/>
      </c>
      <c r="L870" s="48" t="s">
        <v>108</v>
      </c>
      <c r="O870" s="30" t="s">
        <v>89</v>
      </c>
      <c r="Q870" s="192"/>
      <c r="R870" s="161" t="str">
        <f>IFERROR(VLOOKUP(Q870,'PRODUCT TABLE'!$A$2:$B$26,2,FALSE),"-")</f>
        <v>-</v>
      </c>
      <c r="V870" s="161">
        <f t="shared" si="14"/>
        <v>0</v>
      </c>
      <c r="Y870" s="30"/>
      <c r="Z870" s="169">
        <f t="shared" si="2"/>
        <v>0</v>
      </c>
      <c r="AA870" s="167">
        <f t="shared" si="3"/>
        <v>0</v>
      </c>
      <c r="AB870" s="161"/>
      <c r="AC870" s="161">
        <f t="shared" si="4"/>
        <v>0</v>
      </c>
      <c r="AD870" s="161">
        <f t="shared" si="5"/>
        <v>0</v>
      </c>
      <c r="AE870" s="161">
        <f t="shared" si="6"/>
        <v>0</v>
      </c>
      <c r="AF870" s="167">
        <f t="shared" si="7"/>
        <v>0</v>
      </c>
      <c r="AG870" s="167">
        <f t="shared" si="8"/>
        <v>0</v>
      </c>
      <c r="AH870" s="158"/>
      <c r="AI870" s="158"/>
    </row>
    <row r="871" ht="12.75" customHeight="1">
      <c r="B871" s="160" t="str">
        <f>iferror(VLOOKUP((LEFT(A871,6)),CUSTOMER_DETAILS,2,FALSE),"-")</f>
        <v>-</v>
      </c>
      <c r="C871" s="161" t="s">
        <v>89</v>
      </c>
      <c r="D871" s="162"/>
      <c r="E871" s="161" t="s">
        <v>89</v>
      </c>
      <c r="F871" s="30" t="s">
        <v>89</v>
      </c>
      <c r="G871" s="30" t="s">
        <v>89</v>
      </c>
      <c r="H871" s="30" t="s">
        <v>89</v>
      </c>
      <c r="I871" s="48" t="s">
        <v>108</v>
      </c>
      <c r="J871" s="188" t="str">
        <f t="shared" si="15"/>
        <v/>
      </c>
      <c r="L871" s="48" t="s">
        <v>108</v>
      </c>
      <c r="O871" s="30" t="s">
        <v>89</v>
      </c>
      <c r="Q871" s="192"/>
      <c r="R871" s="161" t="str">
        <f>IFERROR(VLOOKUP(Q871,'PRODUCT TABLE'!$A$2:$B$26,2,FALSE),"-")</f>
        <v>-</v>
      </c>
      <c r="V871" s="161">
        <f t="shared" si="14"/>
        <v>0</v>
      </c>
      <c r="Y871" s="30"/>
      <c r="Z871" s="169">
        <f t="shared" si="2"/>
        <v>0</v>
      </c>
      <c r="AA871" s="167">
        <f t="shared" si="3"/>
        <v>0</v>
      </c>
      <c r="AB871" s="161"/>
      <c r="AC871" s="161">
        <f t="shared" si="4"/>
        <v>0</v>
      </c>
      <c r="AD871" s="161">
        <f t="shared" si="5"/>
        <v>0</v>
      </c>
      <c r="AE871" s="161">
        <f t="shared" si="6"/>
        <v>0</v>
      </c>
      <c r="AF871" s="167">
        <f t="shared" si="7"/>
        <v>0</v>
      </c>
      <c r="AG871" s="167">
        <f t="shared" si="8"/>
        <v>0</v>
      </c>
      <c r="AH871" s="158"/>
      <c r="AI871" s="158"/>
    </row>
    <row r="872" ht="12.75" customHeight="1">
      <c r="B872" s="160" t="str">
        <f>iferror(VLOOKUP((LEFT(A872,6)),CUSTOMER_DETAILS,2,FALSE),"-")</f>
        <v>-</v>
      </c>
      <c r="C872" s="161" t="s">
        <v>89</v>
      </c>
      <c r="D872" s="162"/>
      <c r="E872" s="161" t="s">
        <v>89</v>
      </c>
      <c r="F872" s="30" t="s">
        <v>89</v>
      </c>
      <c r="G872" s="30" t="s">
        <v>89</v>
      </c>
      <c r="H872" s="30" t="s">
        <v>89</v>
      </c>
      <c r="I872" s="48" t="s">
        <v>108</v>
      </c>
      <c r="J872" s="188" t="str">
        <f t="shared" si="15"/>
        <v/>
      </c>
      <c r="L872" s="48" t="s">
        <v>108</v>
      </c>
      <c r="O872" s="30" t="s">
        <v>89</v>
      </c>
      <c r="Q872" s="192"/>
      <c r="R872" s="161" t="str">
        <f>IFERROR(VLOOKUP(Q872,'PRODUCT TABLE'!$A$2:$B$26,2,FALSE),"-")</f>
        <v>-</v>
      </c>
      <c r="V872" s="161">
        <f t="shared" si="14"/>
        <v>0</v>
      </c>
      <c r="Y872" s="30"/>
      <c r="Z872" s="169">
        <f t="shared" si="2"/>
        <v>0</v>
      </c>
      <c r="AA872" s="167">
        <f t="shared" si="3"/>
        <v>0</v>
      </c>
      <c r="AB872" s="161"/>
      <c r="AC872" s="161">
        <f t="shared" si="4"/>
        <v>0</v>
      </c>
      <c r="AD872" s="161">
        <f t="shared" si="5"/>
        <v>0</v>
      </c>
      <c r="AE872" s="161">
        <f t="shared" si="6"/>
        <v>0</v>
      </c>
      <c r="AF872" s="167">
        <f t="shared" si="7"/>
        <v>0</v>
      </c>
      <c r="AG872" s="167">
        <f t="shared" si="8"/>
        <v>0</v>
      </c>
      <c r="AH872" s="158"/>
      <c r="AI872" s="158"/>
    </row>
    <row r="873" ht="12.75" customHeight="1">
      <c r="B873" s="160" t="str">
        <f>iferror(VLOOKUP((LEFT(A873,6)),CUSTOMER_DETAILS,2,FALSE),"-")</f>
        <v>-</v>
      </c>
      <c r="C873" s="161" t="s">
        <v>89</v>
      </c>
      <c r="D873" s="162"/>
      <c r="E873" s="161" t="s">
        <v>89</v>
      </c>
      <c r="F873" s="30" t="s">
        <v>89</v>
      </c>
      <c r="G873" s="30" t="s">
        <v>89</v>
      </c>
      <c r="H873" s="30" t="s">
        <v>89</v>
      </c>
      <c r="I873" s="48" t="s">
        <v>108</v>
      </c>
      <c r="J873" s="188" t="str">
        <f t="shared" si="15"/>
        <v/>
      </c>
      <c r="L873" s="48" t="s">
        <v>108</v>
      </c>
      <c r="O873" s="30" t="s">
        <v>89</v>
      </c>
      <c r="Q873" s="192"/>
      <c r="R873" s="161" t="str">
        <f>IFERROR(VLOOKUP(Q873,'PRODUCT TABLE'!$A$2:$B$26,2,FALSE),"-")</f>
        <v>-</v>
      </c>
      <c r="V873" s="161">
        <f t="shared" si="14"/>
        <v>0</v>
      </c>
      <c r="Y873" s="30"/>
      <c r="Z873" s="169">
        <f t="shared" si="2"/>
        <v>0</v>
      </c>
      <c r="AA873" s="167">
        <f t="shared" si="3"/>
        <v>0</v>
      </c>
      <c r="AB873" s="161"/>
      <c r="AC873" s="161">
        <f t="shared" si="4"/>
        <v>0</v>
      </c>
      <c r="AD873" s="161">
        <f t="shared" si="5"/>
        <v>0</v>
      </c>
      <c r="AE873" s="161">
        <f t="shared" si="6"/>
        <v>0</v>
      </c>
      <c r="AF873" s="167">
        <f t="shared" si="7"/>
        <v>0</v>
      </c>
      <c r="AG873" s="167">
        <f t="shared" si="8"/>
        <v>0</v>
      </c>
      <c r="AH873" s="158"/>
      <c r="AI873" s="158"/>
    </row>
    <row r="874" ht="12.75" customHeight="1">
      <c r="B874" s="160" t="str">
        <f>iferror(VLOOKUP((LEFT(A874,6)),CUSTOMER_DETAILS,2,FALSE),"-")</f>
        <v>-</v>
      </c>
      <c r="C874" s="161" t="s">
        <v>89</v>
      </c>
      <c r="D874" s="162"/>
      <c r="E874" s="161" t="s">
        <v>89</v>
      </c>
      <c r="F874" s="30" t="s">
        <v>89</v>
      </c>
      <c r="G874" s="30" t="s">
        <v>89</v>
      </c>
      <c r="H874" s="30" t="s">
        <v>89</v>
      </c>
      <c r="I874" s="48" t="s">
        <v>108</v>
      </c>
      <c r="J874" s="188" t="str">
        <f t="shared" si="15"/>
        <v/>
      </c>
      <c r="L874" s="48" t="s">
        <v>108</v>
      </c>
      <c r="O874" s="30" t="s">
        <v>89</v>
      </c>
      <c r="Q874" s="192"/>
      <c r="R874" s="161" t="str">
        <f>IFERROR(VLOOKUP(Q874,'PRODUCT TABLE'!$A$2:$B$26,2,FALSE),"-")</f>
        <v>-</v>
      </c>
      <c r="V874" s="161">
        <f t="shared" si="14"/>
        <v>0</v>
      </c>
      <c r="Y874" s="30"/>
      <c r="Z874" s="169">
        <f t="shared" si="2"/>
        <v>0</v>
      </c>
      <c r="AA874" s="167">
        <f t="shared" si="3"/>
        <v>0</v>
      </c>
      <c r="AB874" s="161"/>
      <c r="AC874" s="161">
        <f t="shared" si="4"/>
        <v>0</v>
      </c>
      <c r="AD874" s="161">
        <f t="shared" si="5"/>
        <v>0</v>
      </c>
      <c r="AE874" s="161">
        <f t="shared" si="6"/>
        <v>0</v>
      </c>
      <c r="AF874" s="167">
        <f t="shared" si="7"/>
        <v>0</v>
      </c>
      <c r="AG874" s="167">
        <f t="shared" si="8"/>
        <v>0</v>
      </c>
      <c r="AH874" s="158"/>
      <c r="AI874" s="158"/>
    </row>
    <row r="875" ht="12.75" customHeight="1">
      <c r="B875" s="160" t="str">
        <f>iferror(VLOOKUP((LEFT(A875,6)),CUSTOMER_DETAILS,2,FALSE),"-")</f>
        <v>-</v>
      </c>
      <c r="C875" s="161" t="s">
        <v>89</v>
      </c>
      <c r="D875" s="162"/>
      <c r="E875" s="161" t="s">
        <v>89</v>
      </c>
      <c r="F875" s="30" t="s">
        <v>89</v>
      </c>
      <c r="G875" s="30" t="s">
        <v>89</v>
      </c>
      <c r="H875" s="30" t="s">
        <v>89</v>
      </c>
      <c r="I875" s="48" t="s">
        <v>108</v>
      </c>
      <c r="J875" s="188" t="str">
        <f t="shared" si="15"/>
        <v/>
      </c>
      <c r="L875" s="48" t="s">
        <v>108</v>
      </c>
      <c r="O875" s="30" t="s">
        <v>89</v>
      </c>
      <c r="Q875" s="192"/>
      <c r="R875" s="161" t="str">
        <f>IFERROR(VLOOKUP(Q875,'PRODUCT TABLE'!$A$2:$B$26,2,FALSE),"-")</f>
        <v>-</v>
      </c>
      <c r="V875" s="161">
        <f t="shared" si="14"/>
        <v>0</v>
      </c>
      <c r="Y875" s="30"/>
      <c r="Z875" s="169">
        <f t="shared" si="2"/>
        <v>0</v>
      </c>
      <c r="AA875" s="167">
        <f t="shared" si="3"/>
        <v>0</v>
      </c>
      <c r="AB875" s="161"/>
      <c r="AC875" s="161">
        <f t="shared" si="4"/>
        <v>0</v>
      </c>
      <c r="AD875" s="161">
        <f t="shared" si="5"/>
        <v>0</v>
      </c>
      <c r="AE875" s="161">
        <f t="shared" si="6"/>
        <v>0</v>
      </c>
      <c r="AF875" s="167">
        <f t="shared" si="7"/>
        <v>0</v>
      </c>
      <c r="AG875" s="167">
        <f t="shared" si="8"/>
        <v>0</v>
      </c>
      <c r="AH875" s="158"/>
      <c r="AI875" s="158"/>
    </row>
    <row r="876" ht="12.75" customHeight="1">
      <c r="B876" s="160" t="str">
        <f>iferror(VLOOKUP((LEFT(A876,6)),CUSTOMER_DETAILS,2,FALSE),"-")</f>
        <v>-</v>
      </c>
      <c r="C876" s="161" t="s">
        <v>89</v>
      </c>
      <c r="D876" s="162"/>
      <c r="E876" s="161" t="s">
        <v>89</v>
      </c>
      <c r="F876" s="30" t="s">
        <v>89</v>
      </c>
      <c r="G876" s="30" t="s">
        <v>89</v>
      </c>
      <c r="H876" s="30" t="s">
        <v>89</v>
      </c>
      <c r="I876" s="48" t="s">
        <v>108</v>
      </c>
      <c r="J876" s="188" t="str">
        <f t="shared" si="15"/>
        <v/>
      </c>
      <c r="L876" s="48" t="s">
        <v>108</v>
      </c>
      <c r="O876" s="30" t="s">
        <v>89</v>
      </c>
      <c r="Q876" s="192"/>
      <c r="R876" s="161" t="str">
        <f>IFERROR(VLOOKUP(Q876,'PRODUCT TABLE'!$A$2:$B$26,2,FALSE),"-")</f>
        <v>-</v>
      </c>
      <c r="V876" s="161">
        <f t="shared" si="14"/>
        <v>0</v>
      </c>
      <c r="Y876" s="30"/>
      <c r="Z876" s="169">
        <f t="shared" si="2"/>
        <v>0</v>
      </c>
      <c r="AA876" s="167">
        <f t="shared" si="3"/>
        <v>0</v>
      </c>
      <c r="AB876" s="161"/>
      <c r="AC876" s="161">
        <f t="shared" si="4"/>
        <v>0</v>
      </c>
      <c r="AD876" s="161">
        <f t="shared" si="5"/>
        <v>0</v>
      </c>
      <c r="AE876" s="161">
        <f t="shared" si="6"/>
        <v>0</v>
      </c>
      <c r="AF876" s="167">
        <f t="shared" si="7"/>
        <v>0</v>
      </c>
      <c r="AG876" s="167">
        <f t="shared" si="8"/>
        <v>0</v>
      </c>
      <c r="AH876" s="158"/>
      <c r="AI876" s="158"/>
    </row>
    <row r="877" ht="12.75" customHeight="1">
      <c r="B877" s="160" t="str">
        <f>iferror(VLOOKUP((LEFT(A877,6)),CUSTOMER_DETAILS,2,FALSE),"-")</f>
        <v>-</v>
      </c>
      <c r="C877" s="161" t="s">
        <v>89</v>
      </c>
      <c r="D877" s="162"/>
      <c r="E877" s="161" t="s">
        <v>89</v>
      </c>
      <c r="F877" s="30" t="s">
        <v>89</v>
      </c>
      <c r="G877" s="30" t="s">
        <v>89</v>
      </c>
      <c r="H877" s="30" t="s">
        <v>89</v>
      </c>
      <c r="I877" s="48" t="s">
        <v>108</v>
      </c>
      <c r="J877" s="188" t="str">
        <f t="shared" si="15"/>
        <v/>
      </c>
      <c r="L877" s="48" t="s">
        <v>108</v>
      </c>
      <c r="O877" s="30" t="s">
        <v>89</v>
      </c>
      <c r="Q877" s="192"/>
      <c r="R877" s="161" t="str">
        <f>IFERROR(VLOOKUP(Q877,'PRODUCT TABLE'!$A$2:$B$26,2,FALSE),"-")</f>
        <v>-</v>
      </c>
      <c r="V877" s="161">
        <f t="shared" si="14"/>
        <v>0</v>
      </c>
      <c r="Y877" s="30"/>
      <c r="Z877" s="169">
        <f t="shared" si="2"/>
        <v>0</v>
      </c>
      <c r="AA877" s="167">
        <f t="shared" si="3"/>
        <v>0</v>
      </c>
      <c r="AB877" s="161"/>
      <c r="AC877" s="161">
        <f t="shared" si="4"/>
        <v>0</v>
      </c>
      <c r="AD877" s="161">
        <f t="shared" si="5"/>
        <v>0</v>
      </c>
      <c r="AE877" s="161">
        <f t="shared" si="6"/>
        <v>0</v>
      </c>
      <c r="AF877" s="167">
        <f t="shared" si="7"/>
        <v>0</v>
      </c>
      <c r="AG877" s="167">
        <f t="shared" si="8"/>
        <v>0</v>
      </c>
      <c r="AH877" s="158"/>
      <c r="AI877" s="158"/>
    </row>
    <row r="878" ht="12.75" customHeight="1">
      <c r="B878" s="160" t="str">
        <f>iferror(VLOOKUP((LEFT(A878,6)),CUSTOMER_DETAILS,2,FALSE),"-")</f>
        <v>-</v>
      </c>
      <c r="C878" s="161" t="s">
        <v>89</v>
      </c>
      <c r="D878" s="162"/>
      <c r="E878" s="161" t="s">
        <v>89</v>
      </c>
      <c r="F878" s="30" t="s">
        <v>89</v>
      </c>
      <c r="G878" s="30" t="s">
        <v>89</v>
      </c>
      <c r="H878" s="30" t="s">
        <v>89</v>
      </c>
      <c r="I878" s="48" t="s">
        <v>108</v>
      </c>
      <c r="J878" s="188" t="str">
        <f t="shared" si="15"/>
        <v/>
      </c>
      <c r="L878" s="48" t="s">
        <v>108</v>
      </c>
      <c r="O878" s="30" t="s">
        <v>89</v>
      </c>
      <c r="Q878" s="192"/>
      <c r="R878" s="161" t="str">
        <f>IFERROR(VLOOKUP(Q878,'PRODUCT TABLE'!$A$2:$B$26,2,FALSE),"-")</f>
        <v>-</v>
      </c>
      <c r="V878" s="161">
        <f t="shared" si="14"/>
        <v>0</v>
      </c>
      <c r="Y878" s="30"/>
      <c r="Z878" s="169">
        <f t="shared" si="2"/>
        <v>0</v>
      </c>
      <c r="AA878" s="167">
        <f t="shared" si="3"/>
        <v>0</v>
      </c>
      <c r="AB878" s="161"/>
      <c r="AC878" s="161">
        <f t="shared" si="4"/>
        <v>0</v>
      </c>
      <c r="AD878" s="161">
        <f t="shared" si="5"/>
        <v>0</v>
      </c>
      <c r="AE878" s="161">
        <f t="shared" si="6"/>
        <v>0</v>
      </c>
      <c r="AF878" s="167">
        <f t="shared" si="7"/>
        <v>0</v>
      </c>
      <c r="AG878" s="167">
        <f t="shared" si="8"/>
        <v>0</v>
      </c>
      <c r="AH878" s="158"/>
      <c r="AI878" s="158"/>
    </row>
    <row r="879" ht="12.75" customHeight="1">
      <c r="B879" s="160" t="str">
        <f>iferror(VLOOKUP((LEFT(A879,6)),CUSTOMER_DETAILS,2,FALSE),"-")</f>
        <v>-</v>
      </c>
      <c r="C879" s="161" t="s">
        <v>89</v>
      </c>
      <c r="D879" s="162"/>
      <c r="E879" s="161" t="s">
        <v>89</v>
      </c>
      <c r="F879" s="30" t="s">
        <v>89</v>
      </c>
      <c r="G879" s="30" t="s">
        <v>89</v>
      </c>
      <c r="H879" s="30" t="s">
        <v>89</v>
      </c>
      <c r="I879" s="48" t="s">
        <v>108</v>
      </c>
      <c r="J879" s="188" t="str">
        <f t="shared" si="15"/>
        <v/>
      </c>
      <c r="L879" s="48" t="s">
        <v>108</v>
      </c>
      <c r="O879" s="30" t="s">
        <v>89</v>
      </c>
      <c r="Q879" s="192"/>
      <c r="R879" s="161" t="str">
        <f>IFERROR(VLOOKUP(Q879,'PRODUCT TABLE'!$A$2:$B$26,2,FALSE),"-")</f>
        <v>-</v>
      </c>
      <c r="V879" s="161">
        <f t="shared" si="14"/>
        <v>0</v>
      </c>
      <c r="Y879" s="30"/>
      <c r="Z879" s="169">
        <f t="shared" si="2"/>
        <v>0</v>
      </c>
      <c r="AA879" s="167">
        <f t="shared" si="3"/>
        <v>0</v>
      </c>
      <c r="AB879" s="161"/>
      <c r="AC879" s="161">
        <f t="shared" si="4"/>
        <v>0</v>
      </c>
      <c r="AD879" s="161">
        <f t="shared" si="5"/>
        <v>0</v>
      </c>
      <c r="AE879" s="161">
        <f t="shared" si="6"/>
        <v>0</v>
      </c>
      <c r="AF879" s="167">
        <f t="shared" si="7"/>
        <v>0</v>
      </c>
      <c r="AG879" s="167">
        <f t="shared" si="8"/>
        <v>0</v>
      </c>
      <c r="AH879" s="158"/>
      <c r="AI879" s="158"/>
    </row>
    <row r="880" ht="12.75" customHeight="1">
      <c r="B880" s="160" t="str">
        <f>iferror(VLOOKUP((LEFT(A880,6)),CUSTOMER_DETAILS,2,FALSE),"-")</f>
        <v>-</v>
      </c>
      <c r="C880" s="161" t="s">
        <v>89</v>
      </c>
      <c r="D880" s="162"/>
      <c r="E880" s="161" t="s">
        <v>89</v>
      </c>
      <c r="F880" s="30" t="s">
        <v>89</v>
      </c>
      <c r="G880" s="30" t="s">
        <v>89</v>
      </c>
      <c r="H880" s="30" t="s">
        <v>89</v>
      </c>
      <c r="I880" s="48" t="s">
        <v>108</v>
      </c>
      <c r="J880" s="188" t="str">
        <f t="shared" si="15"/>
        <v/>
      </c>
      <c r="L880" s="48" t="s">
        <v>108</v>
      </c>
      <c r="O880" s="30" t="s">
        <v>89</v>
      </c>
      <c r="Q880" s="192"/>
      <c r="R880" s="161" t="str">
        <f>IFERROR(VLOOKUP(Q880,'PRODUCT TABLE'!$A$2:$B$26,2,FALSE),"-")</f>
        <v>-</v>
      </c>
      <c r="V880" s="161">
        <f t="shared" si="14"/>
        <v>0</v>
      </c>
      <c r="Y880" s="30"/>
      <c r="Z880" s="169">
        <f t="shared" si="2"/>
        <v>0</v>
      </c>
      <c r="AA880" s="167">
        <f t="shared" si="3"/>
        <v>0</v>
      </c>
      <c r="AB880" s="161"/>
      <c r="AC880" s="161">
        <f t="shared" si="4"/>
        <v>0</v>
      </c>
      <c r="AD880" s="161">
        <f t="shared" si="5"/>
        <v>0</v>
      </c>
      <c r="AE880" s="161">
        <f t="shared" si="6"/>
        <v>0</v>
      </c>
      <c r="AF880" s="167">
        <f t="shared" si="7"/>
        <v>0</v>
      </c>
      <c r="AG880" s="167">
        <f t="shared" si="8"/>
        <v>0</v>
      </c>
      <c r="AH880" s="158"/>
      <c r="AI880" s="158"/>
    </row>
    <row r="881" ht="12.75" customHeight="1">
      <c r="B881" s="160" t="str">
        <f>iferror(VLOOKUP((LEFT(A881,6)),CUSTOMER_DETAILS,2,FALSE),"-")</f>
        <v>-</v>
      </c>
      <c r="C881" s="161" t="s">
        <v>89</v>
      </c>
      <c r="D881" s="162"/>
      <c r="E881" s="161" t="s">
        <v>89</v>
      </c>
      <c r="F881" s="30" t="s">
        <v>89</v>
      </c>
      <c r="G881" s="30" t="s">
        <v>89</v>
      </c>
      <c r="H881" s="30" t="s">
        <v>89</v>
      </c>
      <c r="I881" s="48" t="s">
        <v>108</v>
      </c>
      <c r="J881" s="188" t="str">
        <f t="shared" si="15"/>
        <v/>
      </c>
      <c r="L881" s="48" t="s">
        <v>108</v>
      </c>
      <c r="O881" s="30" t="s">
        <v>89</v>
      </c>
      <c r="Q881" s="192"/>
      <c r="R881" s="161" t="str">
        <f>IFERROR(VLOOKUP(Q881,'PRODUCT TABLE'!$A$2:$B$26,2,FALSE),"-")</f>
        <v>-</v>
      </c>
      <c r="V881" s="161">
        <f t="shared" si="14"/>
        <v>0</v>
      </c>
      <c r="Y881" s="30"/>
      <c r="Z881" s="169">
        <f t="shared" si="2"/>
        <v>0</v>
      </c>
      <c r="AA881" s="167">
        <f t="shared" si="3"/>
        <v>0</v>
      </c>
      <c r="AB881" s="161"/>
      <c r="AC881" s="161">
        <f t="shared" si="4"/>
        <v>0</v>
      </c>
      <c r="AD881" s="161">
        <f t="shared" si="5"/>
        <v>0</v>
      </c>
      <c r="AE881" s="161">
        <f t="shared" si="6"/>
        <v>0</v>
      </c>
      <c r="AF881" s="167">
        <f t="shared" si="7"/>
        <v>0</v>
      </c>
      <c r="AG881" s="167">
        <f t="shared" si="8"/>
        <v>0</v>
      </c>
      <c r="AH881" s="158"/>
      <c r="AI881" s="158"/>
    </row>
    <row r="882" ht="12.75" customHeight="1">
      <c r="B882" s="160" t="str">
        <f>iferror(VLOOKUP((LEFT(A882,6)),CUSTOMER_DETAILS,2,FALSE),"-")</f>
        <v>-</v>
      </c>
      <c r="C882" s="161" t="s">
        <v>89</v>
      </c>
      <c r="D882" s="162"/>
      <c r="E882" s="161" t="s">
        <v>89</v>
      </c>
      <c r="F882" s="30" t="s">
        <v>89</v>
      </c>
      <c r="G882" s="30" t="s">
        <v>89</v>
      </c>
      <c r="H882" s="30" t="s">
        <v>89</v>
      </c>
      <c r="I882" s="48" t="s">
        <v>108</v>
      </c>
      <c r="J882" s="188" t="str">
        <f t="shared" si="15"/>
        <v/>
      </c>
      <c r="L882" s="48" t="s">
        <v>108</v>
      </c>
      <c r="O882" s="30" t="s">
        <v>89</v>
      </c>
      <c r="Q882" s="192"/>
      <c r="R882" s="161" t="str">
        <f>IFERROR(VLOOKUP(Q882,'PRODUCT TABLE'!$A$2:$B$26,2,FALSE),"-")</f>
        <v>-</v>
      </c>
      <c r="V882" s="161">
        <f t="shared" si="14"/>
        <v>0</v>
      </c>
      <c r="Y882" s="30"/>
      <c r="Z882" s="169">
        <f t="shared" si="2"/>
        <v>0</v>
      </c>
      <c r="AA882" s="167">
        <f t="shared" si="3"/>
        <v>0</v>
      </c>
      <c r="AB882" s="161"/>
      <c r="AC882" s="161">
        <f t="shared" si="4"/>
        <v>0</v>
      </c>
      <c r="AD882" s="161">
        <f t="shared" si="5"/>
        <v>0</v>
      </c>
      <c r="AE882" s="161">
        <f t="shared" si="6"/>
        <v>0</v>
      </c>
      <c r="AF882" s="167">
        <f t="shared" si="7"/>
        <v>0</v>
      </c>
      <c r="AG882" s="167">
        <f t="shared" si="8"/>
        <v>0</v>
      </c>
      <c r="AH882" s="158"/>
      <c r="AI882" s="158"/>
    </row>
    <row r="883" ht="12.75" customHeight="1">
      <c r="B883" s="160" t="str">
        <f>iferror(VLOOKUP((LEFT(A883,6)),CUSTOMER_DETAILS,2,FALSE),"-")</f>
        <v>-</v>
      </c>
      <c r="C883" s="161" t="s">
        <v>89</v>
      </c>
      <c r="D883" s="162"/>
      <c r="E883" s="161" t="s">
        <v>89</v>
      </c>
      <c r="F883" s="30" t="s">
        <v>89</v>
      </c>
      <c r="G883" s="30" t="s">
        <v>89</v>
      </c>
      <c r="H883" s="30" t="s">
        <v>89</v>
      </c>
      <c r="I883" s="48" t="s">
        <v>108</v>
      </c>
      <c r="J883" s="188" t="str">
        <f t="shared" si="15"/>
        <v/>
      </c>
      <c r="L883" s="48" t="s">
        <v>108</v>
      </c>
      <c r="O883" s="30" t="s">
        <v>89</v>
      </c>
      <c r="Q883" s="192"/>
      <c r="R883" s="161" t="str">
        <f>IFERROR(VLOOKUP(Q883,'PRODUCT TABLE'!$A$2:$B$26,2,FALSE),"-")</f>
        <v>-</v>
      </c>
      <c r="V883" s="161">
        <f t="shared" si="14"/>
        <v>0</v>
      </c>
      <c r="Y883" s="30"/>
      <c r="Z883" s="169">
        <f t="shared" si="2"/>
        <v>0</v>
      </c>
      <c r="AA883" s="167">
        <f t="shared" si="3"/>
        <v>0</v>
      </c>
      <c r="AB883" s="161"/>
      <c r="AC883" s="161">
        <f t="shared" si="4"/>
        <v>0</v>
      </c>
      <c r="AD883" s="161">
        <f t="shared" si="5"/>
        <v>0</v>
      </c>
      <c r="AE883" s="161">
        <f t="shared" si="6"/>
        <v>0</v>
      </c>
      <c r="AF883" s="167">
        <f t="shared" si="7"/>
        <v>0</v>
      </c>
      <c r="AG883" s="167">
        <f t="shared" si="8"/>
        <v>0</v>
      </c>
      <c r="AH883" s="158"/>
      <c r="AI883" s="158"/>
    </row>
    <row r="884" ht="12.75" customHeight="1">
      <c r="B884" s="160" t="str">
        <f>iferror(VLOOKUP((LEFT(A884,6)),CUSTOMER_DETAILS,2,FALSE),"-")</f>
        <v>-</v>
      </c>
      <c r="C884" s="161" t="s">
        <v>89</v>
      </c>
      <c r="D884" s="162"/>
      <c r="E884" s="161" t="s">
        <v>89</v>
      </c>
      <c r="F884" s="30" t="s">
        <v>89</v>
      </c>
      <c r="G884" s="30" t="s">
        <v>89</v>
      </c>
      <c r="H884" s="30" t="s">
        <v>89</v>
      </c>
      <c r="I884" s="48" t="s">
        <v>108</v>
      </c>
      <c r="J884" s="188" t="str">
        <f t="shared" si="15"/>
        <v/>
      </c>
      <c r="L884" s="48" t="s">
        <v>108</v>
      </c>
      <c r="O884" s="30" t="s">
        <v>89</v>
      </c>
      <c r="Q884" s="192"/>
      <c r="R884" s="161" t="str">
        <f>IFERROR(VLOOKUP(Q884,'PRODUCT TABLE'!$A$2:$B$26,2,FALSE),"-")</f>
        <v>-</v>
      </c>
      <c r="V884" s="161">
        <f t="shared" si="14"/>
        <v>0</v>
      </c>
      <c r="Y884" s="30"/>
      <c r="Z884" s="169">
        <f t="shared" si="2"/>
        <v>0</v>
      </c>
      <c r="AA884" s="167">
        <f t="shared" si="3"/>
        <v>0</v>
      </c>
      <c r="AB884" s="161"/>
      <c r="AC884" s="161">
        <f t="shared" si="4"/>
        <v>0</v>
      </c>
      <c r="AD884" s="161">
        <f t="shared" si="5"/>
        <v>0</v>
      </c>
      <c r="AE884" s="161">
        <f t="shared" si="6"/>
        <v>0</v>
      </c>
      <c r="AF884" s="167">
        <f t="shared" si="7"/>
        <v>0</v>
      </c>
      <c r="AG884" s="167">
        <f t="shared" si="8"/>
        <v>0</v>
      </c>
      <c r="AH884" s="158"/>
      <c r="AI884" s="158"/>
    </row>
    <row r="885" ht="12.75" customHeight="1">
      <c r="B885" s="160" t="str">
        <f>iferror(VLOOKUP((LEFT(A885,6)),CUSTOMER_DETAILS,2,FALSE),"-")</f>
        <v>-</v>
      </c>
      <c r="C885" s="161" t="s">
        <v>89</v>
      </c>
      <c r="D885" s="162"/>
      <c r="E885" s="161" t="s">
        <v>89</v>
      </c>
      <c r="F885" s="30" t="s">
        <v>89</v>
      </c>
      <c r="G885" s="30" t="s">
        <v>89</v>
      </c>
      <c r="H885" s="30" t="s">
        <v>89</v>
      </c>
      <c r="I885" s="48" t="s">
        <v>108</v>
      </c>
      <c r="J885" s="188" t="str">
        <f t="shared" si="15"/>
        <v/>
      </c>
      <c r="L885" s="48" t="s">
        <v>108</v>
      </c>
      <c r="O885" s="30" t="s">
        <v>89</v>
      </c>
      <c r="Q885" s="192"/>
      <c r="R885" s="161" t="str">
        <f>IFERROR(VLOOKUP(Q885,'PRODUCT TABLE'!$A$2:$B$26,2,FALSE),"-")</f>
        <v>-</v>
      </c>
      <c r="V885" s="161">
        <f t="shared" si="14"/>
        <v>0</v>
      </c>
      <c r="Y885" s="30"/>
      <c r="Z885" s="169">
        <f t="shared" si="2"/>
        <v>0</v>
      </c>
      <c r="AA885" s="167">
        <f t="shared" si="3"/>
        <v>0</v>
      </c>
      <c r="AB885" s="161"/>
      <c r="AC885" s="161">
        <f t="shared" si="4"/>
        <v>0</v>
      </c>
      <c r="AD885" s="161">
        <f t="shared" si="5"/>
        <v>0</v>
      </c>
      <c r="AE885" s="161">
        <f t="shared" si="6"/>
        <v>0</v>
      </c>
      <c r="AF885" s="167">
        <f t="shared" si="7"/>
        <v>0</v>
      </c>
      <c r="AG885" s="167">
        <f t="shared" si="8"/>
        <v>0</v>
      </c>
      <c r="AH885" s="158"/>
      <c r="AI885" s="158"/>
    </row>
    <row r="886" ht="12.75" customHeight="1">
      <c r="B886" s="160" t="str">
        <f>iferror(VLOOKUP((LEFT(A886,6)),CUSTOMER_DETAILS,2,FALSE),"-")</f>
        <v>-</v>
      </c>
      <c r="C886" s="161" t="s">
        <v>89</v>
      </c>
      <c r="D886" s="162"/>
      <c r="E886" s="161" t="s">
        <v>89</v>
      </c>
      <c r="F886" s="30" t="s">
        <v>89</v>
      </c>
      <c r="G886" s="30" t="s">
        <v>89</v>
      </c>
      <c r="H886" s="30" t="s">
        <v>89</v>
      </c>
      <c r="I886" s="48" t="s">
        <v>108</v>
      </c>
      <c r="J886" s="188" t="str">
        <f t="shared" si="15"/>
        <v/>
      </c>
      <c r="L886" s="48" t="s">
        <v>108</v>
      </c>
      <c r="O886" s="30" t="s">
        <v>89</v>
      </c>
      <c r="Q886" s="192"/>
      <c r="R886" s="161" t="str">
        <f>IFERROR(VLOOKUP(Q886,'PRODUCT TABLE'!$A$2:$B$26,2,FALSE),"-")</f>
        <v>-</v>
      </c>
      <c r="V886" s="161">
        <f t="shared" si="14"/>
        <v>0</v>
      </c>
      <c r="Y886" s="30"/>
      <c r="Z886" s="169">
        <f t="shared" si="2"/>
        <v>0</v>
      </c>
      <c r="AA886" s="167">
        <f t="shared" si="3"/>
        <v>0</v>
      </c>
      <c r="AB886" s="161"/>
      <c r="AC886" s="161">
        <f t="shared" si="4"/>
        <v>0</v>
      </c>
      <c r="AD886" s="161">
        <f t="shared" si="5"/>
        <v>0</v>
      </c>
      <c r="AE886" s="161">
        <f t="shared" si="6"/>
        <v>0</v>
      </c>
      <c r="AF886" s="167">
        <f t="shared" si="7"/>
        <v>0</v>
      </c>
      <c r="AG886" s="167">
        <f t="shared" si="8"/>
        <v>0</v>
      </c>
      <c r="AH886" s="158"/>
      <c r="AI886" s="158"/>
    </row>
    <row r="887" ht="12.75" customHeight="1">
      <c r="B887" s="160" t="str">
        <f>iferror(VLOOKUP((LEFT(A887,6)),CUSTOMER_DETAILS,2,FALSE),"-")</f>
        <v>-</v>
      </c>
      <c r="C887" s="161" t="s">
        <v>89</v>
      </c>
      <c r="D887" s="162"/>
      <c r="E887" s="161" t="s">
        <v>89</v>
      </c>
      <c r="F887" s="30" t="s">
        <v>89</v>
      </c>
      <c r="G887" s="30" t="s">
        <v>89</v>
      </c>
      <c r="H887" s="30" t="s">
        <v>89</v>
      </c>
      <c r="I887" s="48" t="s">
        <v>108</v>
      </c>
      <c r="J887" s="188" t="str">
        <f t="shared" si="15"/>
        <v/>
      </c>
      <c r="L887" s="48" t="s">
        <v>108</v>
      </c>
      <c r="O887" s="30" t="s">
        <v>89</v>
      </c>
      <c r="Q887" s="192"/>
      <c r="R887" s="161" t="str">
        <f>IFERROR(VLOOKUP(Q887,'PRODUCT TABLE'!$A$2:$B$26,2,FALSE),"-")</f>
        <v>-</v>
      </c>
      <c r="V887" s="161">
        <f t="shared" si="14"/>
        <v>0</v>
      </c>
      <c r="Y887" s="30"/>
      <c r="Z887" s="169">
        <f t="shared" si="2"/>
        <v>0</v>
      </c>
      <c r="AA887" s="167">
        <f t="shared" si="3"/>
        <v>0</v>
      </c>
      <c r="AB887" s="161"/>
      <c r="AC887" s="161">
        <f t="shared" si="4"/>
        <v>0</v>
      </c>
      <c r="AD887" s="161">
        <f t="shared" si="5"/>
        <v>0</v>
      </c>
      <c r="AE887" s="161">
        <f t="shared" si="6"/>
        <v>0</v>
      </c>
      <c r="AF887" s="167">
        <f t="shared" si="7"/>
        <v>0</v>
      </c>
      <c r="AG887" s="167">
        <f t="shared" si="8"/>
        <v>0</v>
      </c>
      <c r="AH887" s="158"/>
      <c r="AI887" s="158"/>
    </row>
    <row r="888" ht="12.75" customHeight="1">
      <c r="B888" s="160" t="str">
        <f>iferror(VLOOKUP((LEFT(A888,6)),CUSTOMER_DETAILS,2,FALSE),"-")</f>
        <v>-</v>
      </c>
      <c r="C888" s="161" t="s">
        <v>89</v>
      </c>
      <c r="D888" s="162"/>
      <c r="E888" s="161" t="s">
        <v>89</v>
      </c>
      <c r="F888" s="30" t="s">
        <v>89</v>
      </c>
      <c r="G888" s="30" t="s">
        <v>89</v>
      </c>
      <c r="H888" s="30" t="s">
        <v>89</v>
      </c>
      <c r="I888" s="48" t="s">
        <v>108</v>
      </c>
      <c r="J888" s="188" t="str">
        <f t="shared" si="15"/>
        <v/>
      </c>
      <c r="L888" s="48" t="s">
        <v>108</v>
      </c>
      <c r="O888" s="30" t="s">
        <v>89</v>
      </c>
      <c r="Q888" s="192"/>
      <c r="R888" s="161" t="str">
        <f>IFERROR(VLOOKUP(Q888,'PRODUCT TABLE'!$A$2:$B$26,2,FALSE),"-")</f>
        <v>-</v>
      </c>
      <c r="V888" s="161">
        <f t="shared" si="14"/>
        <v>0</v>
      </c>
      <c r="Y888" s="30"/>
      <c r="Z888" s="169">
        <f t="shared" si="2"/>
        <v>0</v>
      </c>
      <c r="AA888" s="167">
        <f t="shared" si="3"/>
        <v>0</v>
      </c>
      <c r="AB888" s="161"/>
      <c r="AC888" s="161">
        <f t="shared" si="4"/>
        <v>0</v>
      </c>
      <c r="AD888" s="161">
        <f t="shared" si="5"/>
        <v>0</v>
      </c>
      <c r="AE888" s="161">
        <f t="shared" si="6"/>
        <v>0</v>
      </c>
      <c r="AF888" s="167">
        <f t="shared" si="7"/>
        <v>0</v>
      </c>
      <c r="AG888" s="167">
        <f t="shared" si="8"/>
        <v>0</v>
      </c>
      <c r="AH888" s="158"/>
      <c r="AI888" s="158"/>
    </row>
    <row r="889" ht="12.75" customHeight="1">
      <c r="B889" s="160" t="str">
        <f>iferror(VLOOKUP((LEFT(A889,6)),CUSTOMER_DETAILS,2,FALSE),"-")</f>
        <v>-</v>
      </c>
      <c r="C889" s="161" t="s">
        <v>89</v>
      </c>
      <c r="D889" s="162"/>
      <c r="E889" s="161" t="s">
        <v>89</v>
      </c>
      <c r="F889" s="30" t="s">
        <v>89</v>
      </c>
      <c r="G889" s="30" t="s">
        <v>89</v>
      </c>
      <c r="H889" s="30" t="s">
        <v>89</v>
      </c>
      <c r="I889" s="48" t="s">
        <v>108</v>
      </c>
      <c r="J889" s="188" t="str">
        <f t="shared" si="15"/>
        <v/>
      </c>
      <c r="L889" s="48" t="s">
        <v>108</v>
      </c>
      <c r="O889" s="30" t="s">
        <v>89</v>
      </c>
      <c r="Q889" s="192"/>
      <c r="R889" s="161" t="str">
        <f>IFERROR(VLOOKUP(Q889,'PRODUCT TABLE'!$A$2:$B$26,2,FALSE),"-")</f>
        <v>-</v>
      </c>
      <c r="V889" s="161">
        <f t="shared" si="14"/>
        <v>0</v>
      </c>
      <c r="Y889" s="30"/>
      <c r="Z889" s="169">
        <f t="shared" si="2"/>
        <v>0</v>
      </c>
      <c r="AA889" s="167">
        <f t="shared" si="3"/>
        <v>0</v>
      </c>
      <c r="AB889" s="161"/>
      <c r="AC889" s="161">
        <f t="shared" si="4"/>
        <v>0</v>
      </c>
      <c r="AD889" s="161">
        <f t="shared" si="5"/>
        <v>0</v>
      </c>
      <c r="AE889" s="161">
        <f t="shared" si="6"/>
        <v>0</v>
      </c>
      <c r="AF889" s="167">
        <f t="shared" si="7"/>
        <v>0</v>
      </c>
      <c r="AG889" s="167">
        <f t="shared" si="8"/>
        <v>0</v>
      </c>
      <c r="AH889" s="158"/>
      <c r="AI889" s="158"/>
    </row>
    <row r="890" ht="12.75" customHeight="1">
      <c r="B890" s="160" t="str">
        <f>iferror(VLOOKUP((LEFT(A890,6)),CUSTOMER_DETAILS,2,FALSE),"-")</f>
        <v>-</v>
      </c>
      <c r="C890" s="161" t="s">
        <v>89</v>
      </c>
      <c r="D890" s="162"/>
      <c r="E890" s="161" t="s">
        <v>89</v>
      </c>
      <c r="F890" s="30" t="s">
        <v>89</v>
      </c>
      <c r="G890" s="30" t="s">
        <v>89</v>
      </c>
      <c r="H890" s="30" t="s">
        <v>89</v>
      </c>
      <c r="I890" s="48" t="s">
        <v>108</v>
      </c>
      <c r="J890" s="188" t="str">
        <f t="shared" si="15"/>
        <v/>
      </c>
      <c r="L890" s="48" t="s">
        <v>108</v>
      </c>
      <c r="O890" s="30" t="s">
        <v>89</v>
      </c>
      <c r="Q890" s="192"/>
      <c r="R890" s="161" t="str">
        <f>IFERROR(VLOOKUP(Q890,'PRODUCT TABLE'!$A$2:$B$26,2,FALSE),"-")</f>
        <v>-</v>
      </c>
      <c r="V890" s="161">
        <f t="shared" si="14"/>
        <v>0</v>
      </c>
      <c r="Y890" s="30"/>
      <c r="Z890" s="169">
        <f t="shared" si="2"/>
        <v>0</v>
      </c>
      <c r="AA890" s="167">
        <f t="shared" si="3"/>
        <v>0</v>
      </c>
      <c r="AB890" s="161"/>
      <c r="AC890" s="161">
        <f t="shared" si="4"/>
        <v>0</v>
      </c>
      <c r="AD890" s="161">
        <f t="shared" si="5"/>
        <v>0</v>
      </c>
      <c r="AE890" s="161">
        <f t="shared" si="6"/>
        <v>0</v>
      </c>
      <c r="AF890" s="167">
        <f t="shared" si="7"/>
        <v>0</v>
      </c>
      <c r="AG890" s="167">
        <f t="shared" si="8"/>
        <v>0</v>
      </c>
      <c r="AH890" s="158"/>
      <c r="AI890" s="158"/>
    </row>
    <row r="891" ht="12.75" customHeight="1">
      <c r="B891" s="160" t="str">
        <f>iferror(VLOOKUP((LEFT(A891,6)),CUSTOMER_DETAILS,2,FALSE),"-")</f>
        <v>-</v>
      </c>
      <c r="C891" s="161" t="s">
        <v>89</v>
      </c>
      <c r="D891" s="162"/>
      <c r="E891" s="161" t="s">
        <v>89</v>
      </c>
      <c r="F891" s="30" t="s">
        <v>89</v>
      </c>
      <c r="G891" s="30" t="s">
        <v>89</v>
      </c>
      <c r="H891" s="30" t="s">
        <v>89</v>
      </c>
      <c r="I891" s="48" t="s">
        <v>108</v>
      </c>
      <c r="J891" s="188" t="str">
        <f t="shared" si="15"/>
        <v/>
      </c>
      <c r="L891" s="48" t="s">
        <v>108</v>
      </c>
      <c r="O891" s="30" t="s">
        <v>89</v>
      </c>
      <c r="Q891" s="192"/>
      <c r="R891" s="161" t="str">
        <f>IFERROR(VLOOKUP(Q891,'PRODUCT TABLE'!$A$2:$B$26,2,FALSE),"-")</f>
        <v>-</v>
      </c>
      <c r="V891" s="161">
        <f t="shared" si="14"/>
        <v>0</v>
      </c>
      <c r="Y891" s="30"/>
      <c r="Z891" s="169">
        <f t="shared" si="2"/>
        <v>0</v>
      </c>
      <c r="AA891" s="167">
        <f t="shared" si="3"/>
        <v>0</v>
      </c>
      <c r="AB891" s="161"/>
      <c r="AC891" s="161">
        <f t="shared" si="4"/>
        <v>0</v>
      </c>
      <c r="AD891" s="161">
        <f t="shared" si="5"/>
        <v>0</v>
      </c>
      <c r="AE891" s="161">
        <f t="shared" si="6"/>
        <v>0</v>
      </c>
      <c r="AF891" s="167">
        <f t="shared" si="7"/>
        <v>0</v>
      </c>
      <c r="AG891" s="167">
        <f t="shared" si="8"/>
        <v>0</v>
      </c>
      <c r="AH891" s="158"/>
      <c r="AI891" s="158"/>
    </row>
    <row r="892" ht="12.75" customHeight="1">
      <c r="B892" s="160" t="str">
        <f>iferror(VLOOKUP((LEFT(A892,6)),CUSTOMER_DETAILS,2,FALSE),"-")</f>
        <v>-</v>
      </c>
      <c r="C892" s="161" t="s">
        <v>89</v>
      </c>
      <c r="D892" s="162"/>
      <c r="E892" s="161" t="s">
        <v>89</v>
      </c>
      <c r="F892" s="30" t="s">
        <v>89</v>
      </c>
      <c r="G892" s="30" t="s">
        <v>89</v>
      </c>
      <c r="H892" s="30" t="s">
        <v>89</v>
      </c>
      <c r="I892" s="48" t="s">
        <v>108</v>
      </c>
      <c r="J892" s="188" t="str">
        <f t="shared" si="15"/>
        <v/>
      </c>
      <c r="L892" s="48" t="s">
        <v>108</v>
      </c>
      <c r="O892" s="30" t="s">
        <v>89</v>
      </c>
      <c r="Q892" s="192"/>
      <c r="R892" s="161" t="str">
        <f>IFERROR(VLOOKUP(Q892,'PRODUCT TABLE'!$A$2:$B$26,2,FALSE),"-")</f>
        <v>-</v>
      </c>
      <c r="V892" s="161">
        <f t="shared" si="14"/>
        <v>0</v>
      </c>
      <c r="Y892" s="30"/>
      <c r="Z892" s="169">
        <f t="shared" si="2"/>
        <v>0</v>
      </c>
      <c r="AA892" s="167">
        <f t="shared" si="3"/>
        <v>0</v>
      </c>
      <c r="AB892" s="161"/>
      <c r="AC892" s="161">
        <f t="shared" si="4"/>
        <v>0</v>
      </c>
      <c r="AD892" s="161">
        <f t="shared" si="5"/>
        <v>0</v>
      </c>
      <c r="AE892" s="161">
        <f t="shared" si="6"/>
        <v>0</v>
      </c>
      <c r="AF892" s="167">
        <f t="shared" si="7"/>
        <v>0</v>
      </c>
      <c r="AG892" s="167">
        <f t="shared" si="8"/>
        <v>0</v>
      </c>
      <c r="AH892" s="158"/>
      <c r="AI892" s="158"/>
    </row>
    <row r="893" ht="12.75" customHeight="1">
      <c r="B893" s="160" t="str">
        <f>iferror(VLOOKUP((LEFT(A893,6)),CUSTOMER_DETAILS,2,FALSE),"-")</f>
        <v>-</v>
      </c>
      <c r="C893" s="161" t="s">
        <v>89</v>
      </c>
      <c r="D893" s="162"/>
      <c r="E893" s="161" t="s">
        <v>89</v>
      </c>
      <c r="F893" s="30" t="s">
        <v>89</v>
      </c>
      <c r="G893" s="30" t="s">
        <v>89</v>
      </c>
      <c r="H893" s="30" t="s">
        <v>89</v>
      </c>
      <c r="I893" s="48" t="s">
        <v>108</v>
      </c>
      <c r="J893" s="188" t="str">
        <f t="shared" si="15"/>
        <v/>
      </c>
      <c r="L893" s="48" t="s">
        <v>108</v>
      </c>
      <c r="O893" s="30" t="s">
        <v>89</v>
      </c>
      <c r="Q893" s="192"/>
      <c r="R893" s="161" t="str">
        <f>IFERROR(VLOOKUP(Q893,'PRODUCT TABLE'!$A$2:$B$26,2,FALSE),"-")</f>
        <v>-</v>
      </c>
      <c r="V893" s="161">
        <f t="shared" si="14"/>
        <v>0</v>
      </c>
      <c r="Y893" s="30"/>
      <c r="Z893" s="169">
        <f t="shared" si="2"/>
        <v>0</v>
      </c>
      <c r="AA893" s="167">
        <f t="shared" si="3"/>
        <v>0</v>
      </c>
      <c r="AB893" s="161"/>
      <c r="AC893" s="161">
        <f t="shared" si="4"/>
        <v>0</v>
      </c>
      <c r="AD893" s="161">
        <f t="shared" si="5"/>
        <v>0</v>
      </c>
      <c r="AE893" s="161">
        <f t="shared" si="6"/>
        <v>0</v>
      </c>
      <c r="AF893" s="167">
        <f t="shared" si="7"/>
        <v>0</v>
      </c>
      <c r="AG893" s="167">
        <f t="shared" si="8"/>
        <v>0</v>
      </c>
      <c r="AH893" s="158"/>
      <c r="AI893" s="158"/>
    </row>
    <row r="894" ht="12.75" customHeight="1">
      <c r="B894" s="160" t="str">
        <f>iferror(VLOOKUP((LEFT(A894,6)),CUSTOMER_DETAILS,2,FALSE),"-")</f>
        <v>-</v>
      </c>
      <c r="C894" s="161" t="s">
        <v>89</v>
      </c>
      <c r="D894" s="162"/>
      <c r="E894" s="161" t="s">
        <v>89</v>
      </c>
      <c r="F894" s="30" t="s">
        <v>89</v>
      </c>
      <c r="G894" s="30" t="s">
        <v>89</v>
      </c>
      <c r="H894" s="30" t="s">
        <v>89</v>
      </c>
      <c r="I894" s="48" t="s">
        <v>108</v>
      </c>
      <c r="J894" s="188" t="str">
        <f t="shared" si="15"/>
        <v/>
      </c>
      <c r="L894" s="48" t="s">
        <v>108</v>
      </c>
      <c r="O894" s="30" t="s">
        <v>89</v>
      </c>
      <c r="Q894" s="192"/>
      <c r="R894" s="161" t="str">
        <f>IFERROR(VLOOKUP(Q894,'PRODUCT TABLE'!$A$2:$B$26,2,FALSE),"-")</f>
        <v>-</v>
      </c>
      <c r="V894" s="161">
        <f t="shared" si="14"/>
        <v>0</v>
      </c>
      <c r="Y894" s="30"/>
      <c r="Z894" s="169">
        <f t="shared" si="2"/>
        <v>0</v>
      </c>
      <c r="AA894" s="167">
        <f t="shared" si="3"/>
        <v>0</v>
      </c>
      <c r="AB894" s="161"/>
      <c r="AC894" s="161">
        <f t="shared" si="4"/>
        <v>0</v>
      </c>
      <c r="AD894" s="161">
        <f t="shared" si="5"/>
        <v>0</v>
      </c>
      <c r="AE894" s="161">
        <f t="shared" si="6"/>
        <v>0</v>
      </c>
      <c r="AF894" s="167">
        <f t="shared" si="7"/>
        <v>0</v>
      </c>
      <c r="AG894" s="167">
        <f t="shared" si="8"/>
        <v>0</v>
      </c>
      <c r="AH894" s="158"/>
      <c r="AI894" s="158"/>
    </row>
    <row r="895" ht="12.75" customHeight="1">
      <c r="B895" s="160" t="str">
        <f>iferror(VLOOKUP((LEFT(A895,6)),CUSTOMER_DETAILS,2,FALSE),"-")</f>
        <v>-</v>
      </c>
      <c r="C895" s="161" t="s">
        <v>89</v>
      </c>
      <c r="D895" s="162"/>
      <c r="E895" s="161" t="s">
        <v>89</v>
      </c>
      <c r="F895" s="30" t="s">
        <v>89</v>
      </c>
      <c r="G895" s="30" t="s">
        <v>89</v>
      </c>
      <c r="H895" s="30" t="s">
        <v>89</v>
      </c>
      <c r="I895" s="48" t="s">
        <v>108</v>
      </c>
      <c r="J895" s="188" t="str">
        <f t="shared" si="15"/>
        <v/>
      </c>
      <c r="L895" s="48" t="s">
        <v>108</v>
      </c>
      <c r="O895" s="30" t="s">
        <v>89</v>
      </c>
      <c r="Q895" s="192"/>
      <c r="R895" s="161" t="str">
        <f>IFERROR(VLOOKUP(Q895,'PRODUCT TABLE'!$A$2:$B$26,2,FALSE),"-")</f>
        <v>-</v>
      </c>
      <c r="V895" s="161">
        <f t="shared" si="14"/>
        <v>0</v>
      </c>
      <c r="Y895" s="30"/>
      <c r="Z895" s="169">
        <f t="shared" si="2"/>
        <v>0</v>
      </c>
      <c r="AA895" s="167">
        <f t="shared" si="3"/>
        <v>0</v>
      </c>
      <c r="AB895" s="161"/>
      <c r="AC895" s="161">
        <f t="shared" si="4"/>
        <v>0</v>
      </c>
      <c r="AD895" s="161">
        <f t="shared" si="5"/>
        <v>0</v>
      </c>
      <c r="AE895" s="161">
        <f t="shared" si="6"/>
        <v>0</v>
      </c>
      <c r="AF895" s="167">
        <f t="shared" si="7"/>
        <v>0</v>
      </c>
      <c r="AG895" s="167">
        <f t="shared" si="8"/>
        <v>0</v>
      </c>
      <c r="AH895" s="158"/>
      <c r="AI895" s="158"/>
    </row>
    <row r="896" ht="12.75" customHeight="1">
      <c r="B896" s="160" t="str">
        <f>iferror(VLOOKUP((LEFT(A896,6)),CUSTOMER_DETAILS,2,FALSE),"-")</f>
        <v>-</v>
      </c>
      <c r="C896" s="161" t="s">
        <v>89</v>
      </c>
      <c r="D896" s="162"/>
      <c r="E896" s="161" t="s">
        <v>89</v>
      </c>
      <c r="F896" s="30" t="s">
        <v>89</v>
      </c>
      <c r="G896" s="30" t="s">
        <v>89</v>
      </c>
      <c r="H896" s="30" t="s">
        <v>89</v>
      </c>
      <c r="I896" s="48" t="s">
        <v>108</v>
      </c>
      <c r="J896" s="188" t="str">
        <f t="shared" si="15"/>
        <v/>
      </c>
      <c r="L896" s="48" t="s">
        <v>108</v>
      </c>
      <c r="O896" s="30" t="s">
        <v>89</v>
      </c>
      <c r="Q896" s="192"/>
      <c r="R896" s="161" t="str">
        <f>IFERROR(VLOOKUP(Q896,'PRODUCT TABLE'!$A$2:$B$26,2,FALSE),"-")</f>
        <v>-</v>
      </c>
      <c r="V896" s="161">
        <f t="shared" si="14"/>
        <v>0</v>
      </c>
      <c r="Y896" s="30"/>
      <c r="Z896" s="169">
        <f t="shared" si="2"/>
        <v>0</v>
      </c>
      <c r="AA896" s="167">
        <f t="shared" si="3"/>
        <v>0</v>
      </c>
      <c r="AB896" s="161"/>
      <c r="AC896" s="161">
        <f t="shared" si="4"/>
        <v>0</v>
      </c>
      <c r="AD896" s="161">
        <f t="shared" si="5"/>
        <v>0</v>
      </c>
      <c r="AE896" s="161">
        <f t="shared" si="6"/>
        <v>0</v>
      </c>
      <c r="AF896" s="167">
        <f t="shared" si="7"/>
        <v>0</v>
      </c>
      <c r="AG896" s="167">
        <f t="shared" si="8"/>
        <v>0</v>
      </c>
      <c r="AH896" s="158"/>
      <c r="AI896" s="158"/>
    </row>
    <row r="897" ht="12.75" customHeight="1">
      <c r="B897" s="160" t="str">
        <f>iferror(VLOOKUP((LEFT(A897,6)),CUSTOMER_DETAILS,2,FALSE),"-")</f>
        <v>-</v>
      </c>
      <c r="C897" s="161" t="s">
        <v>89</v>
      </c>
      <c r="D897" s="162"/>
      <c r="E897" s="161" t="s">
        <v>89</v>
      </c>
      <c r="F897" s="30" t="s">
        <v>89</v>
      </c>
      <c r="G897" s="30" t="s">
        <v>89</v>
      </c>
      <c r="H897" s="30" t="s">
        <v>89</v>
      </c>
      <c r="I897" s="48" t="s">
        <v>108</v>
      </c>
      <c r="J897" s="188" t="str">
        <f t="shared" si="15"/>
        <v/>
      </c>
      <c r="L897" s="48" t="s">
        <v>108</v>
      </c>
      <c r="O897" s="30" t="s">
        <v>89</v>
      </c>
      <c r="Q897" s="192"/>
      <c r="R897" s="161" t="str">
        <f>IFERROR(VLOOKUP(Q897,'PRODUCT TABLE'!$A$2:$B$26,2,FALSE),"-")</f>
        <v>-</v>
      </c>
      <c r="V897" s="161">
        <f t="shared" si="14"/>
        <v>0</v>
      </c>
      <c r="Y897" s="30"/>
      <c r="Z897" s="169">
        <f t="shared" si="2"/>
        <v>0</v>
      </c>
      <c r="AA897" s="167">
        <f t="shared" si="3"/>
        <v>0</v>
      </c>
      <c r="AB897" s="161"/>
      <c r="AC897" s="161">
        <f t="shared" si="4"/>
        <v>0</v>
      </c>
      <c r="AD897" s="161">
        <f t="shared" si="5"/>
        <v>0</v>
      </c>
      <c r="AE897" s="161">
        <f t="shared" si="6"/>
        <v>0</v>
      </c>
      <c r="AF897" s="167">
        <f t="shared" si="7"/>
        <v>0</v>
      </c>
      <c r="AG897" s="167">
        <f t="shared" si="8"/>
        <v>0</v>
      </c>
      <c r="AH897" s="158"/>
      <c r="AI897" s="158"/>
    </row>
    <row r="898" ht="12.75" customHeight="1">
      <c r="B898" s="160" t="str">
        <f>iferror(VLOOKUP((LEFT(A898,6)),CUSTOMER_DETAILS,2,FALSE),"-")</f>
        <v>-</v>
      </c>
      <c r="C898" s="161" t="s">
        <v>89</v>
      </c>
      <c r="D898" s="162"/>
      <c r="E898" s="161" t="s">
        <v>89</v>
      </c>
      <c r="F898" s="30" t="s">
        <v>89</v>
      </c>
      <c r="G898" s="30" t="s">
        <v>89</v>
      </c>
      <c r="H898" s="30" t="s">
        <v>89</v>
      </c>
      <c r="I898" s="48" t="s">
        <v>108</v>
      </c>
      <c r="J898" s="188" t="str">
        <f t="shared" si="15"/>
        <v/>
      </c>
      <c r="L898" s="48" t="s">
        <v>108</v>
      </c>
      <c r="O898" s="30" t="s">
        <v>89</v>
      </c>
      <c r="Q898" s="192"/>
      <c r="R898" s="161" t="str">
        <f>IFERROR(VLOOKUP(Q898,'PRODUCT TABLE'!$A$2:$B$26,2,FALSE),"-")</f>
        <v>-</v>
      </c>
      <c r="V898" s="161">
        <f t="shared" si="14"/>
        <v>0</v>
      </c>
      <c r="Y898" s="30"/>
      <c r="Z898" s="169">
        <f t="shared" si="2"/>
        <v>0</v>
      </c>
      <c r="AA898" s="167">
        <f t="shared" si="3"/>
        <v>0</v>
      </c>
      <c r="AB898" s="161"/>
      <c r="AC898" s="161">
        <f t="shared" si="4"/>
        <v>0</v>
      </c>
      <c r="AD898" s="161">
        <f t="shared" si="5"/>
        <v>0</v>
      </c>
      <c r="AE898" s="161">
        <f t="shared" si="6"/>
        <v>0</v>
      </c>
      <c r="AF898" s="167">
        <f t="shared" si="7"/>
        <v>0</v>
      </c>
      <c r="AG898" s="167">
        <f t="shared" si="8"/>
        <v>0</v>
      </c>
      <c r="AH898" s="158"/>
      <c r="AI898" s="158"/>
    </row>
    <row r="899" ht="12.75" customHeight="1">
      <c r="B899" s="160" t="str">
        <f>iferror(VLOOKUP((LEFT(A899,6)),CUSTOMER_DETAILS,2,FALSE),"-")</f>
        <v>-</v>
      </c>
      <c r="C899" s="161" t="s">
        <v>89</v>
      </c>
      <c r="D899" s="162"/>
      <c r="E899" s="161" t="s">
        <v>89</v>
      </c>
      <c r="F899" s="30" t="s">
        <v>89</v>
      </c>
      <c r="G899" s="30" t="s">
        <v>89</v>
      </c>
      <c r="H899" s="30" t="s">
        <v>89</v>
      </c>
      <c r="I899" s="48" t="s">
        <v>108</v>
      </c>
      <c r="J899" s="188" t="str">
        <f t="shared" si="15"/>
        <v/>
      </c>
      <c r="L899" s="48" t="s">
        <v>108</v>
      </c>
      <c r="O899" s="30" t="s">
        <v>89</v>
      </c>
      <c r="Q899" s="192"/>
      <c r="R899" s="161" t="str">
        <f>IFERROR(VLOOKUP(Q899,'PRODUCT TABLE'!$A$2:$B$26,2,FALSE),"-")</f>
        <v>-</v>
      </c>
      <c r="V899" s="161">
        <f t="shared" si="14"/>
        <v>0</v>
      </c>
      <c r="Y899" s="30"/>
      <c r="Z899" s="169">
        <f t="shared" si="2"/>
        <v>0</v>
      </c>
      <c r="AA899" s="167">
        <f t="shared" si="3"/>
        <v>0</v>
      </c>
      <c r="AB899" s="161"/>
      <c r="AC899" s="161">
        <f t="shared" si="4"/>
        <v>0</v>
      </c>
      <c r="AD899" s="161">
        <f t="shared" si="5"/>
        <v>0</v>
      </c>
      <c r="AE899" s="161">
        <f t="shared" si="6"/>
        <v>0</v>
      </c>
      <c r="AF899" s="167">
        <f t="shared" si="7"/>
        <v>0</v>
      </c>
      <c r="AG899" s="167">
        <f t="shared" si="8"/>
        <v>0</v>
      </c>
      <c r="AH899" s="158"/>
      <c r="AI899" s="158"/>
    </row>
    <row r="900" ht="12.75" customHeight="1">
      <c r="B900" s="160" t="str">
        <f>iferror(VLOOKUP((LEFT(A900,6)),CUSTOMER_DETAILS,2,FALSE),"-")</f>
        <v>-</v>
      </c>
      <c r="C900" s="161" t="s">
        <v>89</v>
      </c>
      <c r="D900" s="162"/>
      <c r="E900" s="161" t="s">
        <v>89</v>
      </c>
      <c r="F900" s="30" t="s">
        <v>89</v>
      </c>
      <c r="G900" s="30" t="s">
        <v>89</v>
      </c>
      <c r="H900" s="30" t="s">
        <v>89</v>
      </c>
      <c r="I900" s="48" t="s">
        <v>108</v>
      </c>
      <c r="J900" s="188" t="str">
        <f t="shared" si="15"/>
        <v/>
      </c>
      <c r="L900" s="48" t="s">
        <v>108</v>
      </c>
      <c r="O900" s="30" t="s">
        <v>89</v>
      </c>
      <c r="Q900" s="192"/>
      <c r="R900" s="161" t="str">
        <f>IFERROR(VLOOKUP(Q900,'PRODUCT TABLE'!$A$2:$B$26,2,FALSE),"-")</f>
        <v>-</v>
      </c>
      <c r="V900" s="161">
        <f t="shared" si="14"/>
        <v>0</v>
      </c>
      <c r="Y900" s="30"/>
      <c r="Z900" s="169">
        <f t="shared" si="2"/>
        <v>0</v>
      </c>
      <c r="AA900" s="167">
        <f t="shared" si="3"/>
        <v>0</v>
      </c>
      <c r="AB900" s="161"/>
      <c r="AC900" s="161">
        <f t="shared" si="4"/>
        <v>0</v>
      </c>
      <c r="AD900" s="161">
        <f t="shared" si="5"/>
        <v>0</v>
      </c>
      <c r="AE900" s="161">
        <f t="shared" si="6"/>
        <v>0</v>
      </c>
      <c r="AF900" s="167">
        <f t="shared" si="7"/>
        <v>0</v>
      </c>
      <c r="AG900" s="167">
        <f t="shared" si="8"/>
        <v>0</v>
      </c>
      <c r="AH900" s="158"/>
      <c r="AI900" s="158"/>
    </row>
    <row r="901" ht="12.75" customHeight="1">
      <c r="B901" s="160" t="str">
        <f>iferror(VLOOKUP((LEFT(A901,6)),CUSTOMER_DETAILS,2,FALSE),"-")</f>
        <v>-</v>
      </c>
      <c r="C901" s="161" t="s">
        <v>89</v>
      </c>
      <c r="D901" s="162"/>
      <c r="E901" s="161" t="s">
        <v>89</v>
      </c>
      <c r="F901" s="30" t="s">
        <v>89</v>
      </c>
      <c r="G901" s="30" t="s">
        <v>89</v>
      </c>
      <c r="H901" s="30" t="s">
        <v>89</v>
      </c>
      <c r="I901" s="48" t="s">
        <v>108</v>
      </c>
      <c r="J901" s="188" t="str">
        <f t="shared" si="15"/>
        <v/>
      </c>
      <c r="L901" s="48" t="s">
        <v>108</v>
      </c>
      <c r="O901" s="30" t="s">
        <v>89</v>
      </c>
      <c r="Q901" s="192"/>
      <c r="R901" s="161" t="str">
        <f>IFERROR(VLOOKUP(Q901,'PRODUCT TABLE'!$A$2:$B$26,2,FALSE),"-")</f>
        <v>-</v>
      </c>
      <c r="V901" s="161">
        <f t="shared" si="14"/>
        <v>0</v>
      </c>
      <c r="Y901" s="30"/>
      <c r="Z901" s="169">
        <f t="shared" si="2"/>
        <v>0</v>
      </c>
      <c r="AA901" s="167">
        <f t="shared" si="3"/>
        <v>0</v>
      </c>
      <c r="AB901" s="161"/>
      <c r="AC901" s="161">
        <f t="shared" si="4"/>
        <v>0</v>
      </c>
      <c r="AD901" s="161">
        <f t="shared" si="5"/>
        <v>0</v>
      </c>
      <c r="AE901" s="161">
        <f t="shared" si="6"/>
        <v>0</v>
      </c>
      <c r="AF901" s="167">
        <f t="shared" si="7"/>
        <v>0</v>
      </c>
      <c r="AG901" s="167">
        <f t="shared" si="8"/>
        <v>0</v>
      </c>
      <c r="AH901" s="158"/>
      <c r="AI901" s="158"/>
    </row>
    <row r="902" ht="12.75" customHeight="1">
      <c r="B902" s="160" t="str">
        <f>iferror(VLOOKUP((LEFT(A902,6)),CUSTOMER_DETAILS,2,FALSE),"-")</f>
        <v>-</v>
      </c>
      <c r="C902" s="161" t="s">
        <v>89</v>
      </c>
      <c r="D902" s="162"/>
      <c r="E902" s="161" t="s">
        <v>89</v>
      </c>
      <c r="F902" s="30" t="s">
        <v>89</v>
      </c>
      <c r="G902" s="30" t="s">
        <v>89</v>
      </c>
      <c r="H902" s="30" t="s">
        <v>89</v>
      </c>
      <c r="I902" s="48" t="s">
        <v>108</v>
      </c>
      <c r="J902" s="188" t="str">
        <f t="shared" si="15"/>
        <v/>
      </c>
      <c r="L902" s="48" t="s">
        <v>108</v>
      </c>
      <c r="O902" s="30" t="s">
        <v>89</v>
      </c>
      <c r="Q902" s="192"/>
      <c r="R902" s="161" t="str">
        <f>IFERROR(VLOOKUP(Q902,'PRODUCT TABLE'!$A$2:$B$26,2,FALSE),"-")</f>
        <v>-</v>
      </c>
      <c r="V902" s="161">
        <f t="shared" si="14"/>
        <v>0</v>
      </c>
      <c r="Y902" s="30"/>
      <c r="Z902" s="169">
        <f t="shared" si="2"/>
        <v>0</v>
      </c>
      <c r="AA902" s="167">
        <f t="shared" si="3"/>
        <v>0</v>
      </c>
      <c r="AB902" s="161"/>
      <c r="AC902" s="161">
        <f t="shared" si="4"/>
        <v>0</v>
      </c>
      <c r="AD902" s="161">
        <f t="shared" si="5"/>
        <v>0</v>
      </c>
      <c r="AE902" s="161">
        <f t="shared" si="6"/>
        <v>0</v>
      </c>
      <c r="AF902" s="167">
        <f t="shared" si="7"/>
        <v>0</v>
      </c>
      <c r="AG902" s="167">
        <f t="shared" si="8"/>
        <v>0</v>
      </c>
      <c r="AH902" s="158"/>
      <c r="AI902" s="158"/>
    </row>
    <row r="903" ht="12.75" customHeight="1">
      <c r="B903" s="160" t="str">
        <f>iferror(VLOOKUP((LEFT(A903,6)),CUSTOMER_DETAILS,2,FALSE),"-")</f>
        <v>-</v>
      </c>
      <c r="C903" s="161" t="s">
        <v>89</v>
      </c>
      <c r="D903" s="162"/>
      <c r="E903" s="161" t="s">
        <v>89</v>
      </c>
      <c r="F903" s="30" t="s">
        <v>89</v>
      </c>
      <c r="G903" s="30" t="s">
        <v>89</v>
      </c>
      <c r="H903" s="30" t="s">
        <v>89</v>
      </c>
      <c r="I903" s="48" t="s">
        <v>108</v>
      </c>
      <c r="J903" s="188" t="str">
        <f t="shared" si="15"/>
        <v/>
      </c>
      <c r="L903" s="48" t="s">
        <v>108</v>
      </c>
      <c r="O903" s="30" t="s">
        <v>89</v>
      </c>
      <c r="Q903" s="192"/>
      <c r="R903" s="161" t="str">
        <f>IFERROR(VLOOKUP(Q903,'PRODUCT TABLE'!$A$2:$B$26,2,FALSE),"-")</f>
        <v>-</v>
      </c>
      <c r="V903" s="161">
        <f t="shared" si="14"/>
        <v>0</v>
      </c>
      <c r="Y903" s="30"/>
      <c r="Z903" s="169">
        <f t="shared" si="2"/>
        <v>0</v>
      </c>
      <c r="AA903" s="167">
        <f t="shared" si="3"/>
        <v>0</v>
      </c>
      <c r="AB903" s="161"/>
      <c r="AC903" s="161">
        <f t="shared" si="4"/>
        <v>0</v>
      </c>
      <c r="AD903" s="161">
        <f t="shared" si="5"/>
        <v>0</v>
      </c>
      <c r="AE903" s="161">
        <f t="shared" si="6"/>
        <v>0</v>
      </c>
      <c r="AF903" s="167">
        <f t="shared" si="7"/>
        <v>0</v>
      </c>
      <c r="AG903" s="167">
        <f t="shared" si="8"/>
        <v>0</v>
      </c>
      <c r="AH903" s="158"/>
      <c r="AI903" s="158"/>
    </row>
    <row r="904" ht="12.75" customHeight="1">
      <c r="B904" s="160" t="str">
        <f>iferror(VLOOKUP((LEFT(A904,6)),CUSTOMER_DETAILS,2,FALSE),"-")</f>
        <v>-</v>
      </c>
      <c r="C904" s="161" t="s">
        <v>89</v>
      </c>
      <c r="D904" s="162"/>
      <c r="E904" s="161" t="s">
        <v>89</v>
      </c>
      <c r="F904" s="30" t="s">
        <v>89</v>
      </c>
      <c r="G904" s="30" t="s">
        <v>89</v>
      </c>
      <c r="H904" s="30" t="s">
        <v>89</v>
      </c>
      <c r="I904" s="48" t="s">
        <v>108</v>
      </c>
      <c r="J904" s="188" t="str">
        <f t="shared" si="15"/>
        <v/>
      </c>
      <c r="L904" s="48" t="s">
        <v>108</v>
      </c>
      <c r="O904" s="30" t="s">
        <v>89</v>
      </c>
      <c r="Q904" s="192"/>
      <c r="R904" s="161" t="str">
        <f>IFERROR(VLOOKUP(Q904,'PRODUCT TABLE'!$A$2:$B$26,2,FALSE),"-")</f>
        <v>-</v>
      </c>
      <c r="V904" s="161">
        <f t="shared" si="14"/>
        <v>0</v>
      </c>
      <c r="Y904" s="30"/>
      <c r="Z904" s="169">
        <f t="shared" si="2"/>
        <v>0</v>
      </c>
      <c r="AA904" s="167">
        <f t="shared" si="3"/>
        <v>0</v>
      </c>
      <c r="AB904" s="161"/>
      <c r="AC904" s="161">
        <f t="shared" si="4"/>
        <v>0</v>
      </c>
      <c r="AD904" s="161">
        <f t="shared" si="5"/>
        <v>0</v>
      </c>
      <c r="AE904" s="161">
        <f t="shared" si="6"/>
        <v>0</v>
      </c>
      <c r="AF904" s="167">
        <f t="shared" si="7"/>
        <v>0</v>
      </c>
      <c r="AG904" s="167">
        <f t="shared" si="8"/>
        <v>0</v>
      </c>
      <c r="AH904" s="158"/>
      <c r="AI904" s="158"/>
    </row>
    <row r="905" ht="12.75" customHeight="1">
      <c r="B905" s="160" t="str">
        <f>iferror(VLOOKUP((LEFT(A905,6)),CUSTOMER_DETAILS,2,FALSE),"-")</f>
        <v>-</v>
      </c>
      <c r="C905" s="161" t="s">
        <v>89</v>
      </c>
      <c r="D905" s="162"/>
      <c r="E905" s="161" t="s">
        <v>89</v>
      </c>
      <c r="F905" s="30" t="s">
        <v>89</v>
      </c>
      <c r="G905" s="30" t="s">
        <v>89</v>
      </c>
      <c r="H905" s="30" t="s">
        <v>89</v>
      </c>
      <c r="I905" s="48" t="s">
        <v>108</v>
      </c>
      <c r="J905" s="188" t="str">
        <f t="shared" si="15"/>
        <v/>
      </c>
      <c r="L905" s="48" t="s">
        <v>108</v>
      </c>
      <c r="O905" s="30" t="s">
        <v>89</v>
      </c>
      <c r="Q905" s="192"/>
      <c r="R905" s="161" t="str">
        <f>IFERROR(VLOOKUP(Q905,'PRODUCT TABLE'!$A$2:$B$26,2,FALSE),"-")</f>
        <v>-</v>
      </c>
      <c r="V905" s="161">
        <f t="shared" si="14"/>
        <v>0</v>
      </c>
      <c r="Y905" s="30"/>
      <c r="Z905" s="169">
        <f t="shared" si="2"/>
        <v>0</v>
      </c>
      <c r="AA905" s="167">
        <f t="shared" si="3"/>
        <v>0</v>
      </c>
      <c r="AB905" s="161"/>
      <c r="AC905" s="161">
        <f t="shared" si="4"/>
        <v>0</v>
      </c>
      <c r="AD905" s="161">
        <f t="shared" si="5"/>
        <v>0</v>
      </c>
      <c r="AE905" s="161">
        <f t="shared" si="6"/>
        <v>0</v>
      </c>
      <c r="AF905" s="167">
        <f t="shared" si="7"/>
        <v>0</v>
      </c>
      <c r="AG905" s="167">
        <f t="shared" si="8"/>
        <v>0</v>
      </c>
      <c r="AH905" s="158"/>
      <c r="AI905" s="158"/>
    </row>
    <row r="906" ht="12.75" customHeight="1">
      <c r="B906" s="160" t="str">
        <f>iferror(VLOOKUP((LEFT(A906,6)),CUSTOMER_DETAILS,2,FALSE),"-")</f>
        <v>-</v>
      </c>
      <c r="C906" s="161" t="s">
        <v>89</v>
      </c>
      <c r="D906" s="162"/>
      <c r="E906" s="161" t="s">
        <v>89</v>
      </c>
      <c r="F906" s="30" t="s">
        <v>89</v>
      </c>
      <c r="G906" s="30" t="s">
        <v>89</v>
      </c>
      <c r="H906" s="30" t="s">
        <v>89</v>
      </c>
      <c r="I906" s="48" t="s">
        <v>108</v>
      </c>
      <c r="J906" s="188" t="str">
        <f t="shared" si="15"/>
        <v/>
      </c>
      <c r="L906" s="48" t="s">
        <v>108</v>
      </c>
      <c r="O906" s="30" t="s">
        <v>89</v>
      </c>
      <c r="Q906" s="192"/>
      <c r="R906" s="161" t="str">
        <f>IFERROR(VLOOKUP(Q906,'PRODUCT TABLE'!$A$2:$B$26,2,FALSE),"-")</f>
        <v>-</v>
      </c>
      <c r="V906" s="161">
        <f t="shared" si="14"/>
        <v>0</v>
      </c>
      <c r="Y906" s="30"/>
      <c r="Z906" s="169">
        <f t="shared" si="2"/>
        <v>0</v>
      </c>
      <c r="AA906" s="167">
        <f t="shared" si="3"/>
        <v>0</v>
      </c>
      <c r="AB906" s="161"/>
      <c r="AC906" s="161">
        <f t="shared" si="4"/>
        <v>0</v>
      </c>
      <c r="AD906" s="161">
        <f t="shared" si="5"/>
        <v>0</v>
      </c>
      <c r="AE906" s="161">
        <f t="shared" si="6"/>
        <v>0</v>
      </c>
      <c r="AF906" s="167">
        <f t="shared" si="7"/>
        <v>0</v>
      </c>
      <c r="AG906" s="167">
        <f t="shared" si="8"/>
        <v>0</v>
      </c>
      <c r="AH906" s="158"/>
      <c r="AI906" s="158"/>
    </row>
    <row r="907" ht="12.75" customHeight="1">
      <c r="B907" s="160" t="str">
        <f>iferror(VLOOKUP((LEFT(A907,6)),CUSTOMER_DETAILS,2,FALSE),"-")</f>
        <v>-</v>
      </c>
      <c r="C907" s="161" t="s">
        <v>89</v>
      </c>
      <c r="D907" s="162"/>
      <c r="E907" s="161" t="s">
        <v>89</v>
      </c>
      <c r="F907" s="30" t="s">
        <v>89</v>
      </c>
      <c r="G907" s="30" t="s">
        <v>89</v>
      </c>
      <c r="H907" s="30" t="s">
        <v>89</v>
      </c>
      <c r="I907" s="48" t="s">
        <v>108</v>
      </c>
      <c r="J907" s="188" t="str">
        <f t="shared" si="15"/>
        <v/>
      </c>
      <c r="L907" s="48" t="s">
        <v>108</v>
      </c>
      <c r="O907" s="30" t="s">
        <v>89</v>
      </c>
      <c r="Q907" s="192"/>
      <c r="R907" s="161" t="str">
        <f>IFERROR(VLOOKUP(Q907,'PRODUCT TABLE'!$A$2:$B$26,2,FALSE),"-")</f>
        <v>-</v>
      </c>
      <c r="V907" s="161">
        <f t="shared" si="14"/>
        <v>0</v>
      </c>
      <c r="Y907" s="30"/>
      <c r="Z907" s="169">
        <f t="shared" si="2"/>
        <v>0</v>
      </c>
      <c r="AA907" s="167">
        <f t="shared" si="3"/>
        <v>0</v>
      </c>
      <c r="AB907" s="161"/>
      <c r="AC907" s="161">
        <f t="shared" si="4"/>
        <v>0</v>
      </c>
      <c r="AD907" s="161">
        <f t="shared" si="5"/>
        <v>0</v>
      </c>
      <c r="AE907" s="161">
        <f t="shared" si="6"/>
        <v>0</v>
      </c>
      <c r="AF907" s="167">
        <f t="shared" si="7"/>
        <v>0</v>
      </c>
      <c r="AG907" s="167">
        <f t="shared" si="8"/>
        <v>0</v>
      </c>
      <c r="AH907" s="158"/>
      <c r="AI907" s="158"/>
    </row>
    <row r="908" ht="12.75" customHeight="1">
      <c r="B908" s="160" t="str">
        <f>iferror(VLOOKUP((LEFT(A908,6)),CUSTOMER_DETAILS,2,FALSE),"-")</f>
        <v>-</v>
      </c>
      <c r="C908" s="161" t="s">
        <v>89</v>
      </c>
      <c r="D908" s="162"/>
      <c r="E908" s="161" t="s">
        <v>89</v>
      </c>
      <c r="F908" s="30" t="s">
        <v>89</v>
      </c>
      <c r="G908" s="30" t="s">
        <v>89</v>
      </c>
      <c r="H908" s="30" t="s">
        <v>89</v>
      </c>
      <c r="I908" s="48" t="s">
        <v>108</v>
      </c>
      <c r="J908" s="188" t="str">
        <f t="shared" si="15"/>
        <v/>
      </c>
      <c r="L908" s="48" t="s">
        <v>108</v>
      </c>
      <c r="O908" s="30" t="s">
        <v>89</v>
      </c>
      <c r="Q908" s="192"/>
      <c r="R908" s="161" t="str">
        <f>IFERROR(VLOOKUP(Q908,'PRODUCT TABLE'!$A$2:$B$26,2,FALSE),"-")</f>
        <v>-</v>
      </c>
      <c r="V908" s="161">
        <f t="shared" si="14"/>
        <v>0</v>
      </c>
      <c r="Y908" s="30"/>
      <c r="Z908" s="169">
        <f t="shared" si="2"/>
        <v>0</v>
      </c>
      <c r="AA908" s="167">
        <f t="shared" si="3"/>
        <v>0</v>
      </c>
      <c r="AB908" s="161"/>
      <c r="AC908" s="161">
        <f t="shared" si="4"/>
        <v>0</v>
      </c>
      <c r="AD908" s="161">
        <f t="shared" si="5"/>
        <v>0</v>
      </c>
      <c r="AE908" s="161">
        <f t="shared" si="6"/>
        <v>0</v>
      </c>
      <c r="AF908" s="167">
        <f t="shared" si="7"/>
        <v>0</v>
      </c>
      <c r="AG908" s="167">
        <f t="shared" si="8"/>
        <v>0</v>
      </c>
      <c r="AH908" s="158"/>
      <c r="AI908" s="158"/>
    </row>
    <row r="909" ht="12.75" customHeight="1">
      <c r="B909" s="160" t="str">
        <f>iferror(VLOOKUP((LEFT(A909,6)),CUSTOMER_DETAILS,2,FALSE),"-")</f>
        <v>-</v>
      </c>
      <c r="C909" s="161" t="s">
        <v>89</v>
      </c>
      <c r="D909" s="162"/>
      <c r="E909" s="161" t="s">
        <v>89</v>
      </c>
      <c r="F909" s="30" t="s">
        <v>89</v>
      </c>
      <c r="G909" s="30" t="s">
        <v>89</v>
      </c>
      <c r="H909" s="30" t="s">
        <v>89</v>
      </c>
      <c r="I909" s="48" t="s">
        <v>108</v>
      </c>
      <c r="J909" s="188" t="str">
        <f t="shared" si="15"/>
        <v/>
      </c>
      <c r="L909" s="48" t="s">
        <v>108</v>
      </c>
      <c r="O909" s="30" t="s">
        <v>89</v>
      </c>
      <c r="Q909" s="192"/>
      <c r="R909" s="161" t="str">
        <f>IFERROR(VLOOKUP(Q909,'PRODUCT TABLE'!$A$2:$B$26,2,FALSE),"-")</f>
        <v>-</v>
      </c>
      <c r="V909" s="161">
        <f t="shared" si="14"/>
        <v>0</v>
      </c>
      <c r="Y909" s="30"/>
      <c r="Z909" s="169">
        <f t="shared" si="2"/>
        <v>0</v>
      </c>
      <c r="AA909" s="167">
        <f t="shared" si="3"/>
        <v>0</v>
      </c>
      <c r="AB909" s="161"/>
      <c r="AC909" s="161">
        <f t="shared" si="4"/>
        <v>0</v>
      </c>
      <c r="AD909" s="161">
        <f t="shared" si="5"/>
        <v>0</v>
      </c>
      <c r="AE909" s="161">
        <f t="shared" si="6"/>
        <v>0</v>
      </c>
      <c r="AF909" s="167">
        <f t="shared" si="7"/>
        <v>0</v>
      </c>
      <c r="AG909" s="167">
        <f t="shared" si="8"/>
        <v>0</v>
      </c>
      <c r="AH909" s="158"/>
      <c r="AI909" s="158"/>
    </row>
    <row r="910" ht="12.75" customHeight="1">
      <c r="B910" s="160" t="str">
        <f>iferror(VLOOKUP((LEFT(A910,6)),CUSTOMER_DETAILS,2,FALSE),"-")</f>
        <v>-</v>
      </c>
      <c r="C910" s="161" t="s">
        <v>89</v>
      </c>
      <c r="D910" s="162"/>
      <c r="E910" s="161" t="s">
        <v>89</v>
      </c>
      <c r="F910" s="30" t="s">
        <v>89</v>
      </c>
      <c r="G910" s="30" t="s">
        <v>89</v>
      </c>
      <c r="H910" s="30" t="s">
        <v>89</v>
      </c>
      <c r="I910" s="48" t="s">
        <v>108</v>
      </c>
      <c r="J910" s="188" t="str">
        <f t="shared" si="15"/>
        <v/>
      </c>
      <c r="L910" s="48" t="s">
        <v>108</v>
      </c>
      <c r="O910" s="30" t="s">
        <v>89</v>
      </c>
      <c r="Q910" s="192"/>
      <c r="R910" s="161" t="str">
        <f>IFERROR(VLOOKUP(Q910,'PRODUCT TABLE'!$A$2:$B$26,2,FALSE),"-")</f>
        <v>-</v>
      </c>
      <c r="V910" s="161">
        <f t="shared" si="14"/>
        <v>0</v>
      </c>
      <c r="Y910" s="30"/>
      <c r="Z910" s="169">
        <f t="shared" si="2"/>
        <v>0</v>
      </c>
      <c r="AA910" s="167">
        <f t="shared" si="3"/>
        <v>0</v>
      </c>
      <c r="AB910" s="161"/>
      <c r="AC910" s="161">
        <f t="shared" si="4"/>
        <v>0</v>
      </c>
      <c r="AD910" s="161">
        <f t="shared" si="5"/>
        <v>0</v>
      </c>
      <c r="AE910" s="161">
        <f t="shared" si="6"/>
        <v>0</v>
      </c>
      <c r="AF910" s="167">
        <f t="shared" si="7"/>
        <v>0</v>
      </c>
      <c r="AG910" s="167">
        <f t="shared" si="8"/>
        <v>0</v>
      </c>
      <c r="AH910" s="158"/>
      <c r="AI910" s="158"/>
    </row>
    <row r="911" ht="12.75" customHeight="1">
      <c r="B911" s="160" t="str">
        <f>iferror(VLOOKUP((LEFT(A911,6)),CUSTOMER_DETAILS,2,FALSE),"-")</f>
        <v>-</v>
      </c>
      <c r="C911" s="161" t="s">
        <v>89</v>
      </c>
      <c r="D911" s="162"/>
      <c r="E911" s="161" t="s">
        <v>89</v>
      </c>
      <c r="F911" s="30" t="s">
        <v>89</v>
      </c>
      <c r="G911" s="30" t="s">
        <v>89</v>
      </c>
      <c r="H911" s="30" t="s">
        <v>89</v>
      </c>
      <c r="I911" s="48" t="s">
        <v>108</v>
      </c>
      <c r="J911" s="188" t="str">
        <f t="shared" si="15"/>
        <v/>
      </c>
      <c r="L911" s="48" t="s">
        <v>108</v>
      </c>
      <c r="O911" s="30" t="s">
        <v>89</v>
      </c>
      <c r="Q911" s="192"/>
      <c r="R911" s="161" t="str">
        <f>IFERROR(VLOOKUP(Q911,'PRODUCT TABLE'!$A$2:$B$26,2,FALSE),"-")</f>
        <v>-</v>
      </c>
      <c r="V911" s="161">
        <f t="shared" si="14"/>
        <v>0</v>
      </c>
      <c r="Y911" s="30"/>
      <c r="Z911" s="169">
        <f t="shared" si="2"/>
        <v>0</v>
      </c>
      <c r="AA911" s="167">
        <f t="shared" si="3"/>
        <v>0</v>
      </c>
      <c r="AB911" s="161"/>
      <c r="AC911" s="161">
        <f t="shared" si="4"/>
        <v>0</v>
      </c>
      <c r="AD911" s="161">
        <f t="shared" si="5"/>
        <v>0</v>
      </c>
      <c r="AE911" s="161">
        <f t="shared" si="6"/>
        <v>0</v>
      </c>
      <c r="AF911" s="167">
        <f t="shared" si="7"/>
        <v>0</v>
      </c>
      <c r="AG911" s="167">
        <f t="shared" si="8"/>
        <v>0</v>
      </c>
      <c r="AH911" s="158"/>
      <c r="AI911" s="158"/>
    </row>
    <row r="912" ht="12.75" customHeight="1">
      <c r="B912" s="160" t="str">
        <f>iferror(VLOOKUP((LEFT(A912,6)),CUSTOMER_DETAILS,2,FALSE),"-")</f>
        <v>-</v>
      </c>
      <c r="C912" s="161" t="s">
        <v>89</v>
      </c>
      <c r="D912" s="162"/>
      <c r="E912" s="161" t="s">
        <v>89</v>
      </c>
      <c r="F912" s="30" t="s">
        <v>89</v>
      </c>
      <c r="G912" s="30" t="s">
        <v>89</v>
      </c>
      <c r="H912" s="30" t="s">
        <v>89</v>
      </c>
      <c r="I912" s="48" t="s">
        <v>108</v>
      </c>
      <c r="J912" s="188" t="str">
        <f t="shared" si="15"/>
        <v/>
      </c>
      <c r="L912" s="48" t="s">
        <v>108</v>
      </c>
      <c r="O912" s="30" t="s">
        <v>89</v>
      </c>
      <c r="Q912" s="192"/>
      <c r="R912" s="161" t="str">
        <f>IFERROR(VLOOKUP(Q912,'PRODUCT TABLE'!$A$2:$B$26,2,FALSE),"-")</f>
        <v>-</v>
      </c>
      <c r="V912" s="161">
        <f t="shared" si="14"/>
        <v>0</v>
      </c>
      <c r="Y912" s="30"/>
      <c r="Z912" s="169">
        <f t="shared" si="2"/>
        <v>0</v>
      </c>
      <c r="AA912" s="167">
        <f t="shared" si="3"/>
        <v>0</v>
      </c>
      <c r="AB912" s="161"/>
      <c r="AC912" s="161">
        <f t="shared" si="4"/>
        <v>0</v>
      </c>
      <c r="AD912" s="161">
        <f t="shared" si="5"/>
        <v>0</v>
      </c>
      <c r="AE912" s="161">
        <f t="shared" si="6"/>
        <v>0</v>
      </c>
      <c r="AF912" s="167">
        <f t="shared" si="7"/>
        <v>0</v>
      </c>
      <c r="AG912" s="167">
        <f t="shared" si="8"/>
        <v>0</v>
      </c>
      <c r="AH912" s="158"/>
      <c r="AI912" s="158"/>
    </row>
    <row r="913" ht="12.75" customHeight="1">
      <c r="B913" s="160" t="str">
        <f>iferror(VLOOKUP((LEFT(A913,6)),CUSTOMER_DETAILS,2,FALSE),"-")</f>
        <v>-</v>
      </c>
      <c r="C913" s="161" t="s">
        <v>89</v>
      </c>
      <c r="D913" s="162"/>
      <c r="E913" s="161" t="s">
        <v>89</v>
      </c>
      <c r="F913" s="30" t="s">
        <v>89</v>
      </c>
      <c r="G913" s="30" t="s">
        <v>89</v>
      </c>
      <c r="H913" s="30" t="s">
        <v>89</v>
      </c>
      <c r="I913" s="48" t="s">
        <v>108</v>
      </c>
      <c r="J913" s="188" t="str">
        <f t="shared" si="15"/>
        <v/>
      </c>
      <c r="L913" s="48" t="s">
        <v>108</v>
      </c>
      <c r="O913" s="30" t="s">
        <v>89</v>
      </c>
      <c r="Q913" s="192"/>
      <c r="R913" s="161" t="str">
        <f>IFERROR(VLOOKUP(Q913,'PRODUCT TABLE'!$A$2:$B$26,2,FALSE),"-")</f>
        <v>-</v>
      </c>
      <c r="V913" s="161">
        <f t="shared" si="14"/>
        <v>0</v>
      </c>
      <c r="Y913" s="30"/>
      <c r="Z913" s="169">
        <f t="shared" si="2"/>
        <v>0</v>
      </c>
      <c r="AA913" s="167">
        <f t="shared" si="3"/>
        <v>0</v>
      </c>
      <c r="AB913" s="161"/>
      <c r="AC913" s="161">
        <f t="shared" si="4"/>
        <v>0</v>
      </c>
      <c r="AD913" s="161">
        <f t="shared" si="5"/>
        <v>0</v>
      </c>
      <c r="AE913" s="161">
        <f t="shared" si="6"/>
        <v>0</v>
      </c>
      <c r="AF913" s="167">
        <f t="shared" si="7"/>
        <v>0</v>
      </c>
      <c r="AG913" s="167">
        <f t="shared" si="8"/>
        <v>0</v>
      </c>
      <c r="AH913" s="158"/>
      <c r="AI913" s="158"/>
    </row>
    <row r="914" ht="12.75" customHeight="1">
      <c r="B914" s="160" t="str">
        <f>iferror(VLOOKUP((LEFT(A914,6)),CUSTOMER_DETAILS,2,FALSE),"-")</f>
        <v>-</v>
      </c>
      <c r="C914" s="161" t="s">
        <v>89</v>
      </c>
      <c r="D914" s="162"/>
      <c r="E914" s="161" t="s">
        <v>89</v>
      </c>
      <c r="F914" s="30" t="s">
        <v>89</v>
      </c>
      <c r="G914" s="30" t="s">
        <v>89</v>
      </c>
      <c r="H914" s="30" t="s">
        <v>89</v>
      </c>
      <c r="I914" s="48" t="s">
        <v>108</v>
      </c>
      <c r="J914" s="188" t="str">
        <f t="shared" si="15"/>
        <v/>
      </c>
      <c r="L914" s="48" t="s">
        <v>108</v>
      </c>
      <c r="O914" s="30" t="s">
        <v>89</v>
      </c>
      <c r="Q914" s="192"/>
      <c r="R914" s="161" t="str">
        <f>IFERROR(VLOOKUP(Q914,'PRODUCT TABLE'!$A$2:$B$26,2,FALSE),"-")</f>
        <v>-</v>
      </c>
      <c r="V914" s="161">
        <f t="shared" si="14"/>
        <v>0</v>
      </c>
      <c r="Y914" s="30"/>
      <c r="Z914" s="169">
        <f t="shared" si="2"/>
        <v>0</v>
      </c>
      <c r="AA914" s="167">
        <f t="shared" si="3"/>
        <v>0</v>
      </c>
      <c r="AB914" s="161"/>
      <c r="AC914" s="161">
        <f t="shared" si="4"/>
        <v>0</v>
      </c>
      <c r="AD914" s="161">
        <f t="shared" si="5"/>
        <v>0</v>
      </c>
      <c r="AE914" s="161">
        <f t="shared" si="6"/>
        <v>0</v>
      </c>
      <c r="AF914" s="167">
        <f t="shared" si="7"/>
        <v>0</v>
      </c>
      <c r="AG914" s="167">
        <f t="shared" si="8"/>
        <v>0</v>
      </c>
      <c r="AH914" s="158"/>
      <c r="AI914" s="158"/>
    </row>
    <row r="915" ht="12.75" customHeight="1">
      <c r="B915" s="160" t="str">
        <f>iferror(VLOOKUP((LEFT(A915,6)),CUSTOMER_DETAILS,2,FALSE),"-")</f>
        <v>-</v>
      </c>
      <c r="C915" s="161" t="s">
        <v>89</v>
      </c>
      <c r="D915" s="162"/>
      <c r="E915" s="161" t="s">
        <v>89</v>
      </c>
      <c r="F915" s="30" t="s">
        <v>89</v>
      </c>
      <c r="G915" s="30" t="s">
        <v>89</v>
      </c>
      <c r="H915" s="30" t="s">
        <v>89</v>
      </c>
      <c r="I915" s="48" t="s">
        <v>108</v>
      </c>
      <c r="J915" s="188" t="str">
        <f t="shared" si="15"/>
        <v/>
      </c>
      <c r="L915" s="48" t="s">
        <v>108</v>
      </c>
      <c r="O915" s="30" t="s">
        <v>89</v>
      </c>
      <c r="Q915" s="192"/>
      <c r="R915" s="161" t="str">
        <f>IFERROR(VLOOKUP(Q915,'PRODUCT TABLE'!$A$2:$B$26,2,FALSE),"-")</f>
        <v>-</v>
      </c>
      <c r="V915" s="161">
        <f t="shared" si="14"/>
        <v>0</v>
      </c>
      <c r="Y915" s="30"/>
      <c r="Z915" s="169">
        <f t="shared" si="2"/>
        <v>0</v>
      </c>
      <c r="AA915" s="167">
        <f t="shared" si="3"/>
        <v>0</v>
      </c>
      <c r="AB915" s="161"/>
      <c r="AC915" s="161">
        <f t="shared" si="4"/>
        <v>0</v>
      </c>
      <c r="AD915" s="161">
        <f t="shared" si="5"/>
        <v>0</v>
      </c>
      <c r="AE915" s="161">
        <f t="shared" si="6"/>
        <v>0</v>
      </c>
      <c r="AF915" s="167">
        <f t="shared" si="7"/>
        <v>0</v>
      </c>
      <c r="AG915" s="167">
        <f t="shared" si="8"/>
        <v>0</v>
      </c>
      <c r="AH915" s="158"/>
      <c r="AI915" s="158"/>
    </row>
    <row r="916" ht="12.75" customHeight="1">
      <c r="B916" s="160" t="str">
        <f>iferror(VLOOKUP((LEFT(A916,6)),CUSTOMER_DETAILS,2,FALSE),"-")</f>
        <v>-</v>
      </c>
      <c r="C916" s="161" t="s">
        <v>89</v>
      </c>
      <c r="D916" s="162"/>
      <c r="E916" s="161" t="s">
        <v>89</v>
      </c>
      <c r="F916" s="30" t="s">
        <v>89</v>
      </c>
      <c r="G916" s="30" t="s">
        <v>89</v>
      </c>
      <c r="H916" s="30" t="s">
        <v>89</v>
      </c>
      <c r="I916" s="48" t="s">
        <v>108</v>
      </c>
      <c r="J916" s="188" t="str">
        <f t="shared" si="15"/>
        <v/>
      </c>
      <c r="L916" s="48" t="s">
        <v>108</v>
      </c>
      <c r="O916" s="30" t="s">
        <v>89</v>
      </c>
      <c r="Q916" s="192"/>
      <c r="R916" s="161" t="str">
        <f>IFERROR(VLOOKUP(Q916,'PRODUCT TABLE'!$A$2:$B$26,2,FALSE),"-")</f>
        <v>-</v>
      </c>
      <c r="V916" s="161">
        <f t="shared" si="14"/>
        <v>0</v>
      </c>
      <c r="Y916" s="30"/>
      <c r="Z916" s="169">
        <f t="shared" si="2"/>
        <v>0</v>
      </c>
      <c r="AA916" s="167">
        <f t="shared" si="3"/>
        <v>0</v>
      </c>
      <c r="AB916" s="161"/>
      <c r="AC916" s="161">
        <f t="shared" si="4"/>
        <v>0</v>
      </c>
      <c r="AD916" s="161">
        <f t="shared" si="5"/>
        <v>0</v>
      </c>
      <c r="AE916" s="161">
        <f t="shared" si="6"/>
        <v>0</v>
      </c>
      <c r="AF916" s="167">
        <f t="shared" si="7"/>
        <v>0</v>
      </c>
      <c r="AG916" s="167">
        <f t="shared" si="8"/>
        <v>0</v>
      </c>
      <c r="AH916" s="158"/>
      <c r="AI916" s="158"/>
    </row>
    <row r="917" ht="12.75" customHeight="1">
      <c r="B917" s="160" t="str">
        <f>iferror(VLOOKUP((LEFT(A917,6)),CUSTOMER_DETAILS,2,FALSE),"-")</f>
        <v>-</v>
      </c>
      <c r="C917" s="161" t="s">
        <v>89</v>
      </c>
      <c r="D917" s="162"/>
      <c r="E917" s="161" t="s">
        <v>89</v>
      </c>
      <c r="F917" s="30" t="s">
        <v>89</v>
      </c>
      <c r="G917" s="30" t="s">
        <v>89</v>
      </c>
      <c r="H917" s="30" t="s">
        <v>89</v>
      </c>
      <c r="I917" s="48" t="s">
        <v>108</v>
      </c>
      <c r="J917" s="188" t="str">
        <f t="shared" si="15"/>
        <v/>
      </c>
      <c r="L917" s="48" t="s">
        <v>108</v>
      </c>
      <c r="O917" s="30" t="s">
        <v>89</v>
      </c>
      <c r="Q917" s="192"/>
      <c r="R917" s="161" t="str">
        <f>IFERROR(VLOOKUP(Q917,'PRODUCT TABLE'!$A$2:$B$26,2,FALSE),"-")</f>
        <v>-</v>
      </c>
      <c r="V917" s="161">
        <f t="shared" si="14"/>
        <v>0</v>
      </c>
      <c r="Y917" s="30"/>
      <c r="Z917" s="169">
        <f t="shared" si="2"/>
        <v>0</v>
      </c>
      <c r="AA917" s="167">
        <f t="shared" si="3"/>
        <v>0</v>
      </c>
      <c r="AB917" s="161"/>
      <c r="AC917" s="161">
        <f t="shared" si="4"/>
        <v>0</v>
      </c>
      <c r="AD917" s="161">
        <f t="shared" si="5"/>
        <v>0</v>
      </c>
      <c r="AE917" s="161">
        <f t="shared" si="6"/>
        <v>0</v>
      </c>
      <c r="AF917" s="167">
        <f t="shared" si="7"/>
        <v>0</v>
      </c>
      <c r="AG917" s="167">
        <f t="shared" si="8"/>
        <v>0</v>
      </c>
      <c r="AH917" s="158"/>
      <c r="AI917" s="158"/>
    </row>
    <row r="918" ht="12.75" customHeight="1">
      <c r="B918" s="160" t="str">
        <f>iferror(VLOOKUP((LEFT(A918,6)),CUSTOMER_DETAILS,2,FALSE),"-")</f>
        <v>-</v>
      </c>
      <c r="C918" s="161" t="s">
        <v>89</v>
      </c>
      <c r="D918" s="162"/>
      <c r="E918" s="161" t="s">
        <v>89</v>
      </c>
      <c r="F918" s="30" t="s">
        <v>89</v>
      </c>
      <c r="G918" s="30" t="s">
        <v>89</v>
      </c>
      <c r="H918" s="30" t="s">
        <v>89</v>
      </c>
      <c r="I918" s="48" t="s">
        <v>108</v>
      </c>
      <c r="J918" s="188" t="str">
        <f t="shared" si="15"/>
        <v/>
      </c>
      <c r="L918" s="48" t="s">
        <v>108</v>
      </c>
      <c r="O918" s="30" t="s">
        <v>89</v>
      </c>
      <c r="Q918" s="192"/>
      <c r="R918" s="161" t="str">
        <f>IFERROR(VLOOKUP(Q918,'PRODUCT TABLE'!$A$2:$B$26,2,FALSE),"-")</f>
        <v>-</v>
      </c>
      <c r="V918" s="161">
        <f t="shared" si="14"/>
        <v>0</v>
      </c>
      <c r="Y918" s="30"/>
      <c r="Z918" s="169">
        <f t="shared" si="2"/>
        <v>0</v>
      </c>
      <c r="AA918" s="167">
        <f t="shared" si="3"/>
        <v>0</v>
      </c>
      <c r="AB918" s="161"/>
      <c r="AC918" s="161">
        <f t="shared" si="4"/>
        <v>0</v>
      </c>
      <c r="AD918" s="161">
        <f t="shared" si="5"/>
        <v>0</v>
      </c>
      <c r="AE918" s="161">
        <f t="shared" si="6"/>
        <v>0</v>
      </c>
      <c r="AF918" s="167">
        <f t="shared" si="7"/>
        <v>0</v>
      </c>
      <c r="AG918" s="167">
        <f t="shared" si="8"/>
        <v>0</v>
      </c>
      <c r="AH918" s="158"/>
      <c r="AI918" s="158"/>
    </row>
    <row r="919" ht="12.75" customHeight="1">
      <c r="B919" s="160" t="str">
        <f>iferror(VLOOKUP((LEFT(A919,6)),CUSTOMER_DETAILS,2,FALSE),"-")</f>
        <v>-</v>
      </c>
      <c r="C919" s="161" t="s">
        <v>89</v>
      </c>
      <c r="D919" s="162"/>
      <c r="E919" s="161" t="s">
        <v>89</v>
      </c>
      <c r="F919" s="30" t="s">
        <v>89</v>
      </c>
      <c r="G919" s="30" t="s">
        <v>89</v>
      </c>
      <c r="H919" s="30" t="s">
        <v>89</v>
      </c>
      <c r="I919" s="48" t="s">
        <v>108</v>
      </c>
      <c r="J919" s="188" t="str">
        <f t="shared" si="15"/>
        <v/>
      </c>
      <c r="L919" s="48" t="s">
        <v>108</v>
      </c>
      <c r="O919" s="30" t="s">
        <v>89</v>
      </c>
      <c r="Q919" s="192"/>
      <c r="R919" s="161" t="str">
        <f>IFERROR(VLOOKUP(Q919,'PRODUCT TABLE'!$A$2:$B$26,2,FALSE),"-")</f>
        <v>-</v>
      </c>
      <c r="V919" s="161">
        <f t="shared" si="14"/>
        <v>0</v>
      </c>
      <c r="Y919" s="30"/>
      <c r="Z919" s="169">
        <f t="shared" si="2"/>
        <v>0</v>
      </c>
      <c r="AA919" s="167">
        <f t="shared" si="3"/>
        <v>0</v>
      </c>
      <c r="AB919" s="161"/>
      <c r="AC919" s="161">
        <f t="shared" si="4"/>
        <v>0</v>
      </c>
      <c r="AD919" s="161">
        <f t="shared" si="5"/>
        <v>0</v>
      </c>
      <c r="AE919" s="161">
        <f t="shared" si="6"/>
        <v>0</v>
      </c>
      <c r="AF919" s="167">
        <f t="shared" si="7"/>
        <v>0</v>
      </c>
      <c r="AG919" s="167">
        <f t="shared" si="8"/>
        <v>0</v>
      </c>
      <c r="AH919" s="158"/>
      <c r="AI919" s="158"/>
    </row>
    <row r="920" ht="12.75" customHeight="1">
      <c r="B920" s="160" t="str">
        <f>iferror(VLOOKUP((LEFT(A920,6)),CUSTOMER_DETAILS,2,FALSE),"-")</f>
        <v>-</v>
      </c>
      <c r="C920" s="161" t="s">
        <v>89</v>
      </c>
      <c r="D920" s="162"/>
      <c r="E920" s="161" t="s">
        <v>89</v>
      </c>
      <c r="F920" s="30" t="s">
        <v>89</v>
      </c>
      <c r="G920" s="30" t="s">
        <v>89</v>
      </c>
      <c r="H920" s="30" t="s">
        <v>89</v>
      </c>
      <c r="I920" s="48" t="s">
        <v>108</v>
      </c>
      <c r="J920" s="188" t="str">
        <f t="shared" si="15"/>
        <v/>
      </c>
      <c r="L920" s="48" t="s">
        <v>108</v>
      </c>
      <c r="O920" s="30" t="s">
        <v>89</v>
      </c>
      <c r="Q920" s="192"/>
      <c r="R920" s="161" t="str">
        <f>IFERROR(VLOOKUP(Q920,'PRODUCT TABLE'!$A$2:$B$26,2,FALSE),"-")</f>
        <v>-</v>
      </c>
      <c r="V920" s="161">
        <f t="shared" si="14"/>
        <v>0</v>
      </c>
      <c r="Y920" s="30"/>
      <c r="Z920" s="169">
        <f t="shared" si="2"/>
        <v>0</v>
      </c>
      <c r="AA920" s="167">
        <f t="shared" si="3"/>
        <v>0</v>
      </c>
      <c r="AB920" s="161"/>
      <c r="AC920" s="161">
        <f t="shared" si="4"/>
        <v>0</v>
      </c>
      <c r="AD920" s="161">
        <f t="shared" si="5"/>
        <v>0</v>
      </c>
      <c r="AE920" s="161">
        <f t="shared" si="6"/>
        <v>0</v>
      </c>
      <c r="AF920" s="167">
        <f t="shared" si="7"/>
        <v>0</v>
      </c>
      <c r="AG920" s="167">
        <f t="shared" si="8"/>
        <v>0</v>
      </c>
      <c r="AH920" s="158"/>
      <c r="AI920" s="158"/>
    </row>
    <row r="921" ht="12.75" customHeight="1">
      <c r="B921" s="160" t="str">
        <f>iferror(VLOOKUP((LEFT(A921,6)),CUSTOMER_DETAILS,2,FALSE),"-")</f>
        <v>-</v>
      </c>
      <c r="C921" s="161" t="s">
        <v>89</v>
      </c>
      <c r="D921" s="162"/>
      <c r="E921" s="161" t="s">
        <v>89</v>
      </c>
      <c r="F921" s="30" t="s">
        <v>89</v>
      </c>
      <c r="G921" s="30" t="s">
        <v>89</v>
      </c>
      <c r="H921" s="30" t="s">
        <v>89</v>
      </c>
      <c r="I921" s="48" t="s">
        <v>108</v>
      </c>
      <c r="J921" s="188" t="str">
        <f t="shared" si="15"/>
        <v/>
      </c>
      <c r="L921" s="48" t="s">
        <v>108</v>
      </c>
      <c r="O921" s="30" t="s">
        <v>89</v>
      </c>
      <c r="Q921" s="192"/>
      <c r="R921" s="161" t="str">
        <f>IFERROR(VLOOKUP(Q921,'PRODUCT TABLE'!$A$2:$B$26,2,FALSE),"-")</f>
        <v>-</v>
      </c>
      <c r="V921" s="161">
        <f t="shared" si="14"/>
        <v>0</v>
      </c>
      <c r="Y921" s="30"/>
      <c r="Z921" s="169">
        <f t="shared" si="2"/>
        <v>0</v>
      </c>
      <c r="AA921" s="167">
        <f t="shared" si="3"/>
        <v>0</v>
      </c>
      <c r="AB921" s="161"/>
      <c r="AC921" s="161">
        <f t="shared" si="4"/>
        <v>0</v>
      </c>
      <c r="AD921" s="161">
        <f t="shared" si="5"/>
        <v>0</v>
      </c>
      <c r="AE921" s="161">
        <f t="shared" si="6"/>
        <v>0</v>
      </c>
      <c r="AF921" s="167">
        <f t="shared" si="7"/>
        <v>0</v>
      </c>
      <c r="AG921" s="167">
        <f t="shared" si="8"/>
        <v>0</v>
      </c>
      <c r="AH921" s="158"/>
      <c r="AI921" s="158"/>
    </row>
    <row r="922" ht="12.75" customHeight="1">
      <c r="B922" s="160" t="str">
        <f>iferror(VLOOKUP((LEFT(A922,6)),CUSTOMER_DETAILS,2,FALSE),"-")</f>
        <v>-</v>
      </c>
      <c r="C922" s="161" t="s">
        <v>89</v>
      </c>
      <c r="D922" s="162"/>
      <c r="E922" s="161" t="s">
        <v>89</v>
      </c>
      <c r="F922" s="30" t="s">
        <v>89</v>
      </c>
      <c r="G922" s="30" t="s">
        <v>89</v>
      </c>
      <c r="H922" s="30" t="s">
        <v>89</v>
      </c>
      <c r="I922" s="48" t="s">
        <v>108</v>
      </c>
      <c r="J922" s="188" t="str">
        <f t="shared" si="15"/>
        <v/>
      </c>
      <c r="L922" s="48" t="s">
        <v>108</v>
      </c>
      <c r="O922" s="30" t="s">
        <v>89</v>
      </c>
      <c r="Q922" s="192"/>
      <c r="R922" s="161" t="str">
        <f>IFERROR(VLOOKUP(Q922,'PRODUCT TABLE'!$A$2:$B$26,2,FALSE),"-")</f>
        <v>-</v>
      </c>
      <c r="V922" s="161">
        <f t="shared" si="14"/>
        <v>0</v>
      </c>
      <c r="Y922" s="30"/>
      <c r="Z922" s="169">
        <f t="shared" si="2"/>
        <v>0</v>
      </c>
      <c r="AA922" s="167">
        <f t="shared" si="3"/>
        <v>0</v>
      </c>
      <c r="AB922" s="161"/>
      <c r="AC922" s="161">
        <f t="shared" si="4"/>
        <v>0</v>
      </c>
      <c r="AD922" s="161">
        <f t="shared" si="5"/>
        <v>0</v>
      </c>
      <c r="AE922" s="161">
        <f t="shared" si="6"/>
        <v>0</v>
      </c>
      <c r="AF922" s="167">
        <f t="shared" si="7"/>
        <v>0</v>
      </c>
      <c r="AG922" s="167">
        <f t="shared" si="8"/>
        <v>0</v>
      </c>
      <c r="AH922" s="158"/>
      <c r="AI922" s="158"/>
    </row>
    <row r="923" ht="12.75" customHeight="1">
      <c r="B923" s="160" t="str">
        <f>iferror(VLOOKUP((LEFT(A923,6)),CUSTOMER_DETAILS,2,FALSE),"-")</f>
        <v>-</v>
      </c>
      <c r="C923" s="161" t="s">
        <v>89</v>
      </c>
      <c r="D923" s="162"/>
      <c r="E923" s="161" t="s">
        <v>89</v>
      </c>
      <c r="F923" s="30" t="s">
        <v>89</v>
      </c>
      <c r="G923" s="30" t="s">
        <v>89</v>
      </c>
      <c r="H923" s="30" t="s">
        <v>89</v>
      </c>
      <c r="I923" s="48" t="s">
        <v>108</v>
      </c>
      <c r="J923" s="188" t="str">
        <f t="shared" si="15"/>
        <v/>
      </c>
      <c r="L923" s="48" t="s">
        <v>108</v>
      </c>
      <c r="O923" s="30" t="s">
        <v>89</v>
      </c>
      <c r="Q923" s="192"/>
      <c r="R923" s="161" t="str">
        <f>IFERROR(VLOOKUP(Q923,'PRODUCT TABLE'!$A$2:$B$26,2,FALSE),"-")</f>
        <v>-</v>
      </c>
      <c r="V923" s="161">
        <f t="shared" si="14"/>
        <v>0</v>
      </c>
      <c r="Y923" s="30"/>
      <c r="Z923" s="169">
        <f t="shared" si="2"/>
        <v>0</v>
      </c>
      <c r="AA923" s="167">
        <f t="shared" si="3"/>
        <v>0</v>
      </c>
      <c r="AB923" s="161"/>
      <c r="AC923" s="161">
        <f t="shared" si="4"/>
        <v>0</v>
      </c>
      <c r="AD923" s="161">
        <f t="shared" si="5"/>
        <v>0</v>
      </c>
      <c r="AE923" s="161">
        <f t="shared" si="6"/>
        <v>0</v>
      </c>
      <c r="AF923" s="167">
        <f t="shared" si="7"/>
        <v>0</v>
      </c>
      <c r="AG923" s="167">
        <f t="shared" si="8"/>
        <v>0</v>
      </c>
      <c r="AH923" s="158"/>
      <c r="AI923" s="158"/>
    </row>
    <row r="924" ht="12.75" customHeight="1">
      <c r="B924" s="160" t="str">
        <f>iferror(VLOOKUP((LEFT(A924,6)),CUSTOMER_DETAILS,2,FALSE),"-")</f>
        <v>-</v>
      </c>
      <c r="C924" s="161" t="s">
        <v>89</v>
      </c>
      <c r="D924" s="162"/>
      <c r="E924" s="161" t="s">
        <v>89</v>
      </c>
      <c r="F924" s="30" t="s">
        <v>89</v>
      </c>
      <c r="G924" s="30" t="s">
        <v>89</v>
      </c>
      <c r="H924" s="30" t="s">
        <v>89</v>
      </c>
      <c r="I924" s="48" t="s">
        <v>108</v>
      </c>
      <c r="J924" s="188" t="str">
        <f t="shared" si="15"/>
        <v/>
      </c>
      <c r="L924" s="48" t="s">
        <v>108</v>
      </c>
      <c r="O924" s="30" t="s">
        <v>89</v>
      </c>
      <c r="Q924" s="192"/>
      <c r="R924" s="161" t="str">
        <f>IFERROR(VLOOKUP(Q924,'PRODUCT TABLE'!$A$2:$B$26,2,FALSE),"-")</f>
        <v>-</v>
      </c>
      <c r="V924" s="161">
        <f t="shared" si="14"/>
        <v>0</v>
      </c>
      <c r="Y924" s="30"/>
      <c r="Z924" s="169">
        <f t="shared" si="2"/>
        <v>0</v>
      </c>
      <c r="AA924" s="167">
        <f t="shared" si="3"/>
        <v>0</v>
      </c>
      <c r="AB924" s="161"/>
      <c r="AC924" s="161">
        <f t="shared" si="4"/>
        <v>0</v>
      </c>
      <c r="AD924" s="161">
        <f t="shared" si="5"/>
        <v>0</v>
      </c>
      <c r="AE924" s="161">
        <f t="shared" si="6"/>
        <v>0</v>
      </c>
      <c r="AF924" s="167">
        <f t="shared" si="7"/>
        <v>0</v>
      </c>
      <c r="AG924" s="167">
        <f t="shared" si="8"/>
        <v>0</v>
      </c>
      <c r="AH924" s="158"/>
      <c r="AI924" s="158"/>
    </row>
    <row r="925" ht="12.75" customHeight="1">
      <c r="B925" s="160" t="str">
        <f>iferror(VLOOKUP((LEFT(A925,6)),CUSTOMER_DETAILS,2,FALSE),"-")</f>
        <v>-</v>
      </c>
      <c r="C925" s="161" t="s">
        <v>89</v>
      </c>
      <c r="D925" s="162"/>
      <c r="E925" s="161" t="s">
        <v>89</v>
      </c>
      <c r="F925" s="30" t="s">
        <v>89</v>
      </c>
      <c r="G925" s="30" t="s">
        <v>89</v>
      </c>
      <c r="H925" s="30" t="s">
        <v>89</v>
      </c>
      <c r="I925" s="48" t="s">
        <v>108</v>
      </c>
      <c r="J925" s="188" t="str">
        <f t="shared" si="15"/>
        <v/>
      </c>
      <c r="L925" s="48" t="s">
        <v>108</v>
      </c>
      <c r="O925" s="30" t="s">
        <v>89</v>
      </c>
      <c r="Q925" s="192"/>
      <c r="R925" s="161" t="str">
        <f>IFERROR(VLOOKUP(Q925,'PRODUCT TABLE'!$A$2:$B$26,2,FALSE),"-")</f>
        <v>-</v>
      </c>
      <c r="V925" s="161">
        <f t="shared" si="14"/>
        <v>0</v>
      </c>
      <c r="Y925" s="30"/>
      <c r="Z925" s="169">
        <f t="shared" si="2"/>
        <v>0</v>
      </c>
      <c r="AA925" s="167">
        <f t="shared" si="3"/>
        <v>0</v>
      </c>
      <c r="AB925" s="161"/>
      <c r="AC925" s="161">
        <f t="shared" si="4"/>
        <v>0</v>
      </c>
      <c r="AD925" s="161">
        <f t="shared" si="5"/>
        <v>0</v>
      </c>
      <c r="AE925" s="161">
        <f t="shared" si="6"/>
        <v>0</v>
      </c>
      <c r="AF925" s="167">
        <f t="shared" si="7"/>
        <v>0</v>
      </c>
      <c r="AG925" s="167">
        <f t="shared" si="8"/>
        <v>0</v>
      </c>
      <c r="AH925" s="158"/>
      <c r="AI925" s="158"/>
    </row>
    <row r="926" ht="12.75" customHeight="1">
      <c r="B926" s="160" t="str">
        <f>iferror(VLOOKUP((LEFT(A926,6)),CUSTOMER_DETAILS,2,FALSE),"-")</f>
        <v>-</v>
      </c>
      <c r="C926" s="161" t="s">
        <v>89</v>
      </c>
      <c r="D926" s="162"/>
      <c r="E926" s="161" t="s">
        <v>89</v>
      </c>
      <c r="F926" s="30" t="s">
        <v>89</v>
      </c>
      <c r="G926" s="30" t="s">
        <v>89</v>
      </c>
      <c r="H926" s="30" t="s">
        <v>89</v>
      </c>
      <c r="I926" s="48" t="s">
        <v>108</v>
      </c>
      <c r="J926" s="188" t="str">
        <f t="shared" si="15"/>
        <v/>
      </c>
      <c r="L926" s="48" t="s">
        <v>108</v>
      </c>
      <c r="O926" s="30" t="s">
        <v>89</v>
      </c>
      <c r="Q926" s="192"/>
      <c r="R926" s="161" t="str">
        <f>IFERROR(VLOOKUP(Q926,'PRODUCT TABLE'!$A$2:$B$26,2,FALSE),"-")</f>
        <v>-</v>
      </c>
      <c r="V926" s="161">
        <f t="shared" si="14"/>
        <v>0</v>
      </c>
      <c r="Y926" s="30"/>
      <c r="Z926" s="169">
        <f t="shared" si="2"/>
        <v>0</v>
      </c>
      <c r="AA926" s="167">
        <f t="shared" si="3"/>
        <v>0</v>
      </c>
      <c r="AB926" s="161"/>
      <c r="AC926" s="161">
        <f t="shared" si="4"/>
        <v>0</v>
      </c>
      <c r="AD926" s="161">
        <f t="shared" si="5"/>
        <v>0</v>
      </c>
      <c r="AE926" s="161">
        <f t="shared" si="6"/>
        <v>0</v>
      </c>
      <c r="AF926" s="167">
        <f t="shared" si="7"/>
        <v>0</v>
      </c>
      <c r="AG926" s="167">
        <f t="shared" si="8"/>
        <v>0</v>
      </c>
      <c r="AH926" s="158"/>
      <c r="AI926" s="158"/>
    </row>
    <row r="927" ht="12.75" customHeight="1">
      <c r="B927" s="160" t="str">
        <f>iferror(VLOOKUP((LEFT(A927,6)),CUSTOMER_DETAILS,2,FALSE),"-")</f>
        <v>-</v>
      </c>
      <c r="C927" s="161" t="s">
        <v>89</v>
      </c>
      <c r="D927" s="162"/>
      <c r="E927" s="161" t="s">
        <v>89</v>
      </c>
      <c r="F927" s="30" t="s">
        <v>89</v>
      </c>
      <c r="G927" s="30" t="s">
        <v>89</v>
      </c>
      <c r="H927" s="30" t="s">
        <v>89</v>
      </c>
      <c r="I927" s="48" t="s">
        <v>108</v>
      </c>
      <c r="J927" s="188" t="str">
        <f t="shared" si="15"/>
        <v/>
      </c>
      <c r="L927" s="48" t="s">
        <v>108</v>
      </c>
      <c r="O927" s="30" t="s">
        <v>89</v>
      </c>
      <c r="Q927" s="192"/>
      <c r="R927" s="161" t="str">
        <f>IFERROR(VLOOKUP(Q927,'PRODUCT TABLE'!$A$2:$B$26,2,FALSE),"-")</f>
        <v>-</v>
      </c>
      <c r="V927" s="161">
        <f t="shared" si="14"/>
        <v>0</v>
      </c>
      <c r="Y927" s="30"/>
      <c r="Z927" s="169">
        <f t="shared" si="2"/>
        <v>0</v>
      </c>
      <c r="AA927" s="167">
        <f t="shared" si="3"/>
        <v>0</v>
      </c>
      <c r="AB927" s="161"/>
      <c r="AC927" s="161">
        <f t="shared" si="4"/>
        <v>0</v>
      </c>
      <c r="AD927" s="161">
        <f t="shared" si="5"/>
        <v>0</v>
      </c>
      <c r="AE927" s="161">
        <f t="shared" si="6"/>
        <v>0</v>
      </c>
      <c r="AF927" s="167">
        <f t="shared" si="7"/>
        <v>0</v>
      </c>
      <c r="AG927" s="167">
        <f t="shared" si="8"/>
        <v>0</v>
      </c>
      <c r="AH927" s="158"/>
      <c r="AI927" s="158"/>
    </row>
    <row r="928" ht="12.75" customHeight="1">
      <c r="B928" s="160" t="str">
        <f>iferror(VLOOKUP((LEFT(A928,6)),CUSTOMER_DETAILS,2,FALSE),"-")</f>
        <v>-</v>
      </c>
      <c r="C928" s="161" t="s">
        <v>89</v>
      </c>
      <c r="D928" s="162"/>
      <c r="E928" s="161" t="s">
        <v>89</v>
      </c>
      <c r="F928" s="30" t="s">
        <v>89</v>
      </c>
      <c r="G928" s="30" t="s">
        <v>89</v>
      </c>
      <c r="H928" s="30" t="s">
        <v>89</v>
      </c>
      <c r="I928" s="48" t="s">
        <v>108</v>
      </c>
      <c r="J928" s="188" t="str">
        <f t="shared" si="15"/>
        <v/>
      </c>
      <c r="L928" s="48" t="s">
        <v>108</v>
      </c>
      <c r="O928" s="30" t="s">
        <v>89</v>
      </c>
      <c r="Q928" s="192"/>
      <c r="R928" s="161" t="str">
        <f>IFERROR(VLOOKUP(Q928,'PRODUCT TABLE'!$A$2:$B$26,2,FALSE),"-")</f>
        <v>-</v>
      </c>
      <c r="V928" s="161">
        <f t="shared" si="14"/>
        <v>0</v>
      </c>
      <c r="Y928" s="30"/>
      <c r="Z928" s="169">
        <f t="shared" si="2"/>
        <v>0</v>
      </c>
      <c r="AA928" s="167">
        <f t="shared" si="3"/>
        <v>0</v>
      </c>
      <c r="AB928" s="161"/>
      <c r="AC928" s="161">
        <f t="shared" si="4"/>
        <v>0</v>
      </c>
      <c r="AD928" s="161">
        <f t="shared" si="5"/>
        <v>0</v>
      </c>
      <c r="AE928" s="161">
        <f t="shared" si="6"/>
        <v>0</v>
      </c>
      <c r="AF928" s="167">
        <f t="shared" si="7"/>
        <v>0</v>
      </c>
      <c r="AG928" s="167">
        <f t="shared" si="8"/>
        <v>0</v>
      </c>
      <c r="AH928" s="158"/>
      <c r="AI928" s="158"/>
    </row>
    <row r="929" ht="12.75" customHeight="1">
      <c r="B929" s="160" t="str">
        <f>iferror(VLOOKUP((LEFT(A929,6)),CUSTOMER_DETAILS,2,FALSE),"-")</f>
        <v>-</v>
      </c>
      <c r="C929" s="161" t="s">
        <v>89</v>
      </c>
      <c r="D929" s="162"/>
      <c r="E929" s="161" t="s">
        <v>89</v>
      </c>
      <c r="F929" s="30" t="s">
        <v>89</v>
      </c>
      <c r="G929" s="30" t="s">
        <v>89</v>
      </c>
      <c r="H929" s="30" t="s">
        <v>89</v>
      </c>
      <c r="I929" s="48" t="s">
        <v>108</v>
      </c>
      <c r="J929" s="188" t="str">
        <f t="shared" si="15"/>
        <v/>
      </c>
      <c r="L929" s="48" t="s">
        <v>108</v>
      </c>
      <c r="O929" s="30" t="s">
        <v>89</v>
      </c>
      <c r="Q929" s="192"/>
      <c r="R929" s="161" t="str">
        <f>IFERROR(VLOOKUP(Q929,'PRODUCT TABLE'!$A$2:$B$26,2,FALSE),"-")</f>
        <v>-</v>
      </c>
      <c r="V929" s="161">
        <f t="shared" si="14"/>
        <v>0</v>
      </c>
      <c r="Y929" s="30"/>
      <c r="Z929" s="169">
        <f t="shared" si="2"/>
        <v>0</v>
      </c>
      <c r="AA929" s="167">
        <f t="shared" si="3"/>
        <v>0</v>
      </c>
      <c r="AB929" s="161"/>
      <c r="AC929" s="161">
        <f t="shared" si="4"/>
        <v>0</v>
      </c>
      <c r="AD929" s="161">
        <f t="shared" si="5"/>
        <v>0</v>
      </c>
      <c r="AE929" s="161">
        <f t="shared" si="6"/>
        <v>0</v>
      </c>
      <c r="AF929" s="167">
        <f t="shared" si="7"/>
        <v>0</v>
      </c>
      <c r="AG929" s="167">
        <f t="shared" si="8"/>
        <v>0</v>
      </c>
      <c r="AH929" s="158"/>
      <c r="AI929" s="158"/>
    </row>
    <row r="930" ht="12.75" customHeight="1">
      <c r="B930" s="160" t="str">
        <f>iferror(VLOOKUP((LEFT(A930,6)),CUSTOMER_DETAILS,2,FALSE),"-")</f>
        <v>-</v>
      </c>
      <c r="C930" s="161" t="s">
        <v>89</v>
      </c>
      <c r="D930" s="162"/>
      <c r="E930" s="161" t="s">
        <v>89</v>
      </c>
      <c r="F930" s="30" t="s">
        <v>89</v>
      </c>
      <c r="G930" s="30" t="s">
        <v>89</v>
      </c>
      <c r="H930" s="30" t="s">
        <v>89</v>
      </c>
      <c r="I930" s="48" t="s">
        <v>108</v>
      </c>
      <c r="J930" s="188" t="str">
        <f t="shared" si="15"/>
        <v/>
      </c>
      <c r="L930" s="48" t="s">
        <v>108</v>
      </c>
      <c r="O930" s="30" t="s">
        <v>89</v>
      </c>
      <c r="Q930" s="192"/>
      <c r="R930" s="161" t="str">
        <f>IFERROR(VLOOKUP(Q930,'PRODUCT TABLE'!$A$2:$B$26,2,FALSE),"-")</f>
        <v>-</v>
      </c>
      <c r="V930" s="161">
        <f t="shared" si="14"/>
        <v>0</v>
      </c>
      <c r="Y930" s="30"/>
      <c r="Z930" s="169">
        <f t="shared" si="2"/>
        <v>0</v>
      </c>
      <c r="AA930" s="167">
        <f t="shared" si="3"/>
        <v>0</v>
      </c>
      <c r="AB930" s="161"/>
      <c r="AC930" s="161">
        <f t="shared" si="4"/>
        <v>0</v>
      </c>
      <c r="AD930" s="161">
        <f t="shared" si="5"/>
        <v>0</v>
      </c>
      <c r="AE930" s="161">
        <f t="shared" si="6"/>
        <v>0</v>
      </c>
      <c r="AF930" s="167">
        <f t="shared" si="7"/>
        <v>0</v>
      </c>
      <c r="AG930" s="167">
        <f t="shared" si="8"/>
        <v>0</v>
      </c>
      <c r="AH930" s="158"/>
      <c r="AI930" s="158"/>
    </row>
    <row r="931" ht="12.75" customHeight="1">
      <c r="B931" s="160" t="str">
        <f>iferror(VLOOKUP((LEFT(A931,6)),CUSTOMER_DETAILS,2,FALSE),"-")</f>
        <v>-</v>
      </c>
      <c r="C931" s="161" t="s">
        <v>89</v>
      </c>
      <c r="D931" s="162"/>
      <c r="E931" s="161" t="s">
        <v>89</v>
      </c>
      <c r="F931" s="30" t="s">
        <v>89</v>
      </c>
      <c r="G931" s="30" t="s">
        <v>89</v>
      </c>
      <c r="H931" s="30" t="s">
        <v>89</v>
      </c>
      <c r="I931" s="48" t="s">
        <v>108</v>
      </c>
      <c r="J931" s="188" t="str">
        <f t="shared" si="15"/>
        <v/>
      </c>
      <c r="L931" s="48" t="s">
        <v>108</v>
      </c>
      <c r="O931" s="30" t="s">
        <v>89</v>
      </c>
      <c r="Q931" s="192"/>
      <c r="R931" s="161" t="str">
        <f>IFERROR(VLOOKUP(Q931,'PRODUCT TABLE'!$A$2:$B$26,2,FALSE),"-")</f>
        <v>-</v>
      </c>
      <c r="V931" s="161">
        <f t="shared" si="14"/>
        <v>0</v>
      </c>
      <c r="Y931" s="30"/>
      <c r="Z931" s="169">
        <f t="shared" si="2"/>
        <v>0</v>
      </c>
      <c r="AA931" s="167">
        <f t="shared" si="3"/>
        <v>0</v>
      </c>
      <c r="AB931" s="161"/>
      <c r="AC931" s="161">
        <f t="shared" si="4"/>
        <v>0</v>
      </c>
      <c r="AD931" s="161">
        <f t="shared" si="5"/>
        <v>0</v>
      </c>
      <c r="AE931" s="161">
        <f t="shared" si="6"/>
        <v>0</v>
      </c>
      <c r="AF931" s="167">
        <f t="shared" si="7"/>
        <v>0</v>
      </c>
      <c r="AG931" s="167">
        <f t="shared" si="8"/>
        <v>0</v>
      </c>
      <c r="AH931" s="158"/>
      <c r="AI931" s="158"/>
    </row>
    <row r="932" ht="12.75" customHeight="1">
      <c r="B932" s="160" t="str">
        <f>iferror(VLOOKUP((LEFT(A932,6)),CUSTOMER_DETAILS,2,FALSE),"-")</f>
        <v>-</v>
      </c>
      <c r="C932" s="161" t="s">
        <v>89</v>
      </c>
      <c r="D932" s="162"/>
      <c r="E932" s="161" t="s">
        <v>89</v>
      </c>
      <c r="F932" s="30" t="s">
        <v>89</v>
      </c>
      <c r="G932" s="30" t="s">
        <v>89</v>
      </c>
      <c r="H932" s="30" t="s">
        <v>89</v>
      </c>
      <c r="I932" s="48" t="s">
        <v>108</v>
      </c>
      <c r="J932" s="188" t="str">
        <f t="shared" si="15"/>
        <v/>
      </c>
      <c r="L932" s="48" t="s">
        <v>108</v>
      </c>
      <c r="O932" s="30" t="s">
        <v>89</v>
      </c>
      <c r="Q932" s="192"/>
      <c r="R932" s="161" t="str">
        <f>IFERROR(VLOOKUP(Q932,'PRODUCT TABLE'!$A$2:$B$26,2,FALSE),"-")</f>
        <v>-</v>
      </c>
      <c r="V932" s="161">
        <f t="shared" si="14"/>
        <v>0</v>
      </c>
      <c r="Y932" s="30"/>
      <c r="Z932" s="169">
        <f t="shared" si="2"/>
        <v>0</v>
      </c>
      <c r="AA932" s="167">
        <f t="shared" si="3"/>
        <v>0</v>
      </c>
      <c r="AB932" s="161"/>
      <c r="AC932" s="161">
        <f t="shared" si="4"/>
        <v>0</v>
      </c>
      <c r="AD932" s="161">
        <f t="shared" si="5"/>
        <v>0</v>
      </c>
      <c r="AE932" s="161">
        <f t="shared" si="6"/>
        <v>0</v>
      </c>
      <c r="AF932" s="167">
        <f t="shared" si="7"/>
        <v>0</v>
      </c>
      <c r="AG932" s="167">
        <f t="shared" si="8"/>
        <v>0</v>
      </c>
      <c r="AH932" s="158"/>
      <c r="AI932" s="158"/>
    </row>
    <row r="933" ht="12.75" customHeight="1">
      <c r="B933" s="160" t="str">
        <f>iferror(VLOOKUP((LEFT(A933,6)),CUSTOMER_DETAILS,2,FALSE),"-")</f>
        <v>-</v>
      </c>
      <c r="C933" s="161" t="s">
        <v>89</v>
      </c>
      <c r="D933" s="162"/>
      <c r="E933" s="161" t="s">
        <v>89</v>
      </c>
      <c r="F933" s="30" t="s">
        <v>89</v>
      </c>
      <c r="G933" s="30" t="s">
        <v>89</v>
      </c>
      <c r="H933" s="30" t="s">
        <v>89</v>
      </c>
      <c r="I933" s="48" t="s">
        <v>108</v>
      </c>
      <c r="J933" s="188" t="str">
        <f t="shared" si="15"/>
        <v/>
      </c>
      <c r="L933" s="48" t="s">
        <v>108</v>
      </c>
      <c r="O933" s="30" t="s">
        <v>89</v>
      </c>
      <c r="Q933" s="192"/>
      <c r="R933" s="161" t="str">
        <f>IFERROR(VLOOKUP(Q933,'PRODUCT TABLE'!$A$2:$B$26,2,FALSE),"-")</f>
        <v>-</v>
      </c>
      <c r="V933" s="161">
        <f t="shared" si="14"/>
        <v>0</v>
      </c>
      <c r="Y933" s="30"/>
      <c r="Z933" s="169">
        <f t="shared" si="2"/>
        <v>0</v>
      </c>
      <c r="AA933" s="167">
        <f t="shared" si="3"/>
        <v>0</v>
      </c>
      <c r="AB933" s="161"/>
      <c r="AC933" s="161">
        <f t="shared" si="4"/>
        <v>0</v>
      </c>
      <c r="AD933" s="161">
        <f t="shared" si="5"/>
        <v>0</v>
      </c>
      <c r="AE933" s="161">
        <f t="shared" si="6"/>
        <v>0</v>
      </c>
      <c r="AF933" s="167">
        <f t="shared" si="7"/>
        <v>0</v>
      </c>
      <c r="AG933" s="167">
        <f t="shared" si="8"/>
        <v>0</v>
      </c>
      <c r="AH933" s="158"/>
      <c r="AI933" s="158"/>
    </row>
    <row r="934" ht="12.75" customHeight="1">
      <c r="B934" s="160" t="str">
        <f>iferror(VLOOKUP((LEFT(A934,6)),CUSTOMER_DETAILS,2,FALSE),"-")</f>
        <v>-</v>
      </c>
      <c r="C934" s="161" t="s">
        <v>89</v>
      </c>
      <c r="D934" s="162"/>
      <c r="E934" s="161" t="s">
        <v>89</v>
      </c>
      <c r="F934" s="30" t="s">
        <v>89</v>
      </c>
      <c r="G934" s="30" t="s">
        <v>89</v>
      </c>
      <c r="H934" s="30" t="s">
        <v>89</v>
      </c>
      <c r="I934" s="48" t="s">
        <v>108</v>
      </c>
      <c r="J934" s="188" t="str">
        <f t="shared" si="15"/>
        <v/>
      </c>
      <c r="L934" s="48" t="s">
        <v>108</v>
      </c>
      <c r="O934" s="30" t="s">
        <v>89</v>
      </c>
      <c r="Q934" s="192"/>
      <c r="R934" s="161" t="str">
        <f>IFERROR(VLOOKUP(Q934,'PRODUCT TABLE'!$A$2:$B$26,2,FALSE),"-")</f>
        <v>-</v>
      </c>
      <c r="V934" s="161">
        <f t="shared" si="14"/>
        <v>0</v>
      </c>
      <c r="Y934" s="30"/>
      <c r="Z934" s="169">
        <f t="shared" si="2"/>
        <v>0</v>
      </c>
      <c r="AA934" s="167">
        <f t="shared" si="3"/>
        <v>0</v>
      </c>
      <c r="AB934" s="161"/>
      <c r="AC934" s="161">
        <f t="shared" si="4"/>
        <v>0</v>
      </c>
      <c r="AD934" s="161">
        <f t="shared" si="5"/>
        <v>0</v>
      </c>
      <c r="AE934" s="161">
        <f t="shared" si="6"/>
        <v>0</v>
      </c>
      <c r="AF934" s="167">
        <f t="shared" si="7"/>
        <v>0</v>
      </c>
      <c r="AG934" s="167">
        <f t="shared" si="8"/>
        <v>0</v>
      </c>
      <c r="AH934" s="158"/>
      <c r="AI934" s="158"/>
    </row>
    <row r="935" ht="12.75" customHeight="1">
      <c r="B935" s="160" t="str">
        <f>iferror(VLOOKUP((LEFT(A935,6)),CUSTOMER_DETAILS,2,FALSE),"-")</f>
        <v>-</v>
      </c>
      <c r="C935" s="161" t="s">
        <v>89</v>
      </c>
      <c r="D935" s="162"/>
      <c r="E935" s="161" t="s">
        <v>89</v>
      </c>
      <c r="F935" s="30" t="s">
        <v>89</v>
      </c>
      <c r="G935" s="30" t="s">
        <v>89</v>
      </c>
      <c r="H935" s="30" t="s">
        <v>89</v>
      </c>
      <c r="I935" s="48" t="s">
        <v>108</v>
      </c>
      <c r="J935" s="188" t="str">
        <f t="shared" si="15"/>
        <v/>
      </c>
      <c r="L935" s="48" t="s">
        <v>108</v>
      </c>
      <c r="O935" s="30" t="s">
        <v>89</v>
      </c>
      <c r="Q935" s="192"/>
      <c r="R935" s="161" t="str">
        <f>IFERROR(VLOOKUP(Q935,'PRODUCT TABLE'!$A$2:$B$26,2,FALSE),"-")</f>
        <v>-</v>
      </c>
      <c r="V935" s="161">
        <f t="shared" si="14"/>
        <v>0</v>
      </c>
      <c r="Y935" s="30"/>
      <c r="Z935" s="169">
        <f t="shared" si="2"/>
        <v>0</v>
      </c>
      <c r="AA935" s="167">
        <f t="shared" si="3"/>
        <v>0</v>
      </c>
      <c r="AB935" s="161"/>
      <c r="AC935" s="161">
        <f t="shared" si="4"/>
        <v>0</v>
      </c>
      <c r="AD935" s="161">
        <f t="shared" si="5"/>
        <v>0</v>
      </c>
      <c r="AE935" s="161">
        <f t="shared" si="6"/>
        <v>0</v>
      </c>
      <c r="AF935" s="167">
        <f t="shared" si="7"/>
        <v>0</v>
      </c>
      <c r="AG935" s="167">
        <f t="shared" si="8"/>
        <v>0</v>
      </c>
      <c r="AH935" s="158"/>
      <c r="AI935" s="158"/>
    </row>
    <row r="936" ht="12.75" customHeight="1">
      <c r="B936" s="160" t="str">
        <f>iferror(VLOOKUP((LEFT(A936,6)),CUSTOMER_DETAILS,2,FALSE),"-")</f>
        <v>-</v>
      </c>
      <c r="C936" s="161" t="s">
        <v>89</v>
      </c>
      <c r="D936" s="162"/>
      <c r="E936" s="161" t="s">
        <v>89</v>
      </c>
      <c r="F936" s="30" t="s">
        <v>89</v>
      </c>
      <c r="G936" s="30" t="s">
        <v>89</v>
      </c>
      <c r="H936" s="30" t="s">
        <v>89</v>
      </c>
      <c r="I936" s="48" t="s">
        <v>108</v>
      </c>
      <c r="J936" s="188" t="str">
        <f t="shared" si="15"/>
        <v/>
      </c>
      <c r="L936" s="48" t="s">
        <v>108</v>
      </c>
      <c r="O936" s="30" t="s">
        <v>89</v>
      </c>
      <c r="Q936" s="192"/>
      <c r="R936" s="161" t="str">
        <f>IFERROR(VLOOKUP(Q936,'PRODUCT TABLE'!$A$2:$B$26,2,FALSE),"-")</f>
        <v>-</v>
      </c>
      <c r="V936" s="161">
        <f t="shared" si="14"/>
        <v>0</v>
      </c>
      <c r="Y936" s="30"/>
      <c r="Z936" s="169">
        <f t="shared" si="2"/>
        <v>0</v>
      </c>
      <c r="AA936" s="167">
        <f t="shared" si="3"/>
        <v>0</v>
      </c>
      <c r="AB936" s="161"/>
      <c r="AC936" s="161">
        <f t="shared" si="4"/>
        <v>0</v>
      </c>
      <c r="AD936" s="161">
        <f t="shared" si="5"/>
        <v>0</v>
      </c>
      <c r="AE936" s="161">
        <f t="shared" si="6"/>
        <v>0</v>
      </c>
      <c r="AF936" s="167">
        <f t="shared" si="7"/>
        <v>0</v>
      </c>
      <c r="AG936" s="167">
        <f t="shared" si="8"/>
        <v>0</v>
      </c>
      <c r="AH936" s="158"/>
      <c r="AI936" s="158"/>
    </row>
    <row r="937" ht="12.75" customHeight="1">
      <c r="B937" s="160" t="str">
        <f>iferror(VLOOKUP((LEFT(A937,6)),CUSTOMER_DETAILS,2,FALSE),"-")</f>
        <v>-</v>
      </c>
      <c r="C937" s="161" t="s">
        <v>89</v>
      </c>
      <c r="D937" s="162"/>
      <c r="E937" s="161" t="s">
        <v>89</v>
      </c>
      <c r="F937" s="30" t="s">
        <v>89</v>
      </c>
      <c r="G937" s="30" t="s">
        <v>89</v>
      </c>
      <c r="H937" s="30" t="s">
        <v>89</v>
      </c>
      <c r="I937" s="48" t="s">
        <v>108</v>
      </c>
      <c r="J937" s="188" t="str">
        <f t="shared" si="15"/>
        <v/>
      </c>
      <c r="L937" s="48" t="s">
        <v>108</v>
      </c>
      <c r="O937" s="30" t="s">
        <v>89</v>
      </c>
      <c r="Q937" s="192"/>
      <c r="R937" s="161" t="str">
        <f>IFERROR(VLOOKUP(Q937,'PRODUCT TABLE'!$A$2:$B$26,2,FALSE),"-")</f>
        <v>-</v>
      </c>
      <c r="V937" s="161">
        <f t="shared" si="14"/>
        <v>0</v>
      </c>
      <c r="Y937" s="30"/>
      <c r="Z937" s="169">
        <f t="shared" si="2"/>
        <v>0</v>
      </c>
      <c r="AA937" s="167">
        <f t="shared" si="3"/>
        <v>0</v>
      </c>
      <c r="AB937" s="161"/>
      <c r="AC937" s="161">
        <f t="shared" si="4"/>
        <v>0</v>
      </c>
      <c r="AD937" s="161">
        <f t="shared" si="5"/>
        <v>0</v>
      </c>
      <c r="AE937" s="161">
        <f t="shared" si="6"/>
        <v>0</v>
      </c>
      <c r="AF937" s="167">
        <f t="shared" si="7"/>
        <v>0</v>
      </c>
      <c r="AG937" s="167">
        <f t="shared" si="8"/>
        <v>0</v>
      </c>
      <c r="AH937" s="158"/>
      <c r="AI937" s="158"/>
    </row>
    <row r="938" ht="12.75" customHeight="1">
      <c r="B938" s="160" t="str">
        <f>iferror(VLOOKUP((LEFT(A938,6)),CUSTOMER_DETAILS,2,FALSE),"-")</f>
        <v>-</v>
      </c>
      <c r="C938" s="161" t="s">
        <v>89</v>
      </c>
      <c r="D938" s="162"/>
      <c r="E938" s="161" t="s">
        <v>89</v>
      </c>
      <c r="F938" s="30" t="s">
        <v>89</v>
      </c>
      <c r="G938" s="30" t="s">
        <v>89</v>
      </c>
      <c r="H938" s="30" t="s">
        <v>89</v>
      </c>
      <c r="I938" s="48" t="s">
        <v>108</v>
      </c>
      <c r="J938" s="188" t="str">
        <f t="shared" si="15"/>
        <v/>
      </c>
      <c r="L938" s="48" t="s">
        <v>108</v>
      </c>
      <c r="O938" s="30" t="s">
        <v>89</v>
      </c>
      <c r="Q938" s="192"/>
      <c r="R938" s="161" t="str">
        <f>IFERROR(VLOOKUP(Q938,'PRODUCT TABLE'!$A$2:$B$26,2,FALSE),"-")</f>
        <v>-</v>
      </c>
      <c r="V938" s="161">
        <f t="shared" si="14"/>
        <v>0</v>
      </c>
      <c r="Y938" s="30"/>
      <c r="Z938" s="169">
        <f t="shared" si="2"/>
        <v>0</v>
      </c>
      <c r="AA938" s="167">
        <f t="shared" si="3"/>
        <v>0</v>
      </c>
      <c r="AB938" s="161"/>
      <c r="AC938" s="161">
        <f t="shared" si="4"/>
        <v>0</v>
      </c>
      <c r="AD938" s="161">
        <f t="shared" si="5"/>
        <v>0</v>
      </c>
      <c r="AE938" s="161">
        <f t="shared" si="6"/>
        <v>0</v>
      </c>
      <c r="AF938" s="167">
        <f t="shared" si="7"/>
        <v>0</v>
      </c>
      <c r="AG938" s="167">
        <f t="shared" si="8"/>
        <v>0</v>
      </c>
      <c r="AH938" s="158"/>
      <c r="AI938" s="158"/>
    </row>
    <row r="939" ht="12.75" customHeight="1">
      <c r="B939" s="160" t="str">
        <f>iferror(VLOOKUP((LEFT(A939,6)),CUSTOMER_DETAILS,2,FALSE),"-")</f>
        <v>-</v>
      </c>
      <c r="C939" s="161" t="s">
        <v>89</v>
      </c>
      <c r="D939" s="162"/>
      <c r="E939" s="161" t="s">
        <v>89</v>
      </c>
      <c r="F939" s="30" t="s">
        <v>89</v>
      </c>
      <c r="G939" s="30" t="s">
        <v>89</v>
      </c>
      <c r="H939" s="30" t="s">
        <v>89</v>
      </c>
      <c r="I939" s="48" t="s">
        <v>108</v>
      </c>
      <c r="J939" s="188" t="str">
        <f t="shared" si="15"/>
        <v/>
      </c>
      <c r="L939" s="48" t="s">
        <v>108</v>
      </c>
      <c r="O939" s="30" t="s">
        <v>89</v>
      </c>
      <c r="Q939" s="192"/>
      <c r="R939" s="161" t="str">
        <f>IFERROR(VLOOKUP(Q939,'PRODUCT TABLE'!$A$2:$B$26,2,FALSE),"-")</f>
        <v>-</v>
      </c>
      <c r="V939" s="161">
        <f t="shared" si="14"/>
        <v>0</v>
      </c>
      <c r="Y939" s="30"/>
      <c r="Z939" s="169">
        <f t="shared" si="2"/>
        <v>0</v>
      </c>
      <c r="AA939" s="167">
        <f t="shared" si="3"/>
        <v>0</v>
      </c>
      <c r="AB939" s="161"/>
      <c r="AC939" s="161">
        <f t="shared" si="4"/>
        <v>0</v>
      </c>
      <c r="AD939" s="161">
        <f t="shared" si="5"/>
        <v>0</v>
      </c>
      <c r="AE939" s="161">
        <f t="shared" si="6"/>
        <v>0</v>
      </c>
      <c r="AF939" s="167">
        <f t="shared" si="7"/>
        <v>0</v>
      </c>
      <c r="AG939" s="167">
        <f t="shared" si="8"/>
        <v>0</v>
      </c>
      <c r="AH939" s="158"/>
      <c r="AI939" s="158"/>
    </row>
    <row r="940" ht="12.75" customHeight="1">
      <c r="B940" s="160" t="str">
        <f>iferror(VLOOKUP((LEFT(A940,6)),CUSTOMER_DETAILS,2,FALSE),"-")</f>
        <v>-</v>
      </c>
      <c r="C940" s="161" t="s">
        <v>89</v>
      </c>
      <c r="D940" s="162"/>
      <c r="E940" s="161" t="s">
        <v>89</v>
      </c>
      <c r="F940" s="30" t="s">
        <v>89</v>
      </c>
      <c r="G940" s="30" t="s">
        <v>89</v>
      </c>
      <c r="H940" s="30" t="s">
        <v>89</v>
      </c>
      <c r="I940" s="48" t="s">
        <v>108</v>
      </c>
      <c r="J940" s="188" t="str">
        <f t="shared" si="15"/>
        <v/>
      </c>
      <c r="L940" s="48" t="s">
        <v>108</v>
      </c>
      <c r="O940" s="30" t="s">
        <v>89</v>
      </c>
      <c r="Q940" s="192"/>
      <c r="R940" s="161" t="str">
        <f>IFERROR(VLOOKUP(Q940,'PRODUCT TABLE'!$A$2:$B$26,2,FALSE),"-")</f>
        <v>-</v>
      </c>
      <c r="V940" s="161">
        <f t="shared" si="14"/>
        <v>0</v>
      </c>
      <c r="Y940" s="30"/>
      <c r="Z940" s="169">
        <f t="shared" si="2"/>
        <v>0</v>
      </c>
      <c r="AA940" s="167">
        <f t="shared" si="3"/>
        <v>0</v>
      </c>
      <c r="AB940" s="161"/>
      <c r="AC940" s="161">
        <f t="shared" si="4"/>
        <v>0</v>
      </c>
      <c r="AD940" s="161">
        <f t="shared" si="5"/>
        <v>0</v>
      </c>
      <c r="AE940" s="161">
        <f t="shared" si="6"/>
        <v>0</v>
      </c>
      <c r="AF940" s="167">
        <f t="shared" si="7"/>
        <v>0</v>
      </c>
      <c r="AG940" s="167">
        <f t="shared" si="8"/>
        <v>0</v>
      </c>
      <c r="AH940" s="158"/>
      <c r="AI940" s="158"/>
    </row>
    <row r="941" ht="12.75" customHeight="1">
      <c r="B941" s="160" t="str">
        <f>iferror(VLOOKUP((LEFT(A941,6)),CUSTOMER_DETAILS,2,FALSE),"-")</f>
        <v>-</v>
      </c>
      <c r="C941" s="161" t="s">
        <v>89</v>
      </c>
      <c r="D941" s="162"/>
      <c r="E941" s="161" t="s">
        <v>89</v>
      </c>
      <c r="F941" s="30" t="s">
        <v>89</v>
      </c>
      <c r="G941" s="30" t="s">
        <v>89</v>
      </c>
      <c r="H941" s="30" t="s">
        <v>89</v>
      </c>
      <c r="I941" s="48" t="s">
        <v>108</v>
      </c>
      <c r="J941" s="188" t="str">
        <f t="shared" si="15"/>
        <v/>
      </c>
      <c r="L941" s="48" t="s">
        <v>108</v>
      </c>
      <c r="O941" s="30" t="s">
        <v>89</v>
      </c>
      <c r="Q941" s="192"/>
      <c r="R941" s="161" t="str">
        <f>IFERROR(VLOOKUP(Q941,'PRODUCT TABLE'!$A$2:$B$26,2,FALSE),"-")</f>
        <v>-</v>
      </c>
      <c r="V941" s="161">
        <f t="shared" si="14"/>
        <v>0</v>
      </c>
      <c r="Y941" s="30"/>
      <c r="Z941" s="169">
        <f t="shared" si="2"/>
        <v>0</v>
      </c>
      <c r="AA941" s="167">
        <f t="shared" si="3"/>
        <v>0</v>
      </c>
      <c r="AB941" s="161"/>
      <c r="AC941" s="161">
        <f t="shared" si="4"/>
        <v>0</v>
      </c>
      <c r="AD941" s="161">
        <f t="shared" si="5"/>
        <v>0</v>
      </c>
      <c r="AE941" s="161">
        <f t="shared" si="6"/>
        <v>0</v>
      </c>
      <c r="AF941" s="167">
        <f t="shared" si="7"/>
        <v>0</v>
      </c>
      <c r="AG941" s="167">
        <f t="shared" si="8"/>
        <v>0</v>
      </c>
      <c r="AH941" s="158"/>
      <c r="AI941" s="158"/>
    </row>
    <row r="942" ht="12.75" customHeight="1">
      <c r="B942" s="160" t="str">
        <f>iferror(VLOOKUP((LEFT(A942,6)),CUSTOMER_DETAILS,2,FALSE),"-")</f>
        <v>-</v>
      </c>
      <c r="C942" s="161" t="s">
        <v>89</v>
      </c>
      <c r="D942" s="162"/>
      <c r="E942" s="161" t="s">
        <v>89</v>
      </c>
      <c r="F942" s="30" t="s">
        <v>89</v>
      </c>
      <c r="G942" s="30" t="s">
        <v>89</v>
      </c>
      <c r="H942" s="30" t="s">
        <v>89</v>
      </c>
      <c r="I942" s="48" t="s">
        <v>108</v>
      </c>
      <c r="J942" s="188" t="str">
        <f t="shared" si="15"/>
        <v/>
      </c>
      <c r="L942" s="48" t="s">
        <v>108</v>
      </c>
      <c r="O942" s="30" t="s">
        <v>89</v>
      </c>
      <c r="Q942" s="192"/>
      <c r="R942" s="161" t="str">
        <f>IFERROR(VLOOKUP(Q942,'PRODUCT TABLE'!$A$2:$B$26,2,FALSE),"-")</f>
        <v>-</v>
      </c>
      <c r="V942" s="161">
        <f t="shared" si="14"/>
        <v>0</v>
      </c>
      <c r="Y942" s="30"/>
      <c r="Z942" s="169">
        <f t="shared" si="2"/>
        <v>0</v>
      </c>
      <c r="AA942" s="167">
        <f t="shared" si="3"/>
        <v>0</v>
      </c>
      <c r="AB942" s="161"/>
      <c r="AC942" s="161">
        <f t="shared" si="4"/>
        <v>0</v>
      </c>
      <c r="AD942" s="161">
        <f t="shared" si="5"/>
        <v>0</v>
      </c>
      <c r="AE942" s="161">
        <f t="shared" si="6"/>
        <v>0</v>
      </c>
      <c r="AF942" s="167">
        <f t="shared" si="7"/>
        <v>0</v>
      </c>
      <c r="AG942" s="167">
        <f t="shared" si="8"/>
        <v>0</v>
      </c>
      <c r="AH942" s="158"/>
      <c r="AI942" s="158"/>
    </row>
    <row r="943" ht="12.75" customHeight="1">
      <c r="B943" s="160" t="str">
        <f>iferror(VLOOKUP((LEFT(A943,6)),CUSTOMER_DETAILS,2,FALSE),"-")</f>
        <v>-</v>
      </c>
      <c r="C943" s="161" t="s">
        <v>89</v>
      </c>
      <c r="D943" s="162"/>
      <c r="E943" s="161" t="s">
        <v>89</v>
      </c>
      <c r="F943" s="30" t="s">
        <v>89</v>
      </c>
      <c r="G943" s="30" t="s">
        <v>89</v>
      </c>
      <c r="H943" s="30" t="s">
        <v>89</v>
      </c>
      <c r="I943" s="48" t="s">
        <v>108</v>
      </c>
      <c r="J943" s="188" t="str">
        <f t="shared" si="15"/>
        <v/>
      </c>
      <c r="L943" s="48" t="s">
        <v>108</v>
      </c>
      <c r="O943" s="30" t="s">
        <v>89</v>
      </c>
      <c r="Q943" s="192"/>
      <c r="R943" s="161" t="str">
        <f>IFERROR(VLOOKUP(Q943,'PRODUCT TABLE'!$A$2:$B$26,2,FALSE),"-")</f>
        <v>-</v>
      </c>
      <c r="V943" s="161">
        <f t="shared" si="14"/>
        <v>0</v>
      </c>
      <c r="Y943" s="30"/>
      <c r="Z943" s="169">
        <f t="shared" si="2"/>
        <v>0</v>
      </c>
      <c r="AA943" s="167">
        <f t="shared" si="3"/>
        <v>0</v>
      </c>
      <c r="AB943" s="161"/>
      <c r="AC943" s="161">
        <f t="shared" si="4"/>
        <v>0</v>
      </c>
      <c r="AD943" s="161">
        <f t="shared" si="5"/>
        <v>0</v>
      </c>
      <c r="AE943" s="161">
        <f t="shared" si="6"/>
        <v>0</v>
      </c>
      <c r="AF943" s="167">
        <f t="shared" si="7"/>
        <v>0</v>
      </c>
      <c r="AG943" s="167">
        <f t="shared" si="8"/>
        <v>0</v>
      </c>
      <c r="AH943" s="158"/>
      <c r="AI943" s="158"/>
    </row>
    <row r="944" ht="12.75" customHeight="1">
      <c r="B944" s="160" t="str">
        <f>iferror(VLOOKUP((LEFT(A944,6)),CUSTOMER_DETAILS,2,FALSE),"-")</f>
        <v>-</v>
      </c>
      <c r="C944" s="161" t="s">
        <v>89</v>
      </c>
      <c r="D944" s="162"/>
      <c r="E944" s="161" t="s">
        <v>89</v>
      </c>
      <c r="F944" s="30" t="s">
        <v>89</v>
      </c>
      <c r="G944" s="30" t="s">
        <v>89</v>
      </c>
      <c r="H944" s="30" t="s">
        <v>89</v>
      </c>
      <c r="I944" s="48" t="s">
        <v>108</v>
      </c>
      <c r="J944" s="188" t="str">
        <f t="shared" si="15"/>
        <v/>
      </c>
      <c r="L944" s="48" t="s">
        <v>108</v>
      </c>
      <c r="O944" s="30" t="s">
        <v>89</v>
      </c>
      <c r="Q944" s="192"/>
      <c r="R944" s="161" t="str">
        <f>IFERROR(VLOOKUP(Q944,'PRODUCT TABLE'!$A$2:$B$26,2,FALSE),"-")</f>
        <v>-</v>
      </c>
      <c r="V944" s="161">
        <f t="shared" si="14"/>
        <v>0</v>
      </c>
      <c r="Y944" s="30"/>
      <c r="Z944" s="169">
        <f t="shared" si="2"/>
        <v>0</v>
      </c>
      <c r="AA944" s="167">
        <f t="shared" si="3"/>
        <v>0</v>
      </c>
      <c r="AB944" s="161"/>
      <c r="AC944" s="161">
        <f t="shared" si="4"/>
        <v>0</v>
      </c>
      <c r="AD944" s="161">
        <f t="shared" si="5"/>
        <v>0</v>
      </c>
      <c r="AE944" s="161">
        <f t="shared" si="6"/>
        <v>0</v>
      </c>
      <c r="AF944" s="167">
        <f t="shared" si="7"/>
        <v>0</v>
      </c>
      <c r="AG944" s="167">
        <f t="shared" si="8"/>
        <v>0</v>
      </c>
      <c r="AH944" s="158"/>
      <c r="AI944" s="158"/>
    </row>
    <row r="945" ht="12.75" customHeight="1">
      <c r="B945" s="160" t="str">
        <f>iferror(VLOOKUP((LEFT(A945,6)),CUSTOMER_DETAILS,2,FALSE),"-")</f>
        <v>-</v>
      </c>
      <c r="C945" s="161" t="s">
        <v>89</v>
      </c>
      <c r="D945" s="162"/>
      <c r="E945" s="161" t="s">
        <v>89</v>
      </c>
      <c r="F945" s="30" t="s">
        <v>89</v>
      </c>
      <c r="G945" s="30" t="s">
        <v>89</v>
      </c>
      <c r="H945" s="30" t="s">
        <v>89</v>
      </c>
      <c r="I945" s="48" t="s">
        <v>108</v>
      </c>
      <c r="J945" s="188" t="str">
        <f t="shared" si="15"/>
        <v/>
      </c>
      <c r="L945" s="48" t="s">
        <v>108</v>
      </c>
      <c r="O945" s="30" t="s">
        <v>89</v>
      </c>
      <c r="Q945" s="192"/>
      <c r="R945" s="161" t="str">
        <f>IFERROR(VLOOKUP(Q945,'PRODUCT TABLE'!$A$2:$B$26,2,FALSE),"-")</f>
        <v>-</v>
      </c>
      <c r="V945" s="161">
        <f t="shared" si="14"/>
        <v>0</v>
      </c>
      <c r="Y945" s="30"/>
      <c r="Z945" s="169">
        <f t="shared" si="2"/>
        <v>0</v>
      </c>
      <c r="AA945" s="167">
        <f t="shared" si="3"/>
        <v>0</v>
      </c>
      <c r="AB945" s="161"/>
      <c r="AC945" s="161">
        <f t="shared" si="4"/>
        <v>0</v>
      </c>
      <c r="AD945" s="161">
        <f t="shared" si="5"/>
        <v>0</v>
      </c>
      <c r="AE945" s="161">
        <f t="shared" si="6"/>
        <v>0</v>
      </c>
      <c r="AF945" s="167">
        <f t="shared" si="7"/>
        <v>0</v>
      </c>
      <c r="AG945" s="167">
        <f t="shared" si="8"/>
        <v>0</v>
      </c>
      <c r="AH945" s="158"/>
      <c r="AI945" s="158"/>
    </row>
    <row r="946" ht="12.75" customHeight="1">
      <c r="B946" s="160" t="str">
        <f>iferror(VLOOKUP((LEFT(A946,6)),CUSTOMER_DETAILS,2,FALSE),"-")</f>
        <v>-</v>
      </c>
      <c r="C946" s="161" t="s">
        <v>89</v>
      </c>
      <c r="D946" s="162"/>
      <c r="E946" s="161" t="s">
        <v>89</v>
      </c>
      <c r="F946" s="30" t="s">
        <v>89</v>
      </c>
      <c r="G946" s="30" t="s">
        <v>89</v>
      </c>
      <c r="H946" s="30" t="s">
        <v>89</v>
      </c>
      <c r="I946" s="48" t="s">
        <v>108</v>
      </c>
      <c r="J946" s="188" t="str">
        <f t="shared" si="15"/>
        <v/>
      </c>
      <c r="L946" s="48" t="s">
        <v>108</v>
      </c>
      <c r="O946" s="30" t="s">
        <v>89</v>
      </c>
      <c r="Q946" s="192"/>
      <c r="R946" s="161" t="str">
        <f>IFERROR(VLOOKUP(Q946,'PRODUCT TABLE'!$A$2:$B$26,2,FALSE),"-")</f>
        <v>-</v>
      </c>
      <c r="V946" s="161">
        <f t="shared" si="14"/>
        <v>0</v>
      </c>
      <c r="Y946" s="30"/>
      <c r="Z946" s="169">
        <f t="shared" si="2"/>
        <v>0</v>
      </c>
      <c r="AA946" s="167">
        <f t="shared" si="3"/>
        <v>0</v>
      </c>
      <c r="AB946" s="161"/>
      <c r="AC946" s="161">
        <f t="shared" si="4"/>
        <v>0</v>
      </c>
      <c r="AD946" s="161">
        <f t="shared" si="5"/>
        <v>0</v>
      </c>
      <c r="AE946" s="161">
        <f t="shared" si="6"/>
        <v>0</v>
      </c>
      <c r="AF946" s="167">
        <f t="shared" si="7"/>
        <v>0</v>
      </c>
      <c r="AG946" s="167">
        <f t="shared" si="8"/>
        <v>0</v>
      </c>
      <c r="AH946" s="158"/>
      <c r="AI946" s="158"/>
    </row>
    <row r="947" ht="12.75" customHeight="1">
      <c r="B947" s="160" t="str">
        <f>iferror(VLOOKUP((LEFT(A947,6)),CUSTOMER_DETAILS,2,FALSE),"-")</f>
        <v>-</v>
      </c>
      <c r="C947" s="161" t="s">
        <v>89</v>
      </c>
      <c r="D947" s="162"/>
      <c r="E947" s="161" t="s">
        <v>89</v>
      </c>
      <c r="F947" s="30" t="s">
        <v>89</v>
      </c>
      <c r="G947" s="30" t="s">
        <v>89</v>
      </c>
      <c r="H947" s="30" t="s">
        <v>89</v>
      </c>
      <c r="I947" s="48" t="s">
        <v>108</v>
      </c>
      <c r="J947" s="188" t="str">
        <f t="shared" si="15"/>
        <v/>
      </c>
      <c r="L947" s="48" t="s">
        <v>108</v>
      </c>
      <c r="O947" s="30" t="s">
        <v>89</v>
      </c>
      <c r="Q947" s="192"/>
      <c r="R947" s="161" t="str">
        <f>IFERROR(VLOOKUP(Q947,'PRODUCT TABLE'!$A$2:$B$26,2,FALSE),"-")</f>
        <v>-</v>
      </c>
      <c r="V947" s="161">
        <f t="shared" si="14"/>
        <v>0</v>
      </c>
      <c r="Y947" s="30"/>
      <c r="Z947" s="169">
        <f t="shared" si="2"/>
        <v>0</v>
      </c>
      <c r="AA947" s="167">
        <f t="shared" si="3"/>
        <v>0</v>
      </c>
      <c r="AB947" s="161"/>
      <c r="AC947" s="161">
        <f t="shared" si="4"/>
        <v>0</v>
      </c>
      <c r="AD947" s="161">
        <f t="shared" si="5"/>
        <v>0</v>
      </c>
      <c r="AE947" s="161">
        <f t="shared" si="6"/>
        <v>0</v>
      </c>
      <c r="AF947" s="167">
        <f t="shared" si="7"/>
        <v>0</v>
      </c>
      <c r="AG947" s="167">
        <f t="shared" si="8"/>
        <v>0</v>
      </c>
      <c r="AH947" s="158"/>
      <c r="AI947" s="158"/>
    </row>
    <row r="948" ht="12.75" customHeight="1">
      <c r="B948" s="160" t="str">
        <f>iferror(VLOOKUP((LEFT(A948,6)),CUSTOMER_DETAILS,2,FALSE),"-")</f>
        <v>-</v>
      </c>
      <c r="C948" s="161" t="s">
        <v>89</v>
      </c>
      <c r="D948" s="162"/>
      <c r="E948" s="161" t="s">
        <v>89</v>
      </c>
      <c r="F948" s="30" t="s">
        <v>89</v>
      </c>
      <c r="G948" s="30" t="s">
        <v>89</v>
      </c>
      <c r="H948" s="30" t="s">
        <v>89</v>
      </c>
      <c r="I948" s="48" t="s">
        <v>108</v>
      </c>
      <c r="J948" s="188" t="str">
        <f t="shared" si="15"/>
        <v/>
      </c>
      <c r="L948" s="48" t="s">
        <v>108</v>
      </c>
      <c r="O948" s="30" t="s">
        <v>89</v>
      </c>
      <c r="Q948" s="192"/>
      <c r="R948" s="161" t="str">
        <f>IFERROR(VLOOKUP(Q948,'PRODUCT TABLE'!$A$2:$B$26,2,FALSE),"-")</f>
        <v>-</v>
      </c>
      <c r="V948" s="161">
        <f t="shared" si="14"/>
        <v>0</v>
      </c>
      <c r="Y948" s="30"/>
      <c r="Z948" s="169">
        <f t="shared" si="2"/>
        <v>0</v>
      </c>
      <c r="AA948" s="167">
        <f t="shared" si="3"/>
        <v>0</v>
      </c>
      <c r="AB948" s="161"/>
      <c r="AC948" s="161">
        <f t="shared" si="4"/>
        <v>0</v>
      </c>
      <c r="AD948" s="161">
        <f t="shared" si="5"/>
        <v>0</v>
      </c>
      <c r="AE948" s="161">
        <f t="shared" si="6"/>
        <v>0</v>
      </c>
      <c r="AF948" s="167">
        <f t="shared" si="7"/>
        <v>0</v>
      </c>
      <c r="AG948" s="167">
        <f t="shared" si="8"/>
        <v>0</v>
      </c>
      <c r="AH948" s="158"/>
      <c r="AI948" s="158"/>
    </row>
    <row r="949" ht="12.75" customHeight="1">
      <c r="B949" s="160" t="str">
        <f>iferror(VLOOKUP((LEFT(A949,6)),CUSTOMER_DETAILS,2,FALSE),"-")</f>
        <v>-</v>
      </c>
      <c r="C949" s="161" t="s">
        <v>89</v>
      </c>
      <c r="D949" s="162"/>
      <c r="E949" s="161" t="s">
        <v>89</v>
      </c>
      <c r="F949" s="30" t="s">
        <v>89</v>
      </c>
      <c r="G949" s="30" t="s">
        <v>89</v>
      </c>
      <c r="H949" s="30" t="s">
        <v>89</v>
      </c>
      <c r="I949" s="48" t="s">
        <v>108</v>
      </c>
      <c r="J949" s="188" t="str">
        <f t="shared" si="15"/>
        <v/>
      </c>
      <c r="L949" s="48" t="s">
        <v>108</v>
      </c>
      <c r="O949" s="30" t="s">
        <v>89</v>
      </c>
      <c r="Q949" s="192"/>
      <c r="R949" s="161" t="str">
        <f>IFERROR(VLOOKUP(Q949,'PRODUCT TABLE'!$A$2:$B$26,2,FALSE),"-")</f>
        <v>-</v>
      </c>
      <c r="V949" s="161">
        <f t="shared" si="14"/>
        <v>0</v>
      </c>
      <c r="Y949" s="30"/>
      <c r="Z949" s="169">
        <f t="shared" si="2"/>
        <v>0</v>
      </c>
      <c r="AA949" s="167">
        <f t="shared" si="3"/>
        <v>0</v>
      </c>
      <c r="AB949" s="161"/>
      <c r="AC949" s="161">
        <f t="shared" si="4"/>
        <v>0</v>
      </c>
      <c r="AD949" s="161">
        <f t="shared" si="5"/>
        <v>0</v>
      </c>
      <c r="AE949" s="161">
        <f t="shared" si="6"/>
        <v>0</v>
      </c>
      <c r="AF949" s="167">
        <f t="shared" si="7"/>
        <v>0</v>
      </c>
      <c r="AG949" s="167">
        <f t="shared" si="8"/>
        <v>0</v>
      </c>
      <c r="AH949" s="158"/>
      <c r="AI949" s="158"/>
    </row>
    <row r="950" ht="12.75" customHeight="1">
      <c r="B950" s="160" t="str">
        <f>iferror(VLOOKUP((LEFT(A950,6)),CUSTOMER_DETAILS,2,FALSE),"-")</f>
        <v>-</v>
      </c>
      <c r="C950" s="161" t="s">
        <v>89</v>
      </c>
      <c r="D950" s="162"/>
      <c r="E950" s="161" t="s">
        <v>89</v>
      </c>
      <c r="F950" s="30" t="s">
        <v>89</v>
      </c>
      <c r="G950" s="30" t="s">
        <v>89</v>
      </c>
      <c r="H950" s="30" t="s">
        <v>89</v>
      </c>
      <c r="I950" s="48" t="s">
        <v>108</v>
      </c>
      <c r="J950" s="188" t="str">
        <f t="shared" si="15"/>
        <v/>
      </c>
      <c r="L950" s="48" t="s">
        <v>108</v>
      </c>
      <c r="O950" s="30" t="s">
        <v>89</v>
      </c>
      <c r="Q950" s="192"/>
      <c r="R950" s="161" t="str">
        <f>IFERROR(VLOOKUP(Q950,'PRODUCT TABLE'!$A$2:$B$26,2,FALSE),"-")</f>
        <v>-</v>
      </c>
      <c r="V950" s="161">
        <f t="shared" si="14"/>
        <v>0</v>
      </c>
      <c r="Y950" s="30"/>
      <c r="Z950" s="169">
        <f t="shared" si="2"/>
        <v>0</v>
      </c>
      <c r="AA950" s="167">
        <f t="shared" si="3"/>
        <v>0</v>
      </c>
      <c r="AB950" s="161"/>
      <c r="AC950" s="161">
        <f t="shared" si="4"/>
        <v>0</v>
      </c>
      <c r="AD950" s="161">
        <f t="shared" si="5"/>
        <v>0</v>
      </c>
      <c r="AE950" s="161">
        <f t="shared" si="6"/>
        <v>0</v>
      </c>
      <c r="AF950" s="167">
        <f t="shared" si="7"/>
        <v>0</v>
      </c>
      <c r="AG950" s="167">
        <f t="shared" si="8"/>
        <v>0</v>
      </c>
      <c r="AH950" s="158"/>
      <c r="AI950" s="158"/>
    </row>
    <row r="951" ht="12.75" customHeight="1">
      <c r="B951" s="160" t="str">
        <f>iferror(VLOOKUP((LEFT(A951,6)),CUSTOMER_DETAILS,2,FALSE),"-")</f>
        <v>-</v>
      </c>
      <c r="C951" s="161" t="s">
        <v>89</v>
      </c>
      <c r="D951" s="162"/>
      <c r="E951" s="161" t="s">
        <v>89</v>
      </c>
      <c r="F951" s="30" t="s">
        <v>89</v>
      </c>
      <c r="G951" s="30" t="s">
        <v>89</v>
      </c>
      <c r="H951" s="30" t="s">
        <v>89</v>
      </c>
      <c r="I951" s="48" t="s">
        <v>108</v>
      </c>
      <c r="J951" s="188" t="str">
        <f t="shared" si="15"/>
        <v/>
      </c>
      <c r="L951" s="48" t="s">
        <v>108</v>
      </c>
      <c r="O951" s="30" t="s">
        <v>89</v>
      </c>
      <c r="Q951" s="192"/>
      <c r="R951" s="161" t="str">
        <f>IFERROR(VLOOKUP(Q951,'PRODUCT TABLE'!$A$2:$B$26,2,FALSE),"-")</f>
        <v>-</v>
      </c>
      <c r="V951" s="161">
        <f t="shared" si="14"/>
        <v>0</v>
      </c>
      <c r="Y951" s="30"/>
      <c r="Z951" s="169">
        <f t="shared" si="2"/>
        <v>0</v>
      </c>
      <c r="AA951" s="167">
        <f t="shared" si="3"/>
        <v>0</v>
      </c>
      <c r="AB951" s="161"/>
      <c r="AC951" s="161">
        <f t="shared" si="4"/>
        <v>0</v>
      </c>
      <c r="AD951" s="161">
        <f t="shared" si="5"/>
        <v>0</v>
      </c>
      <c r="AE951" s="161">
        <f t="shared" si="6"/>
        <v>0</v>
      </c>
      <c r="AF951" s="167">
        <f t="shared" si="7"/>
        <v>0</v>
      </c>
      <c r="AG951" s="167">
        <f t="shared" si="8"/>
        <v>0</v>
      </c>
      <c r="AH951" s="158"/>
      <c r="AI951" s="158"/>
    </row>
    <row r="952" ht="12.75" customHeight="1">
      <c r="B952" s="160" t="str">
        <f>iferror(VLOOKUP((LEFT(A952,6)),CUSTOMER_DETAILS,2,FALSE),"-")</f>
        <v>-</v>
      </c>
      <c r="C952" s="161" t="s">
        <v>89</v>
      </c>
      <c r="D952" s="162"/>
      <c r="E952" s="161" t="s">
        <v>89</v>
      </c>
      <c r="F952" s="30" t="s">
        <v>89</v>
      </c>
      <c r="G952" s="30" t="s">
        <v>89</v>
      </c>
      <c r="H952" s="30" t="s">
        <v>89</v>
      </c>
      <c r="I952" s="48" t="s">
        <v>108</v>
      </c>
      <c r="J952" s="188" t="str">
        <f t="shared" si="15"/>
        <v/>
      </c>
      <c r="L952" s="48" t="s">
        <v>108</v>
      </c>
      <c r="O952" s="30" t="s">
        <v>89</v>
      </c>
      <c r="Q952" s="192"/>
      <c r="R952" s="161" t="str">
        <f>IFERROR(VLOOKUP(Q952,'PRODUCT TABLE'!$A$2:$B$26,2,FALSE),"-")</f>
        <v>-</v>
      </c>
      <c r="V952" s="161">
        <f t="shared" si="14"/>
        <v>0</v>
      </c>
      <c r="Y952" s="30"/>
      <c r="Z952" s="169">
        <f t="shared" si="2"/>
        <v>0</v>
      </c>
      <c r="AA952" s="167">
        <f t="shared" si="3"/>
        <v>0</v>
      </c>
      <c r="AB952" s="161"/>
      <c r="AC952" s="161">
        <f t="shared" si="4"/>
        <v>0</v>
      </c>
      <c r="AD952" s="161">
        <f t="shared" si="5"/>
        <v>0</v>
      </c>
      <c r="AE952" s="161">
        <f t="shared" si="6"/>
        <v>0</v>
      </c>
      <c r="AF952" s="167">
        <f t="shared" si="7"/>
        <v>0</v>
      </c>
      <c r="AG952" s="167">
        <f t="shared" si="8"/>
        <v>0</v>
      </c>
      <c r="AH952" s="158"/>
      <c r="AI952" s="158"/>
    </row>
    <row r="953" ht="12.75" customHeight="1">
      <c r="B953" s="160" t="str">
        <f>iferror(VLOOKUP((LEFT(A953,6)),CUSTOMER_DETAILS,2,FALSE),"-")</f>
        <v>-</v>
      </c>
      <c r="C953" s="161" t="s">
        <v>89</v>
      </c>
      <c r="D953" s="162"/>
      <c r="E953" s="161" t="s">
        <v>89</v>
      </c>
      <c r="F953" s="30" t="s">
        <v>89</v>
      </c>
      <c r="G953" s="30" t="s">
        <v>89</v>
      </c>
      <c r="H953" s="30" t="s">
        <v>89</v>
      </c>
      <c r="I953" s="48" t="s">
        <v>108</v>
      </c>
      <c r="J953" s="188" t="str">
        <f t="shared" si="15"/>
        <v/>
      </c>
      <c r="L953" s="48" t="s">
        <v>108</v>
      </c>
      <c r="O953" s="30" t="s">
        <v>89</v>
      </c>
      <c r="Q953" s="192"/>
      <c r="R953" s="161" t="str">
        <f>IFERROR(VLOOKUP(Q953,'PRODUCT TABLE'!$A$2:$B$26,2,FALSE),"-")</f>
        <v>-</v>
      </c>
      <c r="V953" s="161">
        <f t="shared" si="14"/>
        <v>0</v>
      </c>
      <c r="Y953" s="30"/>
      <c r="Z953" s="169">
        <f t="shared" si="2"/>
        <v>0</v>
      </c>
      <c r="AA953" s="167">
        <f t="shared" si="3"/>
        <v>0</v>
      </c>
      <c r="AB953" s="161"/>
      <c r="AC953" s="161">
        <f t="shared" si="4"/>
        <v>0</v>
      </c>
      <c r="AD953" s="161">
        <f t="shared" si="5"/>
        <v>0</v>
      </c>
      <c r="AE953" s="161">
        <f t="shared" si="6"/>
        <v>0</v>
      </c>
      <c r="AF953" s="167">
        <f t="shared" si="7"/>
        <v>0</v>
      </c>
      <c r="AG953" s="167">
        <f t="shared" si="8"/>
        <v>0</v>
      </c>
      <c r="AH953" s="158"/>
      <c r="AI953" s="158"/>
    </row>
    <row r="954" ht="12.75" customHeight="1">
      <c r="B954" s="160" t="str">
        <f>iferror(VLOOKUP((LEFT(A954,6)),CUSTOMER_DETAILS,2,FALSE),"-")</f>
        <v>-</v>
      </c>
      <c r="C954" s="161" t="s">
        <v>89</v>
      </c>
      <c r="D954" s="162"/>
      <c r="E954" s="161" t="s">
        <v>89</v>
      </c>
      <c r="F954" s="30" t="s">
        <v>89</v>
      </c>
      <c r="G954" s="30" t="s">
        <v>89</v>
      </c>
      <c r="H954" s="30" t="s">
        <v>89</v>
      </c>
      <c r="I954" s="48" t="s">
        <v>108</v>
      </c>
      <c r="J954" s="188" t="str">
        <f t="shared" si="15"/>
        <v/>
      </c>
      <c r="L954" s="48" t="s">
        <v>108</v>
      </c>
      <c r="O954" s="30" t="s">
        <v>89</v>
      </c>
      <c r="Q954" s="192"/>
      <c r="R954" s="161" t="str">
        <f>IFERROR(VLOOKUP(Q954,'PRODUCT TABLE'!$A$2:$B$26,2,FALSE),"-")</f>
        <v>-</v>
      </c>
      <c r="V954" s="161">
        <f t="shared" si="14"/>
        <v>0</v>
      </c>
      <c r="Y954" s="30"/>
      <c r="Z954" s="169">
        <f t="shared" si="2"/>
        <v>0</v>
      </c>
      <c r="AA954" s="167">
        <f t="shared" si="3"/>
        <v>0</v>
      </c>
      <c r="AB954" s="161"/>
      <c r="AC954" s="161">
        <f t="shared" si="4"/>
        <v>0</v>
      </c>
      <c r="AD954" s="161">
        <f t="shared" si="5"/>
        <v>0</v>
      </c>
      <c r="AE954" s="161">
        <f t="shared" si="6"/>
        <v>0</v>
      </c>
      <c r="AF954" s="167">
        <f t="shared" si="7"/>
        <v>0</v>
      </c>
      <c r="AG954" s="167">
        <f t="shared" si="8"/>
        <v>0</v>
      </c>
      <c r="AH954" s="158"/>
      <c r="AI954" s="158"/>
    </row>
    <row r="955" ht="12.75" customHeight="1">
      <c r="B955" s="160" t="str">
        <f>iferror(VLOOKUP((LEFT(A955,6)),CUSTOMER_DETAILS,2,FALSE),"-")</f>
        <v>-</v>
      </c>
      <c r="C955" s="161" t="s">
        <v>89</v>
      </c>
      <c r="D955" s="162"/>
      <c r="E955" s="161" t="s">
        <v>89</v>
      </c>
      <c r="F955" s="30" t="s">
        <v>89</v>
      </c>
      <c r="G955" s="30" t="s">
        <v>89</v>
      </c>
      <c r="H955" s="30" t="s">
        <v>89</v>
      </c>
      <c r="I955" s="48" t="s">
        <v>108</v>
      </c>
      <c r="J955" s="188" t="str">
        <f t="shared" si="15"/>
        <v/>
      </c>
      <c r="L955" s="48" t="s">
        <v>108</v>
      </c>
      <c r="O955" s="30" t="s">
        <v>89</v>
      </c>
      <c r="Q955" s="192"/>
      <c r="R955" s="161" t="str">
        <f>IFERROR(VLOOKUP(Q955,'PRODUCT TABLE'!$A$2:$B$26,2,FALSE),"-")</f>
        <v>-</v>
      </c>
      <c r="V955" s="161">
        <f t="shared" si="14"/>
        <v>0</v>
      </c>
      <c r="Y955" s="30"/>
      <c r="Z955" s="169">
        <f t="shared" si="2"/>
        <v>0</v>
      </c>
      <c r="AA955" s="167">
        <f t="shared" si="3"/>
        <v>0</v>
      </c>
      <c r="AB955" s="161"/>
      <c r="AC955" s="161">
        <f t="shared" si="4"/>
        <v>0</v>
      </c>
      <c r="AD955" s="161">
        <f t="shared" si="5"/>
        <v>0</v>
      </c>
      <c r="AE955" s="161">
        <f t="shared" si="6"/>
        <v>0</v>
      </c>
      <c r="AF955" s="167">
        <f t="shared" si="7"/>
        <v>0</v>
      </c>
      <c r="AG955" s="167">
        <f t="shared" si="8"/>
        <v>0</v>
      </c>
      <c r="AH955" s="158"/>
      <c r="AI955" s="158"/>
    </row>
    <row r="956" ht="12.75" customHeight="1">
      <c r="B956" s="160" t="str">
        <f>iferror(VLOOKUP((LEFT(A956,6)),CUSTOMER_DETAILS,2,FALSE),"-")</f>
        <v>-</v>
      </c>
      <c r="C956" s="161" t="s">
        <v>89</v>
      </c>
      <c r="D956" s="162"/>
      <c r="E956" s="161" t="s">
        <v>89</v>
      </c>
      <c r="F956" s="30" t="s">
        <v>89</v>
      </c>
      <c r="G956" s="30" t="s">
        <v>89</v>
      </c>
      <c r="H956" s="30" t="s">
        <v>89</v>
      </c>
      <c r="I956" s="48" t="s">
        <v>108</v>
      </c>
      <c r="J956" s="188" t="str">
        <f t="shared" si="15"/>
        <v/>
      </c>
      <c r="L956" s="48" t="s">
        <v>108</v>
      </c>
      <c r="O956" s="30" t="s">
        <v>89</v>
      </c>
      <c r="Q956" s="192"/>
      <c r="R956" s="161" t="str">
        <f>IFERROR(VLOOKUP(Q956,'PRODUCT TABLE'!$A$2:$B$26,2,FALSE),"-")</f>
        <v>-</v>
      </c>
      <c r="V956" s="161">
        <f t="shared" si="14"/>
        <v>0</v>
      </c>
      <c r="Y956" s="30"/>
      <c r="Z956" s="169">
        <f t="shared" si="2"/>
        <v>0</v>
      </c>
      <c r="AA956" s="167">
        <f t="shared" si="3"/>
        <v>0</v>
      </c>
      <c r="AB956" s="161"/>
      <c r="AC956" s="161">
        <f t="shared" si="4"/>
        <v>0</v>
      </c>
      <c r="AD956" s="161">
        <f t="shared" si="5"/>
        <v>0</v>
      </c>
      <c r="AE956" s="161">
        <f t="shared" si="6"/>
        <v>0</v>
      </c>
      <c r="AF956" s="167">
        <f t="shared" si="7"/>
        <v>0</v>
      </c>
      <c r="AG956" s="167">
        <f t="shared" si="8"/>
        <v>0</v>
      </c>
      <c r="AH956" s="158"/>
      <c r="AI956" s="158"/>
    </row>
    <row r="957" ht="12.75" customHeight="1">
      <c r="B957" s="160" t="str">
        <f>iferror(VLOOKUP((LEFT(A957,6)),CUSTOMER_DETAILS,2,FALSE),"-")</f>
        <v>-</v>
      </c>
      <c r="C957" s="161" t="s">
        <v>89</v>
      </c>
      <c r="D957" s="162"/>
      <c r="E957" s="161" t="s">
        <v>89</v>
      </c>
      <c r="F957" s="30" t="s">
        <v>89</v>
      </c>
      <c r="G957" s="30" t="s">
        <v>89</v>
      </c>
      <c r="H957" s="30" t="s">
        <v>89</v>
      </c>
      <c r="I957" s="48" t="s">
        <v>108</v>
      </c>
      <c r="J957" s="188" t="str">
        <f t="shared" si="15"/>
        <v/>
      </c>
      <c r="L957" s="48" t="s">
        <v>108</v>
      </c>
      <c r="O957" s="30" t="s">
        <v>89</v>
      </c>
      <c r="Q957" s="192"/>
      <c r="R957" s="161" t="str">
        <f>IFERROR(VLOOKUP(Q957,'PRODUCT TABLE'!$A$2:$B$26,2,FALSE),"-")</f>
        <v>-</v>
      </c>
      <c r="V957" s="161">
        <f t="shared" si="14"/>
        <v>0</v>
      </c>
      <c r="Y957" s="30"/>
      <c r="Z957" s="169">
        <f t="shared" si="2"/>
        <v>0</v>
      </c>
      <c r="AA957" s="167">
        <f t="shared" si="3"/>
        <v>0</v>
      </c>
      <c r="AB957" s="161"/>
      <c r="AC957" s="161">
        <f t="shared" si="4"/>
        <v>0</v>
      </c>
      <c r="AD957" s="161">
        <f t="shared" si="5"/>
        <v>0</v>
      </c>
      <c r="AE957" s="161">
        <f t="shared" si="6"/>
        <v>0</v>
      </c>
      <c r="AF957" s="167">
        <f t="shared" si="7"/>
        <v>0</v>
      </c>
      <c r="AG957" s="167">
        <f t="shared" si="8"/>
        <v>0</v>
      </c>
      <c r="AH957" s="158"/>
      <c r="AI957" s="158"/>
    </row>
    <row r="958" ht="12.75" customHeight="1">
      <c r="B958" s="160" t="str">
        <f>iferror(VLOOKUP((LEFT(A958,6)),CUSTOMER_DETAILS,2,FALSE),"-")</f>
        <v>-</v>
      </c>
      <c r="C958" s="161" t="s">
        <v>89</v>
      </c>
      <c r="D958" s="162"/>
      <c r="E958" s="161" t="s">
        <v>89</v>
      </c>
      <c r="F958" s="30" t="s">
        <v>89</v>
      </c>
      <c r="G958" s="30" t="s">
        <v>89</v>
      </c>
      <c r="H958" s="30" t="s">
        <v>89</v>
      </c>
      <c r="I958" s="48" t="s">
        <v>108</v>
      </c>
      <c r="J958" s="188" t="str">
        <f t="shared" si="15"/>
        <v/>
      </c>
      <c r="L958" s="48" t="s">
        <v>108</v>
      </c>
      <c r="O958" s="30" t="s">
        <v>89</v>
      </c>
      <c r="Q958" s="192"/>
      <c r="R958" s="161" t="str">
        <f>IFERROR(VLOOKUP(Q958,'PRODUCT TABLE'!$A$2:$B$26,2,FALSE),"-")</f>
        <v>-</v>
      </c>
      <c r="V958" s="161">
        <f t="shared" si="14"/>
        <v>0</v>
      </c>
      <c r="Y958" s="30"/>
      <c r="Z958" s="169">
        <f t="shared" si="2"/>
        <v>0</v>
      </c>
      <c r="AA958" s="167">
        <f t="shared" si="3"/>
        <v>0</v>
      </c>
      <c r="AB958" s="161"/>
      <c r="AC958" s="161">
        <f t="shared" si="4"/>
        <v>0</v>
      </c>
      <c r="AD958" s="161">
        <f t="shared" si="5"/>
        <v>0</v>
      </c>
      <c r="AE958" s="161">
        <f t="shared" si="6"/>
        <v>0</v>
      </c>
      <c r="AF958" s="167">
        <f t="shared" si="7"/>
        <v>0</v>
      </c>
      <c r="AG958" s="167">
        <f t="shared" si="8"/>
        <v>0</v>
      </c>
      <c r="AH958" s="158"/>
      <c r="AI958" s="158"/>
    </row>
    <row r="959" ht="12.75" customHeight="1">
      <c r="B959" s="160" t="str">
        <f>iferror(VLOOKUP((LEFT(A959,6)),CUSTOMER_DETAILS,2,FALSE),"-")</f>
        <v>-</v>
      </c>
      <c r="C959" s="161" t="s">
        <v>89</v>
      </c>
      <c r="D959" s="162"/>
      <c r="E959" s="161" t="s">
        <v>89</v>
      </c>
      <c r="F959" s="30" t="s">
        <v>89</v>
      </c>
      <c r="G959" s="30" t="s">
        <v>89</v>
      </c>
      <c r="H959" s="30" t="s">
        <v>89</v>
      </c>
      <c r="I959" s="48" t="s">
        <v>108</v>
      </c>
      <c r="J959" s="188" t="str">
        <f t="shared" si="15"/>
        <v/>
      </c>
      <c r="L959" s="48" t="s">
        <v>108</v>
      </c>
      <c r="O959" s="30" t="s">
        <v>89</v>
      </c>
      <c r="Q959" s="192"/>
      <c r="R959" s="161" t="str">
        <f>IFERROR(VLOOKUP(Q959,'PRODUCT TABLE'!$A$2:$B$26,2,FALSE),"-")</f>
        <v>-</v>
      </c>
      <c r="V959" s="161">
        <f t="shared" si="14"/>
        <v>0</v>
      </c>
      <c r="Y959" s="30"/>
      <c r="Z959" s="169">
        <f t="shared" si="2"/>
        <v>0</v>
      </c>
      <c r="AA959" s="167">
        <f t="shared" si="3"/>
        <v>0</v>
      </c>
      <c r="AB959" s="161"/>
      <c r="AC959" s="161">
        <f t="shared" si="4"/>
        <v>0</v>
      </c>
      <c r="AD959" s="161">
        <f t="shared" si="5"/>
        <v>0</v>
      </c>
      <c r="AE959" s="161">
        <f t="shared" si="6"/>
        <v>0</v>
      </c>
      <c r="AF959" s="167">
        <f t="shared" si="7"/>
        <v>0</v>
      </c>
      <c r="AG959" s="167">
        <f t="shared" si="8"/>
        <v>0</v>
      </c>
      <c r="AH959" s="158"/>
      <c r="AI959" s="158"/>
    </row>
    <row r="960" ht="12.75" customHeight="1">
      <c r="B960" s="160" t="str">
        <f>iferror(VLOOKUP((LEFT(A960,6)),CUSTOMER_DETAILS,2,FALSE),"-")</f>
        <v>-</v>
      </c>
      <c r="C960" s="161" t="s">
        <v>89</v>
      </c>
      <c r="D960" s="162"/>
      <c r="E960" s="161" t="s">
        <v>89</v>
      </c>
      <c r="F960" s="30" t="s">
        <v>89</v>
      </c>
      <c r="G960" s="30" t="s">
        <v>89</v>
      </c>
      <c r="H960" s="30" t="s">
        <v>89</v>
      </c>
      <c r="I960" s="48" t="s">
        <v>108</v>
      </c>
      <c r="J960" s="188" t="str">
        <f t="shared" si="15"/>
        <v/>
      </c>
      <c r="L960" s="48" t="s">
        <v>108</v>
      </c>
      <c r="O960" s="30" t="s">
        <v>89</v>
      </c>
      <c r="Q960" s="192"/>
      <c r="R960" s="161" t="str">
        <f>IFERROR(VLOOKUP(Q960,'PRODUCT TABLE'!$A$2:$B$26,2,FALSE),"-")</f>
        <v>-</v>
      </c>
      <c r="V960" s="161">
        <f t="shared" si="14"/>
        <v>0</v>
      </c>
      <c r="Y960" s="30"/>
      <c r="Z960" s="169">
        <f t="shared" si="2"/>
        <v>0</v>
      </c>
      <c r="AA960" s="167">
        <f t="shared" si="3"/>
        <v>0</v>
      </c>
      <c r="AB960" s="161"/>
      <c r="AC960" s="161">
        <f t="shared" si="4"/>
        <v>0</v>
      </c>
      <c r="AD960" s="161">
        <f t="shared" si="5"/>
        <v>0</v>
      </c>
      <c r="AE960" s="161">
        <f t="shared" si="6"/>
        <v>0</v>
      </c>
      <c r="AF960" s="167">
        <f t="shared" si="7"/>
        <v>0</v>
      </c>
      <c r="AG960" s="167">
        <f t="shared" si="8"/>
        <v>0</v>
      </c>
      <c r="AH960" s="158"/>
      <c r="AI960" s="158"/>
    </row>
    <row r="961" ht="12.75" customHeight="1">
      <c r="B961" s="160" t="str">
        <f>iferror(VLOOKUP((LEFT(A961,6)),CUSTOMER_DETAILS,2,FALSE),"-")</f>
        <v>-</v>
      </c>
      <c r="C961" s="161" t="s">
        <v>89</v>
      </c>
      <c r="D961" s="162"/>
      <c r="E961" s="161" t="s">
        <v>89</v>
      </c>
      <c r="F961" s="30" t="s">
        <v>89</v>
      </c>
      <c r="G961" s="30" t="s">
        <v>89</v>
      </c>
      <c r="H961" s="30" t="s">
        <v>89</v>
      </c>
      <c r="I961" s="48" t="s">
        <v>108</v>
      </c>
      <c r="J961" s="188" t="str">
        <f t="shared" si="15"/>
        <v/>
      </c>
      <c r="L961" s="48" t="s">
        <v>108</v>
      </c>
      <c r="O961" s="30" t="s">
        <v>89</v>
      </c>
      <c r="Q961" s="192"/>
      <c r="R961" s="161" t="str">
        <f>IFERROR(VLOOKUP(Q961,'PRODUCT TABLE'!$A$2:$B$26,2,FALSE),"-")</f>
        <v>-</v>
      </c>
      <c r="V961" s="161">
        <f t="shared" si="14"/>
        <v>0</v>
      </c>
      <c r="Y961" s="30"/>
      <c r="Z961" s="169">
        <f t="shared" si="2"/>
        <v>0</v>
      </c>
      <c r="AA961" s="167">
        <f t="shared" si="3"/>
        <v>0</v>
      </c>
      <c r="AB961" s="161"/>
      <c r="AC961" s="161">
        <f t="shared" si="4"/>
        <v>0</v>
      </c>
      <c r="AD961" s="161">
        <f t="shared" si="5"/>
        <v>0</v>
      </c>
      <c r="AE961" s="161">
        <f t="shared" si="6"/>
        <v>0</v>
      </c>
      <c r="AF961" s="167">
        <f t="shared" si="7"/>
        <v>0</v>
      </c>
      <c r="AG961" s="167">
        <f t="shared" si="8"/>
        <v>0</v>
      </c>
      <c r="AH961" s="158"/>
      <c r="AI961" s="158"/>
    </row>
    <row r="962" ht="12.75" customHeight="1">
      <c r="B962" s="160" t="str">
        <f>iferror(VLOOKUP((LEFT(A962,6)),CUSTOMER_DETAILS,2,FALSE),"-")</f>
        <v>-</v>
      </c>
      <c r="C962" s="161" t="s">
        <v>89</v>
      </c>
      <c r="D962" s="162"/>
      <c r="E962" s="161" t="s">
        <v>89</v>
      </c>
      <c r="F962" s="30" t="s">
        <v>89</v>
      </c>
      <c r="G962" s="30" t="s">
        <v>89</v>
      </c>
      <c r="H962" s="30" t="s">
        <v>89</v>
      </c>
      <c r="I962" s="48" t="s">
        <v>108</v>
      </c>
      <c r="J962" s="188" t="str">
        <f t="shared" si="15"/>
        <v/>
      </c>
      <c r="L962" s="48" t="s">
        <v>108</v>
      </c>
      <c r="O962" s="30" t="s">
        <v>89</v>
      </c>
      <c r="Q962" s="192"/>
      <c r="R962" s="161" t="str">
        <f>IFERROR(VLOOKUP(Q962,'PRODUCT TABLE'!$A$2:$B$26,2,FALSE),"-")</f>
        <v>-</v>
      </c>
      <c r="V962" s="161">
        <f t="shared" si="14"/>
        <v>0</v>
      </c>
      <c r="Y962" s="30"/>
      <c r="Z962" s="169">
        <f t="shared" si="2"/>
        <v>0</v>
      </c>
      <c r="AA962" s="167">
        <f t="shared" si="3"/>
        <v>0</v>
      </c>
      <c r="AB962" s="161"/>
      <c r="AC962" s="161">
        <f t="shared" si="4"/>
        <v>0</v>
      </c>
      <c r="AD962" s="161">
        <f t="shared" si="5"/>
        <v>0</v>
      </c>
      <c r="AE962" s="161">
        <f t="shared" si="6"/>
        <v>0</v>
      </c>
      <c r="AF962" s="167">
        <f t="shared" si="7"/>
        <v>0</v>
      </c>
      <c r="AG962" s="167">
        <f t="shared" si="8"/>
        <v>0</v>
      </c>
      <c r="AH962" s="158"/>
      <c r="AI962" s="158"/>
    </row>
    <row r="963" ht="12.75" customHeight="1">
      <c r="B963" s="160" t="str">
        <f>iferror(VLOOKUP((LEFT(A963,6)),CUSTOMER_DETAILS,2,FALSE),"-")</f>
        <v>-</v>
      </c>
      <c r="C963" s="161" t="s">
        <v>89</v>
      </c>
      <c r="D963" s="162"/>
      <c r="E963" s="161" t="s">
        <v>89</v>
      </c>
      <c r="F963" s="30" t="s">
        <v>89</v>
      </c>
      <c r="G963" s="30" t="s">
        <v>89</v>
      </c>
      <c r="H963" s="30" t="s">
        <v>89</v>
      </c>
      <c r="I963" s="48" t="s">
        <v>108</v>
      </c>
      <c r="J963" s="188" t="str">
        <f t="shared" si="15"/>
        <v/>
      </c>
      <c r="L963" s="48" t="s">
        <v>108</v>
      </c>
      <c r="O963" s="30" t="s">
        <v>89</v>
      </c>
      <c r="Q963" s="192"/>
      <c r="R963" s="161" t="str">
        <f>IFERROR(VLOOKUP(Q963,'PRODUCT TABLE'!$A$2:$B$26,2,FALSE),"-")</f>
        <v>-</v>
      </c>
      <c r="V963" s="161">
        <f t="shared" si="14"/>
        <v>0</v>
      </c>
      <c r="Y963" s="30"/>
      <c r="Z963" s="169">
        <f t="shared" si="2"/>
        <v>0</v>
      </c>
      <c r="AA963" s="167">
        <f t="shared" si="3"/>
        <v>0</v>
      </c>
      <c r="AB963" s="161"/>
      <c r="AC963" s="161">
        <f t="shared" si="4"/>
        <v>0</v>
      </c>
      <c r="AD963" s="161">
        <f t="shared" si="5"/>
        <v>0</v>
      </c>
      <c r="AE963" s="161">
        <f t="shared" si="6"/>
        <v>0</v>
      </c>
      <c r="AF963" s="167">
        <f t="shared" si="7"/>
        <v>0</v>
      </c>
      <c r="AG963" s="167">
        <f t="shared" si="8"/>
        <v>0</v>
      </c>
      <c r="AH963" s="158"/>
      <c r="AI963" s="158"/>
    </row>
    <row r="964" ht="12.75" customHeight="1">
      <c r="B964" s="160" t="str">
        <f>iferror(VLOOKUP((LEFT(A964,6)),CUSTOMER_DETAILS,2,FALSE),"-")</f>
        <v>-</v>
      </c>
      <c r="C964" s="161" t="s">
        <v>89</v>
      </c>
      <c r="D964" s="162"/>
      <c r="E964" s="161" t="s">
        <v>89</v>
      </c>
      <c r="F964" s="30" t="s">
        <v>89</v>
      </c>
      <c r="G964" s="30" t="s">
        <v>89</v>
      </c>
      <c r="H964" s="30" t="s">
        <v>89</v>
      </c>
      <c r="I964" s="48" t="s">
        <v>108</v>
      </c>
      <c r="J964" s="188" t="str">
        <f t="shared" si="15"/>
        <v/>
      </c>
      <c r="L964" s="48" t="s">
        <v>108</v>
      </c>
      <c r="O964" s="30" t="s">
        <v>89</v>
      </c>
      <c r="Q964" s="192"/>
      <c r="R964" s="161" t="str">
        <f>IFERROR(VLOOKUP(Q964,'PRODUCT TABLE'!$A$2:$B$26,2,FALSE),"-")</f>
        <v>-</v>
      </c>
      <c r="V964" s="161">
        <f t="shared" si="14"/>
        <v>0</v>
      </c>
      <c r="Y964" s="30"/>
      <c r="Z964" s="169">
        <f t="shared" si="2"/>
        <v>0</v>
      </c>
      <c r="AA964" s="167">
        <f t="shared" si="3"/>
        <v>0</v>
      </c>
      <c r="AB964" s="161"/>
      <c r="AC964" s="161">
        <f t="shared" si="4"/>
        <v>0</v>
      </c>
      <c r="AD964" s="161">
        <f t="shared" si="5"/>
        <v>0</v>
      </c>
      <c r="AE964" s="161">
        <f t="shared" si="6"/>
        <v>0</v>
      </c>
      <c r="AF964" s="167">
        <f t="shared" si="7"/>
        <v>0</v>
      </c>
      <c r="AG964" s="167">
        <f t="shared" si="8"/>
        <v>0</v>
      </c>
      <c r="AH964" s="158"/>
      <c r="AI964" s="158"/>
    </row>
    <row r="965" ht="12.75" customHeight="1">
      <c r="B965" s="160" t="str">
        <f>iferror(VLOOKUP((LEFT(A965,6)),CUSTOMER_DETAILS,2,FALSE),"-")</f>
        <v>-</v>
      </c>
      <c r="C965" s="161" t="s">
        <v>89</v>
      </c>
      <c r="D965" s="162"/>
      <c r="E965" s="161" t="s">
        <v>89</v>
      </c>
      <c r="F965" s="30" t="s">
        <v>89</v>
      </c>
      <c r="G965" s="30" t="s">
        <v>89</v>
      </c>
      <c r="H965" s="30" t="s">
        <v>89</v>
      </c>
      <c r="I965" s="48" t="s">
        <v>108</v>
      </c>
      <c r="J965" s="188" t="str">
        <f t="shared" si="15"/>
        <v/>
      </c>
      <c r="L965" s="48" t="s">
        <v>108</v>
      </c>
      <c r="O965" s="30" t="s">
        <v>89</v>
      </c>
      <c r="Q965" s="192"/>
      <c r="R965" s="161" t="str">
        <f>IFERROR(VLOOKUP(Q965,'PRODUCT TABLE'!$A$2:$B$26,2,FALSE),"-")</f>
        <v>-</v>
      </c>
      <c r="V965" s="161">
        <f t="shared" si="14"/>
        <v>0</v>
      </c>
      <c r="Y965" s="30"/>
      <c r="Z965" s="169">
        <f t="shared" si="2"/>
        <v>0</v>
      </c>
      <c r="AA965" s="167">
        <f t="shared" si="3"/>
        <v>0</v>
      </c>
      <c r="AB965" s="161"/>
      <c r="AC965" s="161">
        <f t="shared" si="4"/>
        <v>0</v>
      </c>
      <c r="AD965" s="161">
        <f t="shared" si="5"/>
        <v>0</v>
      </c>
      <c r="AE965" s="161">
        <f t="shared" si="6"/>
        <v>0</v>
      </c>
      <c r="AF965" s="167">
        <f t="shared" si="7"/>
        <v>0</v>
      </c>
      <c r="AG965" s="167">
        <f t="shared" si="8"/>
        <v>0</v>
      </c>
      <c r="AH965" s="158"/>
      <c r="AI965" s="158"/>
    </row>
    <row r="966" ht="12.75" customHeight="1">
      <c r="B966" s="160" t="str">
        <f>iferror(VLOOKUP((LEFT(A966,6)),CUSTOMER_DETAILS,2,FALSE),"-")</f>
        <v>-</v>
      </c>
      <c r="C966" s="161" t="s">
        <v>89</v>
      </c>
      <c r="D966" s="162"/>
      <c r="E966" s="161" t="s">
        <v>89</v>
      </c>
      <c r="F966" s="30" t="s">
        <v>89</v>
      </c>
      <c r="G966" s="30" t="s">
        <v>89</v>
      </c>
      <c r="H966" s="30" t="s">
        <v>89</v>
      </c>
      <c r="I966" s="48" t="s">
        <v>108</v>
      </c>
      <c r="J966" s="188" t="str">
        <f t="shared" si="15"/>
        <v/>
      </c>
      <c r="L966" s="48" t="s">
        <v>108</v>
      </c>
      <c r="O966" s="30" t="s">
        <v>89</v>
      </c>
      <c r="Q966" s="192"/>
      <c r="R966" s="161" t="str">
        <f>IFERROR(VLOOKUP(Q966,'PRODUCT TABLE'!$A$2:$B$26,2,FALSE),"-")</f>
        <v>-</v>
      </c>
      <c r="V966" s="161">
        <f t="shared" si="14"/>
        <v>0</v>
      </c>
      <c r="Y966" s="30"/>
      <c r="Z966" s="169">
        <f t="shared" si="2"/>
        <v>0</v>
      </c>
      <c r="AA966" s="167">
        <f t="shared" si="3"/>
        <v>0</v>
      </c>
      <c r="AB966" s="161"/>
      <c r="AC966" s="161">
        <f t="shared" si="4"/>
        <v>0</v>
      </c>
      <c r="AD966" s="161">
        <f t="shared" si="5"/>
        <v>0</v>
      </c>
      <c r="AE966" s="161">
        <f t="shared" si="6"/>
        <v>0</v>
      </c>
      <c r="AF966" s="167">
        <f t="shared" si="7"/>
        <v>0</v>
      </c>
      <c r="AG966" s="167">
        <f t="shared" si="8"/>
        <v>0</v>
      </c>
      <c r="AH966" s="158"/>
      <c r="AI966" s="158"/>
    </row>
    <row r="967" ht="12.75" customHeight="1">
      <c r="B967" s="160" t="str">
        <f>iferror(VLOOKUP((LEFT(A967,6)),CUSTOMER_DETAILS,2,FALSE),"-")</f>
        <v>-</v>
      </c>
      <c r="C967" s="161" t="s">
        <v>89</v>
      </c>
      <c r="D967" s="162"/>
      <c r="E967" s="161" t="s">
        <v>89</v>
      </c>
      <c r="F967" s="30" t="s">
        <v>89</v>
      </c>
      <c r="G967" s="30" t="s">
        <v>89</v>
      </c>
      <c r="H967" s="30" t="s">
        <v>89</v>
      </c>
      <c r="I967" s="48" t="s">
        <v>108</v>
      </c>
      <c r="J967" s="188" t="str">
        <f t="shared" si="15"/>
        <v/>
      </c>
      <c r="L967" s="48" t="s">
        <v>108</v>
      </c>
      <c r="O967" s="30" t="s">
        <v>89</v>
      </c>
      <c r="Q967" s="192"/>
      <c r="R967" s="161" t="str">
        <f>IFERROR(VLOOKUP(Q967,'PRODUCT TABLE'!$A$2:$B$26,2,FALSE),"-")</f>
        <v>-</v>
      </c>
      <c r="V967" s="161">
        <f t="shared" si="14"/>
        <v>0</v>
      </c>
      <c r="Y967" s="30"/>
      <c r="Z967" s="169">
        <f t="shared" si="2"/>
        <v>0</v>
      </c>
      <c r="AA967" s="167">
        <f t="shared" si="3"/>
        <v>0</v>
      </c>
      <c r="AB967" s="161"/>
      <c r="AC967" s="161">
        <f t="shared" si="4"/>
        <v>0</v>
      </c>
      <c r="AD967" s="161">
        <f t="shared" si="5"/>
        <v>0</v>
      </c>
      <c r="AE967" s="161">
        <f t="shared" si="6"/>
        <v>0</v>
      </c>
      <c r="AF967" s="167">
        <f t="shared" si="7"/>
        <v>0</v>
      </c>
      <c r="AG967" s="167">
        <f t="shared" si="8"/>
        <v>0</v>
      </c>
      <c r="AH967" s="158"/>
      <c r="AI967" s="158"/>
    </row>
    <row r="968" ht="12.75" customHeight="1">
      <c r="B968" s="160" t="str">
        <f>iferror(VLOOKUP((LEFT(A968,6)),CUSTOMER_DETAILS,2,FALSE),"-")</f>
        <v>-</v>
      </c>
      <c r="C968" s="161" t="s">
        <v>89</v>
      </c>
      <c r="D968" s="162"/>
      <c r="E968" s="161" t="s">
        <v>89</v>
      </c>
      <c r="F968" s="30" t="s">
        <v>89</v>
      </c>
      <c r="G968" s="30" t="s">
        <v>89</v>
      </c>
      <c r="H968" s="30" t="s">
        <v>89</v>
      </c>
      <c r="I968" s="48" t="s">
        <v>108</v>
      </c>
      <c r="J968" s="188" t="str">
        <f t="shared" si="15"/>
        <v/>
      </c>
      <c r="L968" s="48" t="s">
        <v>108</v>
      </c>
      <c r="O968" s="30" t="s">
        <v>89</v>
      </c>
      <c r="Q968" s="192"/>
      <c r="R968" s="161" t="str">
        <f>IFERROR(VLOOKUP(Q968,'PRODUCT TABLE'!$A$2:$B$26,2,FALSE),"-")</f>
        <v>-</v>
      </c>
      <c r="V968" s="161">
        <f t="shared" si="14"/>
        <v>0</v>
      </c>
      <c r="Y968" s="30"/>
      <c r="Z968" s="169">
        <f t="shared" si="2"/>
        <v>0</v>
      </c>
      <c r="AA968" s="167">
        <f t="shared" si="3"/>
        <v>0</v>
      </c>
      <c r="AB968" s="161"/>
      <c r="AC968" s="161">
        <f t="shared" si="4"/>
        <v>0</v>
      </c>
      <c r="AD968" s="161">
        <f t="shared" si="5"/>
        <v>0</v>
      </c>
      <c r="AE968" s="161">
        <f t="shared" si="6"/>
        <v>0</v>
      </c>
      <c r="AF968" s="167">
        <f t="shared" si="7"/>
        <v>0</v>
      </c>
      <c r="AG968" s="167">
        <f t="shared" si="8"/>
        <v>0</v>
      </c>
      <c r="AH968" s="158"/>
      <c r="AI968" s="158"/>
    </row>
    <row r="969" ht="12.75" customHeight="1">
      <c r="B969" s="160" t="str">
        <f>iferror(VLOOKUP((LEFT(A969,6)),CUSTOMER_DETAILS,2,FALSE),"-")</f>
        <v>-</v>
      </c>
      <c r="C969" s="161" t="s">
        <v>89</v>
      </c>
      <c r="D969" s="162"/>
      <c r="E969" s="161" t="s">
        <v>89</v>
      </c>
      <c r="F969" s="30" t="s">
        <v>89</v>
      </c>
      <c r="G969" s="30" t="s">
        <v>89</v>
      </c>
      <c r="H969" s="30" t="s">
        <v>89</v>
      </c>
      <c r="I969" s="48" t="s">
        <v>108</v>
      </c>
      <c r="J969" s="188" t="str">
        <f t="shared" si="15"/>
        <v/>
      </c>
      <c r="L969" s="48" t="s">
        <v>108</v>
      </c>
      <c r="O969" s="30" t="s">
        <v>89</v>
      </c>
      <c r="Q969" s="192"/>
      <c r="R969" s="161" t="str">
        <f>IFERROR(VLOOKUP(Q969,'PRODUCT TABLE'!$A$2:$B$26,2,FALSE),"-")</f>
        <v>-</v>
      </c>
      <c r="V969" s="161">
        <f t="shared" si="14"/>
        <v>0</v>
      </c>
      <c r="Y969" s="30"/>
      <c r="Z969" s="169">
        <f t="shared" si="2"/>
        <v>0</v>
      </c>
      <c r="AA969" s="167">
        <f t="shared" si="3"/>
        <v>0</v>
      </c>
      <c r="AB969" s="161"/>
      <c r="AC969" s="161">
        <f t="shared" si="4"/>
        <v>0</v>
      </c>
      <c r="AD969" s="161">
        <f t="shared" si="5"/>
        <v>0</v>
      </c>
      <c r="AE969" s="161">
        <f t="shared" si="6"/>
        <v>0</v>
      </c>
      <c r="AF969" s="167">
        <f t="shared" si="7"/>
        <v>0</v>
      </c>
      <c r="AG969" s="167">
        <f t="shared" si="8"/>
        <v>0</v>
      </c>
      <c r="AH969" s="158"/>
      <c r="AI969" s="158"/>
    </row>
    <row r="970" ht="12.75" customHeight="1">
      <c r="B970" s="160" t="str">
        <f>iferror(VLOOKUP((LEFT(A970,6)),CUSTOMER_DETAILS,2,FALSE),"-")</f>
        <v>-</v>
      </c>
      <c r="C970" s="161" t="s">
        <v>89</v>
      </c>
      <c r="D970" s="162"/>
      <c r="E970" s="161" t="s">
        <v>89</v>
      </c>
      <c r="F970" s="30" t="s">
        <v>89</v>
      </c>
      <c r="G970" s="30" t="s">
        <v>89</v>
      </c>
      <c r="H970" s="30" t="s">
        <v>89</v>
      </c>
      <c r="I970" s="48" t="s">
        <v>108</v>
      </c>
      <c r="J970" s="188" t="str">
        <f t="shared" si="15"/>
        <v/>
      </c>
      <c r="L970" s="48" t="s">
        <v>108</v>
      </c>
      <c r="O970" s="30" t="s">
        <v>89</v>
      </c>
      <c r="Q970" s="192"/>
      <c r="R970" s="161" t="str">
        <f>IFERROR(VLOOKUP(Q970,'PRODUCT TABLE'!$A$2:$B$26,2,FALSE),"-")</f>
        <v>-</v>
      </c>
      <c r="V970" s="161">
        <f t="shared" si="14"/>
        <v>0</v>
      </c>
      <c r="Y970" s="30"/>
      <c r="Z970" s="169">
        <f t="shared" si="2"/>
        <v>0</v>
      </c>
      <c r="AA970" s="167">
        <f t="shared" si="3"/>
        <v>0</v>
      </c>
      <c r="AB970" s="161"/>
      <c r="AC970" s="161">
        <f t="shared" si="4"/>
        <v>0</v>
      </c>
      <c r="AD970" s="161">
        <f t="shared" si="5"/>
        <v>0</v>
      </c>
      <c r="AE970" s="161">
        <f t="shared" si="6"/>
        <v>0</v>
      </c>
      <c r="AF970" s="167">
        <f t="shared" si="7"/>
        <v>0</v>
      </c>
      <c r="AG970" s="167">
        <f t="shared" si="8"/>
        <v>0</v>
      </c>
      <c r="AH970" s="158"/>
      <c r="AI970" s="158"/>
    </row>
    <row r="971" ht="12.75" customHeight="1">
      <c r="B971" s="160" t="str">
        <f>iferror(VLOOKUP((LEFT(A971,6)),CUSTOMER_DETAILS,2,FALSE),"-")</f>
        <v>-</v>
      </c>
      <c r="C971" s="161" t="s">
        <v>89</v>
      </c>
      <c r="D971" s="162"/>
      <c r="E971" s="161" t="s">
        <v>89</v>
      </c>
      <c r="F971" s="30" t="s">
        <v>89</v>
      </c>
      <c r="G971" s="30" t="s">
        <v>89</v>
      </c>
      <c r="H971" s="30" t="s">
        <v>89</v>
      </c>
      <c r="I971" s="48" t="s">
        <v>108</v>
      </c>
      <c r="J971" s="188" t="str">
        <f t="shared" si="15"/>
        <v/>
      </c>
      <c r="L971" s="48" t="s">
        <v>108</v>
      </c>
      <c r="O971" s="30" t="s">
        <v>89</v>
      </c>
      <c r="Q971" s="192"/>
      <c r="R971" s="161" t="str">
        <f>IFERROR(VLOOKUP(Q971,'PRODUCT TABLE'!$A$2:$B$26,2,FALSE),"-")</f>
        <v>-</v>
      </c>
      <c r="V971" s="161">
        <f t="shared" si="14"/>
        <v>0</v>
      </c>
      <c r="Y971" s="30"/>
      <c r="Z971" s="169">
        <f t="shared" si="2"/>
        <v>0</v>
      </c>
      <c r="AA971" s="167">
        <f t="shared" si="3"/>
        <v>0</v>
      </c>
      <c r="AB971" s="161"/>
      <c r="AC971" s="161">
        <f t="shared" si="4"/>
        <v>0</v>
      </c>
      <c r="AD971" s="161">
        <f t="shared" si="5"/>
        <v>0</v>
      </c>
      <c r="AE971" s="161">
        <f t="shared" si="6"/>
        <v>0</v>
      </c>
      <c r="AF971" s="167">
        <f t="shared" si="7"/>
        <v>0</v>
      </c>
      <c r="AG971" s="167">
        <f t="shared" si="8"/>
        <v>0</v>
      </c>
      <c r="AH971" s="158"/>
      <c r="AI971" s="158"/>
    </row>
    <row r="972" ht="12.75" customHeight="1">
      <c r="B972" s="160" t="str">
        <f>iferror(VLOOKUP((LEFT(A972,6)),CUSTOMER_DETAILS,2,FALSE),"-")</f>
        <v>-</v>
      </c>
      <c r="C972" s="161" t="s">
        <v>89</v>
      </c>
      <c r="D972" s="162"/>
      <c r="E972" s="161" t="s">
        <v>89</v>
      </c>
      <c r="F972" s="30" t="s">
        <v>89</v>
      </c>
      <c r="G972" s="30" t="s">
        <v>89</v>
      </c>
      <c r="H972" s="30" t="s">
        <v>89</v>
      </c>
      <c r="I972" s="48" t="s">
        <v>108</v>
      </c>
      <c r="J972" s="188" t="str">
        <f t="shared" si="15"/>
        <v/>
      </c>
      <c r="L972" s="48" t="s">
        <v>108</v>
      </c>
      <c r="O972" s="30" t="s">
        <v>89</v>
      </c>
      <c r="Q972" s="192"/>
      <c r="R972" s="161" t="str">
        <f>IFERROR(VLOOKUP(Q972,'PRODUCT TABLE'!$A$2:$B$26,2,FALSE),"-")</f>
        <v>-</v>
      </c>
      <c r="V972" s="161">
        <f t="shared" si="14"/>
        <v>0</v>
      </c>
      <c r="Y972" s="30"/>
      <c r="Z972" s="169">
        <f t="shared" si="2"/>
        <v>0</v>
      </c>
      <c r="AA972" s="167">
        <f t="shared" si="3"/>
        <v>0</v>
      </c>
      <c r="AB972" s="161"/>
      <c r="AC972" s="161">
        <f t="shared" si="4"/>
        <v>0</v>
      </c>
      <c r="AD972" s="161">
        <f t="shared" si="5"/>
        <v>0</v>
      </c>
      <c r="AE972" s="161">
        <f t="shared" si="6"/>
        <v>0</v>
      </c>
      <c r="AF972" s="167">
        <f t="shared" si="7"/>
        <v>0</v>
      </c>
      <c r="AG972" s="167">
        <f t="shared" si="8"/>
        <v>0</v>
      </c>
      <c r="AH972" s="158"/>
      <c r="AI972" s="158"/>
    </row>
    <row r="973" ht="12.75" customHeight="1">
      <c r="B973" s="160" t="str">
        <f>iferror(VLOOKUP((LEFT(A973,6)),CUSTOMER_DETAILS,2,FALSE),"-")</f>
        <v>-</v>
      </c>
      <c r="C973" s="161" t="s">
        <v>89</v>
      </c>
      <c r="D973" s="162"/>
      <c r="E973" s="161" t="s">
        <v>89</v>
      </c>
      <c r="F973" s="30" t="s">
        <v>89</v>
      </c>
      <c r="G973" s="30" t="s">
        <v>89</v>
      </c>
      <c r="H973" s="30" t="s">
        <v>89</v>
      </c>
      <c r="I973" s="48" t="s">
        <v>108</v>
      </c>
      <c r="J973" s="188" t="str">
        <f t="shared" si="15"/>
        <v/>
      </c>
      <c r="L973" s="48" t="s">
        <v>108</v>
      </c>
      <c r="O973" s="30" t="s">
        <v>89</v>
      </c>
      <c r="Q973" s="192"/>
      <c r="R973" s="161" t="str">
        <f>IFERROR(VLOOKUP(Q973,'PRODUCT TABLE'!$A$2:$B$26,2,FALSE),"-")</f>
        <v>-</v>
      </c>
      <c r="V973" s="161">
        <f t="shared" si="14"/>
        <v>0</v>
      </c>
      <c r="Y973" s="30"/>
      <c r="Z973" s="169">
        <f t="shared" si="2"/>
        <v>0</v>
      </c>
      <c r="AA973" s="167">
        <f t="shared" si="3"/>
        <v>0</v>
      </c>
      <c r="AB973" s="161"/>
      <c r="AC973" s="161">
        <f t="shared" si="4"/>
        <v>0</v>
      </c>
      <c r="AD973" s="161">
        <f t="shared" si="5"/>
        <v>0</v>
      </c>
      <c r="AE973" s="161">
        <f t="shared" si="6"/>
        <v>0</v>
      </c>
      <c r="AF973" s="167">
        <f t="shared" si="7"/>
        <v>0</v>
      </c>
      <c r="AG973" s="167">
        <f t="shared" si="8"/>
        <v>0</v>
      </c>
      <c r="AH973" s="158"/>
      <c r="AI973" s="158"/>
    </row>
    <row r="974" ht="12.75" customHeight="1">
      <c r="B974" s="160" t="str">
        <f>iferror(VLOOKUP((LEFT(A974,6)),CUSTOMER_DETAILS,2,FALSE),"-")</f>
        <v>-</v>
      </c>
      <c r="C974" s="161" t="s">
        <v>89</v>
      </c>
      <c r="D974" s="162"/>
      <c r="E974" s="161" t="s">
        <v>89</v>
      </c>
      <c r="F974" s="30" t="s">
        <v>89</v>
      </c>
      <c r="G974" s="30" t="s">
        <v>89</v>
      </c>
      <c r="H974" s="30" t="s">
        <v>89</v>
      </c>
      <c r="I974" s="48" t="s">
        <v>108</v>
      </c>
      <c r="J974" s="188" t="str">
        <f t="shared" si="15"/>
        <v/>
      </c>
      <c r="L974" s="48" t="s">
        <v>108</v>
      </c>
      <c r="O974" s="30" t="s">
        <v>89</v>
      </c>
      <c r="Q974" s="192"/>
      <c r="R974" s="161" t="str">
        <f>IFERROR(VLOOKUP(Q974,'PRODUCT TABLE'!$A$2:$B$26,2,FALSE),"-")</f>
        <v>-</v>
      </c>
      <c r="V974" s="161">
        <f t="shared" si="14"/>
        <v>0</v>
      </c>
      <c r="Y974" s="30"/>
      <c r="Z974" s="169">
        <f t="shared" si="2"/>
        <v>0</v>
      </c>
      <c r="AA974" s="167">
        <f t="shared" si="3"/>
        <v>0</v>
      </c>
      <c r="AB974" s="161"/>
      <c r="AC974" s="161">
        <f t="shared" si="4"/>
        <v>0</v>
      </c>
      <c r="AD974" s="161">
        <f t="shared" si="5"/>
        <v>0</v>
      </c>
      <c r="AE974" s="161">
        <f t="shared" si="6"/>
        <v>0</v>
      </c>
      <c r="AF974" s="167">
        <f t="shared" si="7"/>
        <v>0</v>
      </c>
      <c r="AG974" s="167">
        <f t="shared" si="8"/>
        <v>0</v>
      </c>
      <c r="AH974" s="158"/>
      <c r="AI974" s="158"/>
    </row>
    <row r="975" ht="12.75" customHeight="1">
      <c r="B975" s="160" t="str">
        <f>iferror(VLOOKUP((LEFT(A975,6)),CUSTOMER_DETAILS,2,FALSE),"-")</f>
        <v>-</v>
      </c>
      <c r="C975" s="161" t="s">
        <v>89</v>
      </c>
      <c r="D975" s="162"/>
      <c r="E975" s="161" t="s">
        <v>89</v>
      </c>
      <c r="F975" s="30" t="s">
        <v>89</v>
      </c>
      <c r="G975" s="30" t="s">
        <v>89</v>
      </c>
      <c r="H975" s="30" t="s">
        <v>89</v>
      </c>
      <c r="I975" s="48" t="s">
        <v>108</v>
      </c>
      <c r="J975" s="188" t="str">
        <f t="shared" si="15"/>
        <v/>
      </c>
      <c r="L975" s="48" t="s">
        <v>108</v>
      </c>
      <c r="O975" s="30" t="s">
        <v>89</v>
      </c>
      <c r="Q975" s="192"/>
      <c r="R975" s="161" t="str">
        <f>IFERROR(VLOOKUP(Q975,'PRODUCT TABLE'!$A$2:$B$26,2,FALSE),"-")</f>
        <v>-</v>
      </c>
      <c r="V975" s="161">
        <f t="shared" si="14"/>
        <v>0</v>
      </c>
      <c r="Y975" s="30"/>
      <c r="Z975" s="169">
        <f t="shared" si="2"/>
        <v>0</v>
      </c>
      <c r="AA975" s="167">
        <f t="shared" si="3"/>
        <v>0</v>
      </c>
      <c r="AB975" s="161"/>
      <c r="AC975" s="161">
        <f t="shared" si="4"/>
        <v>0</v>
      </c>
      <c r="AD975" s="161">
        <f t="shared" si="5"/>
        <v>0</v>
      </c>
      <c r="AE975" s="161">
        <f t="shared" si="6"/>
        <v>0</v>
      </c>
      <c r="AF975" s="167">
        <f t="shared" si="7"/>
        <v>0</v>
      </c>
      <c r="AG975" s="167">
        <f t="shared" si="8"/>
        <v>0</v>
      </c>
      <c r="AH975" s="158"/>
      <c r="AI975" s="158"/>
    </row>
    <row r="976" ht="12.75" customHeight="1">
      <c r="B976" s="160" t="str">
        <f>iferror(VLOOKUP((LEFT(A976,6)),CUSTOMER_DETAILS,2,FALSE),"-")</f>
        <v>-</v>
      </c>
      <c r="C976" s="161" t="s">
        <v>89</v>
      </c>
      <c r="D976" s="162"/>
      <c r="E976" s="161" t="s">
        <v>89</v>
      </c>
      <c r="F976" s="30" t="s">
        <v>89</v>
      </c>
      <c r="G976" s="30" t="s">
        <v>89</v>
      </c>
      <c r="H976" s="30" t="s">
        <v>89</v>
      </c>
      <c r="I976" s="48" t="s">
        <v>108</v>
      </c>
      <c r="J976" s="188" t="str">
        <f t="shared" si="15"/>
        <v/>
      </c>
      <c r="L976" s="48" t="s">
        <v>108</v>
      </c>
      <c r="O976" s="30" t="s">
        <v>89</v>
      </c>
      <c r="Q976" s="192"/>
      <c r="R976" s="161" t="str">
        <f>IFERROR(VLOOKUP(Q976,'PRODUCT TABLE'!$A$2:$B$26,2,FALSE),"-")</f>
        <v>-</v>
      </c>
      <c r="V976" s="161">
        <f t="shared" si="14"/>
        <v>0</v>
      </c>
      <c r="Y976" s="30"/>
      <c r="Z976" s="169">
        <f t="shared" si="2"/>
        <v>0</v>
      </c>
      <c r="AA976" s="167">
        <f t="shared" si="3"/>
        <v>0</v>
      </c>
      <c r="AB976" s="161"/>
      <c r="AC976" s="161">
        <f t="shared" si="4"/>
        <v>0</v>
      </c>
      <c r="AD976" s="161">
        <f t="shared" si="5"/>
        <v>0</v>
      </c>
      <c r="AE976" s="161">
        <f t="shared" si="6"/>
        <v>0</v>
      </c>
      <c r="AF976" s="167">
        <f t="shared" si="7"/>
        <v>0</v>
      </c>
      <c r="AG976" s="167">
        <f t="shared" si="8"/>
        <v>0</v>
      </c>
      <c r="AH976" s="158"/>
      <c r="AI976" s="158"/>
    </row>
    <row r="977" ht="12.75" customHeight="1">
      <c r="B977" s="160" t="str">
        <f>iferror(VLOOKUP((LEFT(A977,6)),CUSTOMER_DETAILS,2,FALSE),"-")</f>
        <v>-</v>
      </c>
      <c r="C977" s="161" t="s">
        <v>89</v>
      </c>
      <c r="D977" s="162"/>
      <c r="E977" s="161" t="s">
        <v>89</v>
      </c>
      <c r="F977" s="30" t="s">
        <v>89</v>
      </c>
      <c r="G977" s="30" t="s">
        <v>89</v>
      </c>
      <c r="H977" s="30" t="s">
        <v>89</v>
      </c>
      <c r="I977" s="48" t="s">
        <v>108</v>
      </c>
      <c r="J977" s="188" t="str">
        <f t="shared" si="15"/>
        <v/>
      </c>
      <c r="L977" s="48" t="s">
        <v>108</v>
      </c>
      <c r="O977" s="30" t="s">
        <v>89</v>
      </c>
      <c r="Q977" s="192"/>
      <c r="R977" s="161" t="str">
        <f>IFERROR(VLOOKUP(Q977,'PRODUCT TABLE'!$A$2:$B$26,2,FALSE),"-")</f>
        <v>-</v>
      </c>
      <c r="V977" s="161">
        <f t="shared" si="14"/>
        <v>0</v>
      </c>
      <c r="Y977" s="30"/>
      <c r="Z977" s="169">
        <f t="shared" si="2"/>
        <v>0</v>
      </c>
      <c r="AA977" s="167">
        <f t="shared" si="3"/>
        <v>0</v>
      </c>
      <c r="AB977" s="161"/>
      <c r="AC977" s="161">
        <f t="shared" si="4"/>
        <v>0</v>
      </c>
      <c r="AD977" s="161">
        <f t="shared" si="5"/>
        <v>0</v>
      </c>
      <c r="AE977" s="161">
        <f t="shared" si="6"/>
        <v>0</v>
      </c>
      <c r="AF977" s="167">
        <f t="shared" si="7"/>
        <v>0</v>
      </c>
      <c r="AG977" s="167">
        <f t="shared" si="8"/>
        <v>0</v>
      </c>
      <c r="AH977" s="158"/>
      <c r="AI977" s="158"/>
    </row>
    <row r="978" ht="12.75" customHeight="1">
      <c r="B978" s="160" t="str">
        <f>iferror(VLOOKUP((LEFT(A978,6)),CUSTOMER_DETAILS,2,FALSE),"-")</f>
        <v>-</v>
      </c>
      <c r="C978" s="161" t="s">
        <v>89</v>
      </c>
      <c r="D978" s="162"/>
      <c r="E978" s="161" t="s">
        <v>89</v>
      </c>
      <c r="F978" s="30" t="s">
        <v>89</v>
      </c>
      <c r="G978" s="30" t="s">
        <v>89</v>
      </c>
      <c r="H978" s="30" t="s">
        <v>89</v>
      </c>
      <c r="I978" s="48" t="s">
        <v>108</v>
      </c>
      <c r="J978" s="188" t="str">
        <f t="shared" si="15"/>
        <v/>
      </c>
      <c r="L978" s="48" t="s">
        <v>108</v>
      </c>
      <c r="O978" s="30" t="s">
        <v>89</v>
      </c>
      <c r="Q978" s="192"/>
      <c r="R978" s="161" t="str">
        <f>IFERROR(VLOOKUP(Q978,'PRODUCT TABLE'!$A$2:$B$26,2,FALSE),"-")</f>
        <v>-</v>
      </c>
      <c r="V978" s="161">
        <f t="shared" si="14"/>
        <v>0</v>
      </c>
      <c r="Y978" s="30"/>
      <c r="Z978" s="169">
        <f t="shared" si="2"/>
        <v>0</v>
      </c>
      <c r="AA978" s="167">
        <f t="shared" si="3"/>
        <v>0</v>
      </c>
      <c r="AB978" s="161"/>
      <c r="AC978" s="161">
        <f t="shared" si="4"/>
        <v>0</v>
      </c>
      <c r="AD978" s="161">
        <f t="shared" si="5"/>
        <v>0</v>
      </c>
      <c r="AE978" s="161">
        <f t="shared" si="6"/>
        <v>0</v>
      </c>
      <c r="AF978" s="167">
        <f t="shared" si="7"/>
        <v>0</v>
      </c>
      <c r="AG978" s="167">
        <f t="shared" si="8"/>
        <v>0</v>
      </c>
      <c r="AH978" s="158"/>
      <c r="AI978" s="158"/>
    </row>
    <row r="979" ht="12.75" customHeight="1">
      <c r="B979" s="160" t="str">
        <f>iferror(VLOOKUP((LEFT(A979,6)),CUSTOMER_DETAILS,2,FALSE),"-")</f>
        <v>-</v>
      </c>
      <c r="C979" s="161" t="s">
        <v>89</v>
      </c>
      <c r="D979" s="162"/>
      <c r="E979" s="161" t="s">
        <v>89</v>
      </c>
      <c r="F979" s="30" t="s">
        <v>89</v>
      </c>
      <c r="G979" s="30" t="s">
        <v>89</v>
      </c>
      <c r="H979" s="30" t="s">
        <v>89</v>
      </c>
      <c r="I979" s="48" t="s">
        <v>108</v>
      </c>
      <c r="J979" s="188" t="str">
        <f t="shared" si="15"/>
        <v/>
      </c>
      <c r="L979" s="48" t="s">
        <v>108</v>
      </c>
      <c r="O979" s="30" t="s">
        <v>89</v>
      </c>
      <c r="Q979" s="192"/>
      <c r="R979" s="161" t="str">
        <f>IFERROR(VLOOKUP(Q979,'PRODUCT TABLE'!$A$2:$B$26,2,FALSE),"-")</f>
        <v>-</v>
      </c>
      <c r="V979" s="161">
        <f t="shared" si="14"/>
        <v>0</v>
      </c>
      <c r="Y979" s="30"/>
      <c r="Z979" s="169">
        <f t="shared" si="2"/>
        <v>0</v>
      </c>
      <c r="AA979" s="167">
        <f t="shared" si="3"/>
        <v>0</v>
      </c>
      <c r="AB979" s="161"/>
      <c r="AC979" s="161">
        <f t="shared" si="4"/>
        <v>0</v>
      </c>
      <c r="AD979" s="161">
        <f t="shared" si="5"/>
        <v>0</v>
      </c>
      <c r="AE979" s="161">
        <f t="shared" si="6"/>
        <v>0</v>
      </c>
      <c r="AF979" s="167">
        <f t="shared" si="7"/>
        <v>0</v>
      </c>
      <c r="AG979" s="167">
        <f t="shared" si="8"/>
        <v>0</v>
      </c>
      <c r="AH979" s="158"/>
      <c r="AI979" s="158"/>
    </row>
    <row r="980" ht="12.75" customHeight="1">
      <c r="B980" s="160" t="str">
        <f>iferror(VLOOKUP((LEFT(A980,6)),CUSTOMER_DETAILS,2,FALSE),"-")</f>
        <v>-</v>
      </c>
      <c r="C980" s="161" t="s">
        <v>89</v>
      </c>
      <c r="D980" s="162"/>
      <c r="E980" s="161" t="s">
        <v>89</v>
      </c>
      <c r="F980" s="30" t="s">
        <v>89</v>
      </c>
      <c r="G980" s="30" t="s">
        <v>89</v>
      </c>
      <c r="H980" s="30" t="s">
        <v>89</v>
      </c>
      <c r="I980" s="48" t="s">
        <v>108</v>
      </c>
      <c r="J980" s="188" t="str">
        <f t="shared" si="15"/>
        <v/>
      </c>
      <c r="L980" s="48" t="s">
        <v>108</v>
      </c>
      <c r="O980" s="30" t="s">
        <v>89</v>
      </c>
      <c r="Q980" s="192"/>
      <c r="R980" s="161" t="str">
        <f>IFERROR(VLOOKUP(Q980,'PRODUCT TABLE'!$A$2:$B$26,2,FALSE),"-")</f>
        <v>-</v>
      </c>
      <c r="V980" s="161">
        <f t="shared" si="14"/>
        <v>0</v>
      </c>
      <c r="Y980" s="30"/>
      <c r="Z980" s="169">
        <f t="shared" si="2"/>
        <v>0</v>
      </c>
      <c r="AA980" s="167">
        <f t="shared" si="3"/>
        <v>0</v>
      </c>
      <c r="AB980" s="161"/>
      <c r="AC980" s="161">
        <f t="shared" si="4"/>
        <v>0</v>
      </c>
      <c r="AD980" s="161">
        <f t="shared" si="5"/>
        <v>0</v>
      </c>
      <c r="AE980" s="161">
        <f t="shared" si="6"/>
        <v>0</v>
      </c>
      <c r="AF980" s="167">
        <f t="shared" si="7"/>
        <v>0</v>
      </c>
      <c r="AG980" s="167">
        <f t="shared" si="8"/>
        <v>0</v>
      </c>
      <c r="AH980" s="158"/>
      <c r="AI980" s="158"/>
    </row>
    <row r="981" ht="12.75" customHeight="1">
      <c r="B981" s="160" t="str">
        <f>iferror(VLOOKUP((LEFT(A981,6)),CUSTOMER_DETAILS,2,FALSE),"-")</f>
        <v>-</v>
      </c>
      <c r="C981" s="161" t="s">
        <v>89</v>
      </c>
      <c r="D981" s="162"/>
      <c r="E981" s="161" t="s">
        <v>89</v>
      </c>
      <c r="F981" s="30" t="s">
        <v>89</v>
      </c>
      <c r="G981" s="30" t="s">
        <v>89</v>
      </c>
      <c r="H981" s="30" t="s">
        <v>89</v>
      </c>
      <c r="I981" s="48" t="s">
        <v>108</v>
      </c>
      <c r="J981" s="188" t="str">
        <f t="shared" si="15"/>
        <v/>
      </c>
      <c r="L981" s="48" t="s">
        <v>108</v>
      </c>
      <c r="O981" s="30" t="s">
        <v>89</v>
      </c>
      <c r="Q981" s="192"/>
      <c r="R981" s="161" t="str">
        <f>IFERROR(VLOOKUP(Q981,'PRODUCT TABLE'!$A$2:$B$26,2,FALSE),"-")</f>
        <v>-</v>
      </c>
      <c r="V981" s="161">
        <f t="shared" si="14"/>
        <v>0</v>
      </c>
      <c r="Y981" s="30"/>
      <c r="Z981" s="169">
        <f t="shared" si="2"/>
        <v>0</v>
      </c>
      <c r="AA981" s="167">
        <f t="shared" si="3"/>
        <v>0</v>
      </c>
      <c r="AB981" s="161"/>
      <c r="AC981" s="161">
        <f t="shared" si="4"/>
        <v>0</v>
      </c>
      <c r="AD981" s="161">
        <f t="shared" si="5"/>
        <v>0</v>
      </c>
      <c r="AE981" s="161">
        <f t="shared" si="6"/>
        <v>0</v>
      </c>
      <c r="AF981" s="167">
        <f t="shared" si="7"/>
        <v>0</v>
      </c>
      <c r="AG981" s="167">
        <f t="shared" si="8"/>
        <v>0</v>
      </c>
      <c r="AH981" s="158"/>
      <c r="AI981" s="158"/>
    </row>
    <row r="982" ht="12.75" customHeight="1">
      <c r="B982" s="160" t="str">
        <f>iferror(VLOOKUP((LEFT(A982,6)),CUSTOMER_DETAILS,2,FALSE),"-")</f>
        <v>-</v>
      </c>
      <c r="C982" s="161" t="s">
        <v>89</v>
      </c>
      <c r="D982" s="162"/>
      <c r="E982" s="161" t="s">
        <v>89</v>
      </c>
      <c r="F982" s="30" t="s">
        <v>89</v>
      </c>
      <c r="G982" s="30" t="s">
        <v>89</v>
      </c>
      <c r="H982" s="30" t="s">
        <v>89</v>
      </c>
      <c r="I982" s="48" t="s">
        <v>108</v>
      </c>
      <c r="J982" s="188" t="str">
        <f t="shared" si="15"/>
        <v/>
      </c>
      <c r="L982" s="48" t="s">
        <v>108</v>
      </c>
      <c r="O982" s="30" t="s">
        <v>89</v>
      </c>
      <c r="Q982" s="192"/>
      <c r="R982" s="161" t="str">
        <f>IFERROR(VLOOKUP(Q982,'PRODUCT TABLE'!$A$2:$B$26,2,FALSE),"-")</f>
        <v>-</v>
      </c>
      <c r="V982" s="161">
        <f t="shared" si="14"/>
        <v>0</v>
      </c>
      <c r="Y982" s="30"/>
      <c r="Z982" s="169">
        <f t="shared" si="2"/>
        <v>0</v>
      </c>
      <c r="AA982" s="167">
        <f t="shared" si="3"/>
        <v>0</v>
      </c>
      <c r="AB982" s="161"/>
      <c r="AC982" s="161">
        <f t="shared" si="4"/>
        <v>0</v>
      </c>
      <c r="AD982" s="161">
        <f t="shared" si="5"/>
        <v>0</v>
      </c>
      <c r="AE982" s="161">
        <f t="shared" si="6"/>
        <v>0</v>
      </c>
      <c r="AF982" s="167">
        <f t="shared" si="7"/>
        <v>0</v>
      </c>
      <c r="AG982" s="167">
        <f t="shared" si="8"/>
        <v>0</v>
      </c>
      <c r="AH982" s="158"/>
      <c r="AI982" s="158"/>
    </row>
    <row r="983" ht="12.75" customHeight="1">
      <c r="B983" s="160" t="str">
        <f>iferror(VLOOKUP((LEFT(A983,6)),CUSTOMER_DETAILS,2,FALSE),"-")</f>
        <v>-</v>
      </c>
      <c r="C983" s="161" t="s">
        <v>89</v>
      </c>
      <c r="D983" s="162"/>
      <c r="E983" s="161" t="s">
        <v>89</v>
      </c>
      <c r="F983" s="30" t="s">
        <v>89</v>
      </c>
      <c r="G983" s="30" t="s">
        <v>89</v>
      </c>
      <c r="H983" s="30" t="s">
        <v>89</v>
      </c>
      <c r="I983" s="48" t="s">
        <v>108</v>
      </c>
      <c r="J983" s="188" t="str">
        <f t="shared" si="15"/>
        <v/>
      </c>
      <c r="L983" s="48" t="s">
        <v>108</v>
      </c>
      <c r="O983" s="30" t="s">
        <v>89</v>
      </c>
      <c r="Q983" s="192"/>
      <c r="R983" s="161" t="str">
        <f>IFERROR(VLOOKUP(Q983,'PRODUCT TABLE'!$A$2:$B$26,2,FALSE),"-")</f>
        <v>-</v>
      </c>
      <c r="V983" s="161">
        <f t="shared" si="14"/>
        <v>0</v>
      </c>
      <c r="Y983" s="30"/>
      <c r="Z983" s="169">
        <f t="shared" si="2"/>
        <v>0</v>
      </c>
      <c r="AA983" s="167">
        <f t="shared" si="3"/>
        <v>0</v>
      </c>
      <c r="AB983" s="161"/>
      <c r="AC983" s="161">
        <f t="shared" si="4"/>
        <v>0</v>
      </c>
      <c r="AD983" s="161">
        <f t="shared" si="5"/>
        <v>0</v>
      </c>
      <c r="AE983" s="161">
        <f t="shared" si="6"/>
        <v>0</v>
      </c>
      <c r="AF983" s="167">
        <f t="shared" si="7"/>
        <v>0</v>
      </c>
      <c r="AG983" s="167">
        <f t="shared" si="8"/>
        <v>0</v>
      </c>
      <c r="AH983" s="158"/>
      <c r="AI983" s="158"/>
    </row>
    <row r="984" ht="12.75" customHeight="1">
      <c r="B984" s="160" t="str">
        <f>iferror(VLOOKUP((LEFT(A984,6)),CUSTOMER_DETAILS,2,FALSE),"-")</f>
        <v>-</v>
      </c>
      <c r="C984" s="161" t="s">
        <v>89</v>
      </c>
      <c r="D984" s="162"/>
      <c r="E984" s="161" t="s">
        <v>89</v>
      </c>
      <c r="F984" s="30" t="s">
        <v>89</v>
      </c>
      <c r="G984" s="30" t="s">
        <v>89</v>
      </c>
      <c r="H984" s="30" t="s">
        <v>89</v>
      </c>
      <c r="I984" s="48" t="s">
        <v>108</v>
      </c>
      <c r="J984" s="188" t="str">
        <f t="shared" si="15"/>
        <v/>
      </c>
      <c r="L984" s="48" t="s">
        <v>108</v>
      </c>
      <c r="O984" s="30" t="s">
        <v>89</v>
      </c>
      <c r="Q984" s="192"/>
      <c r="R984" s="161" t="str">
        <f>IFERROR(VLOOKUP(Q984,'PRODUCT TABLE'!$A$2:$B$26,2,FALSE),"-")</f>
        <v>-</v>
      </c>
      <c r="V984" s="161">
        <f t="shared" si="14"/>
        <v>0</v>
      </c>
      <c r="Y984" s="30"/>
      <c r="Z984" s="169">
        <f t="shared" si="2"/>
        <v>0</v>
      </c>
      <c r="AA984" s="167">
        <f t="shared" si="3"/>
        <v>0</v>
      </c>
      <c r="AB984" s="161"/>
      <c r="AC984" s="161">
        <f t="shared" si="4"/>
        <v>0</v>
      </c>
      <c r="AD984" s="161">
        <f t="shared" si="5"/>
        <v>0</v>
      </c>
      <c r="AE984" s="161">
        <f t="shared" si="6"/>
        <v>0</v>
      </c>
      <c r="AF984" s="167">
        <f t="shared" si="7"/>
        <v>0</v>
      </c>
      <c r="AG984" s="167">
        <f t="shared" si="8"/>
        <v>0</v>
      </c>
      <c r="AH984" s="158"/>
      <c r="AI984" s="158"/>
    </row>
    <row r="985" ht="12.75" customHeight="1">
      <c r="B985" s="160" t="str">
        <f>iferror(VLOOKUP((LEFT(A985,6)),CUSTOMER_DETAILS,2,FALSE),"-")</f>
        <v>-</v>
      </c>
      <c r="C985" s="161" t="s">
        <v>89</v>
      </c>
      <c r="D985" s="162"/>
      <c r="E985" s="161" t="s">
        <v>89</v>
      </c>
      <c r="F985" s="30" t="s">
        <v>89</v>
      </c>
      <c r="G985" s="30" t="s">
        <v>89</v>
      </c>
      <c r="H985" s="30" t="s">
        <v>89</v>
      </c>
      <c r="I985" s="48" t="s">
        <v>108</v>
      </c>
      <c r="J985" s="188" t="str">
        <f t="shared" si="15"/>
        <v/>
      </c>
      <c r="L985" s="48" t="s">
        <v>108</v>
      </c>
      <c r="O985" s="30" t="s">
        <v>89</v>
      </c>
      <c r="Q985" s="192"/>
      <c r="R985" s="161" t="str">
        <f>IFERROR(VLOOKUP(Q985,'PRODUCT TABLE'!$A$2:$B$26,2,FALSE),"-")</f>
        <v>-</v>
      </c>
      <c r="V985" s="161">
        <f t="shared" si="14"/>
        <v>0</v>
      </c>
      <c r="Y985" s="30"/>
      <c r="Z985" s="169">
        <f t="shared" si="2"/>
        <v>0</v>
      </c>
      <c r="AA985" s="167">
        <f t="shared" si="3"/>
        <v>0</v>
      </c>
      <c r="AB985" s="161"/>
      <c r="AC985" s="161">
        <f t="shared" si="4"/>
        <v>0</v>
      </c>
      <c r="AD985" s="161">
        <f t="shared" si="5"/>
        <v>0</v>
      </c>
      <c r="AE985" s="161">
        <f t="shared" si="6"/>
        <v>0</v>
      </c>
      <c r="AF985" s="167">
        <f t="shared" si="7"/>
        <v>0</v>
      </c>
      <c r="AG985" s="167">
        <f t="shared" si="8"/>
        <v>0</v>
      </c>
      <c r="AH985" s="158"/>
      <c r="AI985" s="158"/>
    </row>
    <row r="986" ht="12.75" customHeight="1">
      <c r="B986" s="160" t="str">
        <f>iferror(VLOOKUP((LEFT(A986,6)),CUSTOMER_DETAILS,2,FALSE),"-")</f>
        <v>-</v>
      </c>
      <c r="C986" s="161" t="s">
        <v>89</v>
      </c>
      <c r="D986" s="162"/>
      <c r="E986" s="161" t="s">
        <v>89</v>
      </c>
      <c r="F986" s="30" t="s">
        <v>89</v>
      </c>
      <c r="G986" s="30" t="s">
        <v>89</v>
      </c>
      <c r="H986" s="30" t="s">
        <v>89</v>
      </c>
      <c r="I986" s="48" t="s">
        <v>108</v>
      </c>
      <c r="J986" s="188" t="str">
        <f t="shared" si="15"/>
        <v/>
      </c>
      <c r="L986" s="48" t="s">
        <v>108</v>
      </c>
      <c r="O986" s="30" t="s">
        <v>89</v>
      </c>
      <c r="Q986" s="192"/>
      <c r="R986" s="161" t="str">
        <f>IFERROR(VLOOKUP(Q986,'PRODUCT TABLE'!$A$2:$B$26,2,FALSE),"-")</f>
        <v>-</v>
      </c>
      <c r="V986" s="161">
        <f t="shared" si="14"/>
        <v>0</v>
      </c>
      <c r="Y986" s="30"/>
      <c r="Z986" s="169">
        <f t="shared" si="2"/>
        <v>0</v>
      </c>
      <c r="AA986" s="167">
        <f t="shared" si="3"/>
        <v>0</v>
      </c>
      <c r="AB986" s="161"/>
      <c r="AC986" s="161">
        <f t="shared" si="4"/>
        <v>0</v>
      </c>
      <c r="AD986" s="161">
        <f t="shared" si="5"/>
        <v>0</v>
      </c>
      <c r="AE986" s="161">
        <f t="shared" si="6"/>
        <v>0</v>
      </c>
      <c r="AF986" s="167">
        <f t="shared" si="7"/>
        <v>0</v>
      </c>
      <c r="AG986" s="167">
        <f t="shared" si="8"/>
        <v>0</v>
      </c>
      <c r="AH986" s="158"/>
      <c r="AI986" s="158"/>
    </row>
    <row r="987" ht="12.75" customHeight="1">
      <c r="B987" s="160" t="str">
        <f>iferror(VLOOKUP((LEFT(A987,6)),CUSTOMER_DETAILS,2,FALSE),"-")</f>
        <v>-</v>
      </c>
      <c r="C987" s="161" t="s">
        <v>89</v>
      </c>
      <c r="D987" s="162"/>
      <c r="E987" s="161" t="s">
        <v>89</v>
      </c>
      <c r="F987" s="30" t="s">
        <v>89</v>
      </c>
      <c r="G987" s="30" t="s">
        <v>89</v>
      </c>
      <c r="H987" s="30" t="s">
        <v>89</v>
      </c>
      <c r="I987" s="48" t="s">
        <v>108</v>
      </c>
      <c r="J987" s="188" t="str">
        <f t="shared" si="15"/>
        <v/>
      </c>
      <c r="L987" s="48" t="s">
        <v>108</v>
      </c>
      <c r="O987" s="30" t="s">
        <v>89</v>
      </c>
      <c r="Q987" s="192"/>
      <c r="R987" s="161" t="str">
        <f>IFERROR(VLOOKUP(Q987,'PRODUCT TABLE'!$A$2:$B$26,2,FALSE),"-")</f>
        <v>-</v>
      </c>
      <c r="V987" s="161">
        <f t="shared" si="14"/>
        <v>0</v>
      </c>
      <c r="Y987" s="30"/>
      <c r="Z987" s="169">
        <f t="shared" si="2"/>
        <v>0</v>
      </c>
      <c r="AA987" s="167">
        <f t="shared" si="3"/>
        <v>0</v>
      </c>
      <c r="AB987" s="161"/>
      <c r="AC987" s="161">
        <f t="shared" si="4"/>
        <v>0</v>
      </c>
      <c r="AD987" s="161">
        <f t="shared" si="5"/>
        <v>0</v>
      </c>
      <c r="AE987" s="161">
        <f t="shared" si="6"/>
        <v>0</v>
      </c>
      <c r="AF987" s="167">
        <f t="shared" si="7"/>
        <v>0</v>
      </c>
      <c r="AG987" s="167">
        <f t="shared" si="8"/>
        <v>0</v>
      </c>
      <c r="AH987" s="158"/>
      <c r="AI987" s="158"/>
    </row>
    <row r="988" ht="12.75" customHeight="1">
      <c r="B988" s="160" t="str">
        <f>iferror(VLOOKUP((LEFT(A988,6)),CUSTOMER_DETAILS,2,FALSE),"-")</f>
        <v>-</v>
      </c>
      <c r="C988" s="161" t="s">
        <v>89</v>
      </c>
      <c r="D988" s="162"/>
      <c r="E988" s="161" t="s">
        <v>89</v>
      </c>
      <c r="F988" s="30" t="s">
        <v>89</v>
      </c>
      <c r="G988" s="30" t="s">
        <v>89</v>
      </c>
      <c r="H988" s="30" t="s">
        <v>89</v>
      </c>
      <c r="I988" s="48" t="s">
        <v>108</v>
      </c>
      <c r="J988" s="188" t="str">
        <f t="shared" si="15"/>
        <v/>
      </c>
      <c r="L988" s="48" t="s">
        <v>108</v>
      </c>
      <c r="O988" s="30" t="s">
        <v>89</v>
      </c>
      <c r="Q988" s="192"/>
      <c r="R988" s="161" t="str">
        <f>IFERROR(VLOOKUP(Q988,'PRODUCT TABLE'!$A$2:$B$26,2,FALSE),"-")</f>
        <v>-</v>
      </c>
      <c r="V988" s="161">
        <f t="shared" si="14"/>
        <v>0</v>
      </c>
      <c r="Y988" s="30"/>
      <c r="Z988" s="169">
        <f t="shared" si="2"/>
        <v>0</v>
      </c>
      <c r="AA988" s="167">
        <f t="shared" si="3"/>
        <v>0</v>
      </c>
      <c r="AB988" s="161"/>
      <c r="AC988" s="161">
        <f t="shared" si="4"/>
        <v>0</v>
      </c>
      <c r="AD988" s="161">
        <f t="shared" si="5"/>
        <v>0</v>
      </c>
      <c r="AE988" s="161">
        <f t="shared" si="6"/>
        <v>0</v>
      </c>
      <c r="AF988" s="167">
        <f t="shared" si="7"/>
        <v>0</v>
      </c>
      <c r="AG988" s="167">
        <f t="shared" si="8"/>
        <v>0</v>
      </c>
      <c r="AH988" s="158"/>
      <c r="AI988" s="158"/>
    </row>
    <row r="989" ht="12.75" customHeight="1">
      <c r="B989" s="160" t="str">
        <f>iferror(VLOOKUP((LEFT(A989,6)),CUSTOMER_DETAILS,2,FALSE),"-")</f>
        <v>-</v>
      </c>
      <c r="C989" s="161" t="s">
        <v>89</v>
      </c>
      <c r="D989" s="162"/>
      <c r="E989" s="161" t="s">
        <v>89</v>
      </c>
      <c r="F989" s="30" t="s">
        <v>89</v>
      </c>
      <c r="G989" s="30" t="s">
        <v>89</v>
      </c>
      <c r="H989" s="30" t="s">
        <v>89</v>
      </c>
      <c r="I989" s="48" t="s">
        <v>108</v>
      </c>
      <c r="J989" s="188" t="str">
        <f t="shared" si="15"/>
        <v/>
      </c>
      <c r="L989" s="48" t="s">
        <v>108</v>
      </c>
      <c r="O989" s="30" t="s">
        <v>89</v>
      </c>
      <c r="Q989" s="192"/>
      <c r="R989" s="161" t="str">
        <f>IFERROR(VLOOKUP(Q989,'PRODUCT TABLE'!$A$2:$B$26,2,FALSE),"-")</f>
        <v>-</v>
      </c>
      <c r="V989" s="161">
        <f t="shared" si="14"/>
        <v>0</v>
      </c>
      <c r="Y989" s="30"/>
      <c r="Z989" s="169">
        <f t="shared" si="2"/>
        <v>0</v>
      </c>
      <c r="AA989" s="167">
        <f t="shared" si="3"/>
        <v>0</v>
      </c>
      <c r="AB989" s="161"/>
      <c r="AC989" s="161">
        <f t="shared" si="4"/>
        <v>0</v>
      </c>
      <c r="AD989" s="161">
        <f t="shared" si="5"/>
        <v>0</v>
      </c>
      <c r="AE989" s="161">
        <f t="shared" si="6"/>
        <v>0</v>
      </c>
      <c r="AF989" s="167">
        <f t="shared" si="7"/>
        <v>0</v>
      </c>
      <c r="AG989" s="167">
        <f t="shared" si="8"/>
        <v>0</v>
      </c>
      <c r="AH989" s="158"/>
      <c r="AI989" s="158"/>
    </row>
    <row r="990" ht="12.75" customHeight="1">
      <c r="B990" s="160" t="str">
        <f>iferror(VLOOKUP((LEFT(A990,6)),CUSTOMER_DETAILS,2,FALSE),"-")</f>
        <v>-</v>
      </c>
      <c r="C990" s="161" t="s">
        <v>89</v>
      </c>
      <c r="D990" s="162"/>
      <c r="E990" s="161" t="s">
        <v>89</v>
      </c>
      <c r="F990" s="30" t="s">
        <v>89</v>
      </c>
      <c r="G990" s="30" t="s">
        <v>89</v>
      </c>
      <c r="H990" s="30" t="s">
        <v>89</v>
      </c>
      <c r="I990" s="48" t="s">
        <v>108</v>
      </c>
      <c r="J990" s="188" t="str">
        <f t="shared" si="15"/>
        <v/>
      </c>
      <c r="L990" s="48" t="s">
        <v>108</v>
      </c>
      <c r="O990" s="30" t="s">
        <v>89</v>
      </c>
      <c r="Q990" s="192"/>
      <c r="R990" s="161" t="str">
        <f>IFERROR(VLOOKUP(Q990,'PRODUCT TABLE'!$A$2:$B$26,2,FALSE),"-")</f>
        <v>-</v>
      </c>
      <c r="V990" s="161">
        <f t="shared" si="14"/>
        <v>0</v>
      </c>
      <c r="Y990" s="30"/>
      <c r="Z990" s="169">
        <f t="shared" si="2"/>
        <v>0</v>
      </c>
      <c r="AA990" s="167">
        <f t="shared" si="3"/>
        <v>0</v>
      </c>
      <c r="AB990" s="161"/>
      <c r="AC990" s="161">
        <f t="shared" si="4"/>
        <v>0</v>
      </c>
      <c r="AD990" s="161">
        <f t="shared" si="5"/>
        <v>0</v>
      </c>
      <c r="AE990" s="161">
        <f t="shared" si="6"/>
        <v>0</v>
      </c>
      <c r="AF990" s="167">
        <f t="shared" si="7"/>
        <v>0</v>
      </c>
      <c r="AG990" s="167">
        <f t="shared" si="8"/>
        <v>0</v>
      </c>
      <c r="AH990" s="158"/>
      <c r="AI990" s="158"/>
    </row>
    <row r="991" ht="12.75" customHeight="1">
      <c r="B991" s="160" t="str">
        <f>iferror(VLOOKUP((LEFT(A991,6)),CUSTOMER_DETAILS,2,FALSE),"-")</f>
        <v>-</v>
      </c>
      <c r="C991" s="161" t="s">
        <v>89</v>
      </c>
      <c r="D991" s="162"/>
      <c r="E991" s="161" t="s">
        <v>89</v>
      </c>
      <c r="F991" s="30" t="s">
        <v>89</v>
      </c>
      <c r="G991" s="30" t="s">
        <v>89</v>
      </c>
      <c r="H991" s="30" t="s">
        <v>89</v>
      </c>
      <c r="I991" s="48" t="s">
        <v>108</v>
      </c>
      <c r="J991" s="188" t="str">
        <f t="shared" si="15"/>
        <v/>
      </c>
      <c r="L991" s="48" t="s">
        <v>108</v>
      </c>
      <c r="O991" s="30" t="s">
        <v>89</v>
      </c>
      <c r="Q991" s="192"/>
      <c r="R991" s="161" t="str">
        <f>IFERROR(VLOOKUP(Q991,'PRODUCT TABLE'!$A$2:$B$26,2,FALSE),"-")</f>
        <v>-</v>
      </c>
      <c r="V991" s="161">
        <f t="shared" si="14"/>
        <v>0</v>
      </c>
      <c r="Y991" s="30"/>
      <c r="Z991" s="169">
        <f t="shared" si="2"/>
        <v>0</v>
      </c>
      <c r="AA991" s="167">
        <f t="shared" si="3"/>
        <v>0</v>
      </c>
      <c r="AB991" s="161"/>
      <c r="AC991" s="161">
        <f t="shared" si="4"/>
        <v>0</v>
      </c>
      <c r="AD991" s="161">
        <f t="shared" si="5"/>
        <v>0</v>
      </c>
      <c r="AE991" s="161">
        <f t="shared" si="6"/>
        <v>0</v>
      </c>
      <c r="AF991" s="167">
        <f t="shared" si="7"/>
        <v>0</v>
      </c>
      <c r="AG991" s="167">
        <f t="shared" si="8"/>
        <v>0</v>
      </c>
      <c r="AH991" s="158"/>
      <c r="AI991" s="158"/>
    </row>
    <row r="992" ht="12.75" customHeight="1">
      <c r="B992" s="160" t="str">
        <f>iferror(VLOOKUP((LEFT(A992,6)),CUSTOMER_DETAILS,2,FALSE),"-")</f>
        <v>-</v>
      </c>
      <c r="C992" s="161" t="s">
        <v>89</v>
      </c>
      <c r="D992" s="162"/>
      <c r="E992" s="161" t="s">
        <v>89</v>
      </c>
      <c r="F992" s="30" t="s">
        <v>89</v>
      </c>
      <c r="G992" s="30" t="s">
        <v>89</v>
      </c>
      <c r="H992" s="30" t="s">
        <v>89</v>
      </c>
      <c r="I992" s="48" t="s">
        <v>108</v>
      </c>
      <c r="J992" s="188" t="str">
        <f t="shared" si="15"/>
        <v/>
      </c>
      <c r="L992" s="48" t="s">
        <v>108</v>
      </c>
      <c r="O992" s="30" t="s">
        <v>89</v>
      </c>
      <c r="Q992" s="192"/>
      <c r="R992" s="161" t="str">
        <f>IFERROR(VLOOKUP(Q992,'PRODUCT TABLE'!$A$2:$B$26,2,FALSE),"-")</f>
        <v>-</v>
      </c>
      <c r="V992" s="161">
        <f t="shared" si="14"/>
        <v>0</v>
      </c>
      <c r="Y992" s="30"/>
      <c r="Z992" s="169">
        <f t="shared" si="2"/>
        <v>0</v>
      </c>
      <c r="AA992" s="167">
        <f t="shared" si="3"/>
        <v>0</v>
      </c>
      <c r="AB992" s="161"/>
      <c r="AC992" s="161">
        <f t="shared" si="4"/>
        <v>0</v>
      </c>
      <c r="AD992" s="161">
        <f t="shared" si="5"/>
        <v>0</v>
      </c>
      <c r="AE992" s="161">
        <f t="shared" si="6"/>
        <v>0</v>
      </c>
      <c r="AF992" s="167">
        <f t="shared" si="7"/>
        <v>0</v>
      </c>
      <c r="AG992" s="167">
        <f t="shared" si="8"/>
        <v>0</v>
      </c>
      <c r="AH992" s="158"/>
      <c r="AI992" s="158"/>
    </row>
    <row r="993" ht="12.75" customHeight="1">
      <c r="B993" s="160" t="str">
        <f>iferror(VLOOKUP((LEFT(A993,6)),CUSTOMER_DETAILS,2,FALSE),"-")</f>
        <v>-</v>
      </c>
      <c r="C993" s="161" t="s">
        <v>89</v>
      </c>
      <c r="D993" s="162"/>
      <c r="E993" s="161" t="s">
        <v>89</v>
      </c>
      <c r="F993" s="30" t="s">
        <v>89</v>
      </c>
      <c r="G993" s="30" t="s">
        <v>89</v>
      </c>
      <c r="H993" s="30" t="s">
        <v>89</v>
      </c>
      <c r="I993" s="48" t="s">
        <v>108</v>
      </c>
      <c r="J993" s="188" t="str">
        <f t="shared" si="15"/>
        <v/>
      </c>
      <c r="L993" s="48" t="s">
        <v>108</v>
      </c>
      <c r="O993" s="30" t="s">
        <v>89</v>
      </c>
      <c r="Q993" s="192"/>
      <c r="R993" s="161" t="str">
        <f>IFERROR(VLOOKUP(Q993,'PRODUCT TABLE'!$A$2:$B$26,2,FALSE),"-")</f>
        <v>-</v>
      </c>
      <c r="V993" s="161">
        <f t="shared" si="14"/>
        <v>0</v>
      </c>
      <c r="Y993" s="30"/>
      <c r="Z993" s="169">
        <f t="shared" si="2"/>
        <v>0</v>
      </c>
      <c r="AA993" s="167">
        <f t="shared" si="3"/>
        <v>0</v>
      </c>
      <c r="AB993" s="161"/>
      <c r="AC993" s="161">
        <f t="shared" si="4"/>
        <v>0</v>
      </c>
      <c r="AD993" s="161">
        <f t="shared" si="5"/>
        <v>0</v>
      </c>
      <c r="AE993" s="161">
        <f t="shared" si="6"/>
        <v>0</v>
      </c>
      <c r="AF993" s="167">
        <f t="shared" si="7"/>
        <v>0</v>
      </c>
      <c r="AG993" s="167">
        <f t="shared" si="8"/>
        <v>0</v>
      </c>
      <c r="AH993" s="158"/>
      <c r="AI993" s="158"/>
    </row>
    <row r="994" ht="12.75" customHeight="1">
      <c r="B994" s="160" t="str">
        <f>iferror(VLOOKUP((LEFT(A994,6)),CUSTOMER_DETAILS,2,FALSE),"-")</f>
        <v>-</v>
      </c>
      <c r="C994" s="161" t="s">
        <v>89</v>
      </c>
      <c r="D994" s="162"/>
      <c r="E994" s="161" t="s">
        <v>89</v>
      </c>
      <c r="F994" s="30" t="s">
        <v>89</v>
      </c>
      <c r="G994" s="30" t="s">
        <v>89</v>
      </c>
      <c r="H994" s="30" t="s">
        <v>89</v>
      </c>
      <c r="I994" s="48" t="s">
        <v>108</v>
      </c>
      <c r="J994" s="188" t="str">
        <f t="shared" si="15"/>
        <v/>
      </c>
      <c r="L994" s="48" t="s">
        <v>108</v>
      </c>
      <c r="O994" s="30" t="s">
        <v>89</v>
      </c>
      <c r="Q994" s="192"/>
      <c r="R994" s="161" t="str">
        <f>IFERROR(VLOOKUP(Q994,'PRODUCT TABLE'!$A$2:$B$26,2,FALSE),"-")</f>
        <v>-</v>
      </c>
      <c r="V994" s="161">
        <f t="shared" si="14"/>
        <v>0</v>
      </c>
      <c r="Y994" s="30"/>
      <c r="Z994" s="169">
        <f t="shared" si="2"/>
        <v>0</v>
      </c>
      <c r="AA994" s="167">
        <f t="shared" si="3"/>
        <v>0</v>
      </c>
      <c r="AB994" s="161"/>
      <c r="AC994" s="161">
        <f t="shared" si="4"/>
        <v>0</v>
      </c>
      <c r="AD994" s="161">
        <f t="shared" si="5"/>
        <v>0</v>
      </c>
      <c r="AE994" s="161">
        <f t="shared" si="6"/>
        <v>0</v>
      </c>
      <c r="AF994" s="167">
        <f t="shared" si="7"/>
        <v>0</v>
      </c>
      <c r="AG994" s="167">
        <f t="shared" si="8"/>
        <v>0</v>
      </c>
      <c r="AH994" s="158"/>
      <c r="AI994" s="158"/>
    </row>
    <row r="995" ht="12.75" customHeight="1">
      <c r="B995" s="160" t="str">
        <f>iferror(VLOOKUP((LEFT(A995,6)),CUSTOMER_DETAILS,2,FALSE),"-")</f>
        <v>-</v>
      </c>
      <c r="C995" s="161" t="s">
        <v>89</v>
      </c>
      <c r="D995" s="162"/>
      <c r="E995" s="161" t="s">
        <v>89</v>
      </c>
      <c r="F995" s="30" t="s">
        <v>89</v>
      </c>
      <c r="G995" s="30" t="s">
        <v>89</v>
      </c>
      <c r="H995" s="30" t="s">
        <v>89</v>
      </c>
      <c r="I995" s="48" t="s">
        <v>108</v>
      </c>
      <c r="J995" s="188" t="str">
        <f t="shared" si="15"/>
        <v/>
      </c>
      <c r="L995" s="48" t="s">
        <v>108</v>
      </c>
      <c r="O995" s="30" t="s">
        <v>89</v>
      </c>
      <c r="Q995" s="192"/>
      <c r="R995" s="161" t="str">
        <f>IFERROR(VLOOKUP(Q995,'PRODUCT TABLE'!$A$2:$B$26,2,FALSE),"-")</f>
        <v>-</v>
      </c>
      <c r="V995" s="161">
        <f t="shared" si="14"/>
        <v>0</v>
      </c>
      <c r="Y995" s="30"/>
      <c r="Z995" s="169">
        <f t="shared" si="2"/>
        <v>0</v>
      </c>
      <c r="AA995" s="167">
        <f t="shared" si="3"/>
        <v>0</v>
      </c>
      <c r="AB995" s="161"/>
      <c r="AC995" s="161">
        <f t="shared" si="4"/>
        <v>0</v>
      </c>
      <c r="AD995" s="161">
        <f t="shared" si="5"/>
        <v>0</v>
      </c>
      <c r="AE995" s="161">
        <f t="shared" si="6"/>
        <v>0</v>
      </c>
      <c r="AF995" s="167">
        <f t="shared" si="7"/>
        <v>0</v>
      </c>
      <c r="AG995" s="167">
        <f t="shared" si="8"/>
        <v>0</v>
      </c>
      <c r="AH995" s="158"/>
      <c r="AI995" s="158"/>
    </row>
    <row r="996" ht="12.75" customHeight="1">
      <c r="B996" s="160" t="str">
        <f>iferror(VLOOKUP((LEFT(A996,6)),CUSTOMER_DETAILS,2,FALSE),"-")</f>
        <v>-</v>
      </c>
      <c r="C996" s="161" t="s">
        <v>89</v>
      </c>
      <c r="D996" s="162"/>
      <c r="E996" s="161" t="s">
        <v>89</v>
      </c>
      <c r="F996" s="30" t="s">
        <v>89</v>
      </c>
      <c r="G996" s="30" t="s">
        <v>89</v>
      </c>
      <c r="H996" s="30" t="s">
        <v>89</v>
      </c>
      <c r="I996" s="48" t="s">
        <v>108</v>
      </c>
      <c r="J996" s="188" t="str">
        <f t="shared" si="15"/>
        <v/>
      </c>
      <c r="L996" s="48" t="s">
        <v>108</v>
      </c>
      <c r="O996" s="30" t="s">
        <v>89</v>
      </c>
      <c r="Q996" s="192"/>
      <c r="R996" s="161" t="str">
        <f>IFERROR(VLOOKUP(Q996,'PRODUCT TABLE'!$A$2:$B$26,2,FALSE),"-")</f>
        <v>-</v>
      </c>
      <c r="V996" s="161">
        <f t="shared" si="14"/>
        <v>0</v>
      </c>
      <c r="Y996" s="30"/>
      <c r="Z996" s="169">
        <f t="shared" si="2"/>
        <v>0</v>
      </c>
      <c r="AA996" s="167">
        <f t="shared" si="3"/>
        <v>0</v>
      </c>
      <c r="AB996" s="161"/>
      <c r="AC996" s="161">
        <f t="shared" si="4"/>
        <v>0</v>
      </c>
      <c r="AD996" s="161">
        <f t="shared" si="5"/>
        <v>0</v>
      </c>
      <c r="AE996" s="161">
        <f t="shared" si="6"/>
        <v>0</v>
      </c>
      <c r="AF996" s="167">
        <f t="shared" si="7"/>
        <v>0</v>
      </c>
      <c r="AG996" s="167">
        <f t="shared" si="8"/>
        <v>0</v>
      </c>
      <c r="AH996" s="158"/>
      <c r="AI996" s="158"/>
    </row>
    <row r="997" ht="12.75" customHeight="1">
      <c r="B997" s="160" t="str">
        <f>iferror(VLOOKUP((LEFT(A997,6)),CUSTOMER_DETAILS,2,FALSE),"-")</f>
        <v>-</v>
      </c>
      <c r="C997" s="161" t="s">
        <v>89</v>
      </c>
      <c r="D997" s="162"/>
      <c r="E997" s="161" t="s">
        <v>89</v>
      </c>
      <c r="F997" s="30" t="s">
        <v>89</v>
      </c>
      <c r="G997" s="30" t="s">
        <v>89</v>
      </c>
      <c r="H997" s="30" t="s">
        <v>89</v>
      </c>
      <c r="I997" s="48" t="s">
        <v>108</v>
      </c>
      <c r="J997" s="188" t="str">
        <f t="shared" si="15"/>
        <v/>
      </c>
      <c r="L997" s="48" t="s">
        <v>108</v>
      </c>
      <c r="O997" s="30" t="s">
        <v>89</v>
      </c>
      <c r="Q997" s="192"/>
      <c r="R997" s="161" t="str">
        <f>IFERROR(VLOOKUP(Q997,'PRODUCT TABLE'!$A$2:$B$26,2,FALSE),"-")</f>
        <v>-</v>
      </c>
      <c r="V997" s="161">
        <f t="shared" si="14"/>
        <v>0</v>
      </c>
      <c r="Y997" s="30"/>
      <c r="Z997" s="169">
        <f t="shared" si="2"/>
        <v>0</v>
      </c>
      <c r="AA997" s="167">
        <f t="shared" si="3"/>
        <v>0</v>
      </c>
      <c r="AB997" s="161"/>
      <c r="AC997" s="161">
        <f t="shared" si="4"/>
        <v>0</v>
      </c>
      <c r="AD997" s="161">
        <f t="shared" si="5"/>
        <v>0</v>
      </c>
      <c r="AE997" s="161">
        <f t="shared" si="6"/>
        <v>0</v>
      </c>
      <c r="AF997" s="167">
        <f t="shared" si="7"/>
        <v>0</v>
      </c>
      <c r="AG997" s="167">
        <f t="shared" si="8"/>
        <v>0</v>
      </c>
      <c r="AH997" s="158"/>
      <c r="AI997" s="158"/>
    </row>
    <row r="998" ht="12.75" customHeight="1">
      <c r="B998" s="160" t="str">
        <f>iferror(VLOOKUP((LEFT(A998,6)),CUSTOMER_DETAILS,2,FALSE),"-")</f>
        <v>-</v>
      </c>
      <c r="C998" s="161" t="s">
        <v>89</v>
      </c>
      <c r="D998" s="162"/>
      <c r="E998" s="161" t="s">
        <v>89</v>
      </c>
      <c r="F998" s="30" t="s">
        <v>89</v>
      </c>
      <c r="G998" s="30" t="s">
        <v>89</v>
      </c>
      <c r="H998" s="30" t="s">
        <v>89</v>
      </c>
      <c r="I998" s="48" t="s">
        <v>108</v>
      </c>
      <c r="J998" s="188" t="str">
        <f t="shared" si="15"/>
        <v/>
      </c>
      <c r="L998" s="48" t="s">
        <v>108</v>
      </c>
      <c r="O998" s="30" t="s">
        <v>89</v>
      </c>
      <c r="Q998" s="192"/>
      <c r="R998" s="161" t="str">
        <f>IFERROR(VLOOKUP(Q998,'PRODUCT TABLE'!$A$2:$B$26,2,FALSE),"-")</f>
        <v>-</v>
      </c>
      <c r="V998" s="161">
        <f t="shared" si="14"/>
        <v>0</v>
      </c>
      <c r="Y998" s="30"/>
      <c r="Z998" s="169">
        <f t="shared" si="2"/>
        <v>0</v>
      </c>
      <c r="AA998" s="167">
        <f t="shared" si="3"/>
        <v>0</v>
      </c>
      <c r="AB998" s="161"/>
      <c r="AC998" s="161">
        <f t="shared" si="4"/>
        <v>0</v>
      </c>
      <c r="AD998" s="161">
        <f t="shared" si="5"/>
        <v>0</v>
      </c>
      <c r="AE998" s="161">
        <f t="shared" si="6"/>
        <v>0</v>
      </c>
      <c r="AF998" s="167">
        <f t="shared" si="7"/>
        <v>0</v>
      </c>
      <c r="AG998" s="167">
        <f t="shared" si="8"/>
        <v>0</v>
      </c>
      <c r="AH998" s="158"/>
      <c r="AI998" s="158"/>
    </row>
    <row r="999" ht="12.75" customHeight="1">
      <c r="B999" s="160" t="str">
        <f>iferror(VLOOKUP((LEFT(A999,6)),CUSTOMER_DETAILS,2,FALSE),"-")</f>
        <v>-</v>
      </c>
      <c r="C999" s="161" t="s">
        <v>89</v>
      </c>
      <c r="D999" s="162"/>
      <c r="E999" s="161" t="s">
        <v>89</v>
      </c>
      <c r="F999" s="30" t="s">
        <v>89</v>
      </c>
      <c r="G999" s="30" t="s">
        <v>89</v>
      </c>
      <c r="H999" s="30" t="s">
        <v>89</v>
      </c>
      <c r="I999" s="48" t="s">
        <v>108</v>
      </c>
      <c r="J999" s="188" t="str">
        <f t="shared" si="15"/>
        <v/>
      </c>
      <c r="L999" s="48" t="s">
        <v>108</v>
      </c>
      <c r="O999" s="30" t="s">
        <v>89</v>
      </c>
      <c r="Q999" s="192"/>
      <c r="R999" s="161" t="str">
        <f>IFERROR(VLOOKUP(Q999,'PRODUCT TABLE'!$A$2:$B$26,2,FALSE),"-")</f>
        <v>-</v>
      </c>
      <c r="V999" s="161">
        <f t="shared" si="14"/>
        <v>0</v>
      </c>
      <c r="Y999" s="30"/>
      <c r="Z999" s="169">
        <f t="shared" si="2"/>
        <v>0</v>
      </c>
      <c r="AA999" s="167">
        <f t="shared" si="3"/>
        <v>0</v>
      </c>
      <c r="AB999" s="161"/>
      <c r="AC999" s="161">
        <f t="shared" si="4"/>
        <v>0</v>
      </c>
      <c r="AD999" s="161">
        <f t="shared" si="5"/>
        <v>0</v>
      </c>
      <c r="AE999" s="161">
        <f t="shared" si="6"/>
        <v>0</v>
      </c>
      <c r="AF999" s="167">
        <f t="shared" si="7"/>
        <v>0</v>
      </c>
      <c r="AG999" s="167">
        <f t="shared" si="8"/>
        <v>0</v>
      </c>
      <c r="AH999" s="158"/>
      <c r="AI999" s="158"/>
    </row>
    <row r="1000" ht="12.75" customHeight="1">
      <c r="B1000" s="160" t="str">
        <f>iferror(VLOOKUP((LEFT(A1000,6)),CUSTOMER_DETAILS,2,FALSE),"-")</f>
        <v>-</v>
      </c>
      <c r="C1000" s="161" t="s">
        <v>89</v>
      </c>
      <c r="D1000" s="162"/>
      <c r="E1000" s="161" t="s">
        <v>89</v>
      </c>
      <c r="F1000" s="30" t="s">
        <v>89</v>
      </c>
      <c r="G1000" s="30" t="s">
        <v>89</v>
      </c>
      <c r="H1000" s="30" t="s">
        <v>89</v>
      </c>
      <c r="I1000" s="48" t="s">
        <v>108</v>
      </c>
      <c r="J1000" s="188" t="str">
        <f t="shared" si="15"/>
        <v/>
      </c>
      <c r="L1000" s="48" t="s">
        <v>108</v>
      </c>
      <c r="O1000" s="30" t="s">
        <v>89</v>
      </c>
      <c r="Q1000" s="192"/>
      <c r="R1000" s="161" t="str">
        <f>IFERROR(VLOOKUP(Q1000,'PRODUCT TABLE'!$A$2:$B$26,2,FALSE),"-")</f>
        <v>-</v>
      </c>
      <c r="V1000" s="161">
        <f t="shared" si="14"/>
        <v>0</v>
      </c>
      <c r="Y1000" s="30"/>
      <c r="Z1000" s="169">
        <f t="shared" si="2"/>
        <v>0</v>
      </c>
      <c r="AA1000" s="167">
        <f t="shared" si="3"/>
        <v>0</v>
      </c>
      <c r="AB1000" s="161"/>
      <c r="AC1000" s="161">
        <f t="shared" si="4"/>
        <v>0</v>
      </c>
      <c r="AD1000" s="161">
        <f t="shared" si="5"/>
        <v>0</v>
      </c>
      <c r="AE1000" s="161">
        <f t="shared" si="6"/>
        <v>0</v>
      </c>
      <c r="AF1000" s="167">
        <f t="shared" si="7"/>
        <v>0</v>
      </c>
      <c r="AG1000" s="167">
        <f t="shared" si="8"/>
        <v>0</v>
      </c>
      <c r="AH1000" s="158"/>
      <c r="AI1000" s="158"/>
    </row>
    <row r="1001" ht="12.75" customHeight="1">
      <c r="B1001" s="160" t="str">
        <f>iferror(VLOOKUP((LEFT(A1001,6)),CUSTOMER_DETAILS,2,FALSE),"-")</f>
        <v>-</v>
      </c>
      <c r="C1001" s="161" t="s">
        <v>89</v>
      </c>
      <c r="D1001" s="162"/>
      <c r="E1001" s="161" t="s">
        <v>89</v>
      </c>
      <c r="F1001" s="30" t="s">
        <v>89</v>
      </c>
      <c r="G1001" s="30" t="s">
        <v>89</v>
      </c>
      <c r="H1001" s="30" t="s">
        <v>89</v>
      </c>
      <c r="I1001" s="48" t="s">
        <v>108</v>
      </c>
      <c r="J1001" s="188" t="str">
        <f t="shared" si="15"/>
        <v/>
      </c>
      <c r="L1001" s="48" t="s">
        <v>108</v>
      </c>
      <c r="O1001" s="30" t="s">
        <v>89</v>
      </c>
      <c r="Q1001" s="192"/>
      <c r="R1001" s="161" t="str">
        <f>IFERROR(VLOOKUP(Q1001,'PRODUCT TABLE'!$A$2:$B$26,2,FALSE),"-")</f>
        <v>-</v>
      </c>
      <c r="V1001" s="161">
        <f t="shared" si="14"/>
        <v>0</v>
      </c>
      <c r="Y1001" s="30"/>
      <c r="Z1001" s="169">
        <f t="shared" si="2"/>
        <v>0</v>
      </c>
      <c r="AA1001" s="167">
        <f t="shared" si="3"/>
        <v>0</v>
      </c>
      <c r="AB1001" s="161"/>
      <c r="AC1001" s="161">
        <f t="shared" si="4"/>
        <v>0</v>
      </c>
      <c r="AD1001" s="161">
        <f t="shared" si="5"/>
        <v>0</v>
      </c>
      <c r="AE1001" s="161">
        <f t="shared" si="6"/>
        <v>0</v>
      </c>
      <c r="AF1001" s="167">
        <f t="shared" si="7"/>
        <v>0</v>
      </c>
      <c r="AG1001" s="167">
        <f t="shared" si="8"/>
        <v>0</v>
      </c>
      <c r="AH1001" s="158"/>
      <c r="AI1001" s="158"/>
    </row>
    <row r="1002" ht="12.75" customHeight="1">
      <c r="B1002" s="160" t="str">
        <f>iferror(VLOOKUP((LEFT(A1002,6)),CUSTOMER_DETAILS,2,FALSE),"-")</f>
        <v>-</v>
      </c>
      <c r="C1002" s="161" t="s">
        <v>89</v>
      </c>
      <c r="D1002" s="162"/>
      <c r="E1002" s="161" t="s">
        <v>89</v>
      </c>
      <c r="F1002" s="30" t="s">
        <v>89</v>
      </c>
      <c r="G1002" s="30" t="s">
        <v>89</v>
      </c>
      <c r="H1002" s="30" t="s">
        <v>89</v>
      </c>
      <c r="I1002" s="48" t="s">
        <v>108</v>
      </c>
      <c r="J1002" s="188" t="str">
        <f t="shared" si="15"/>
        <v/>
      </c>
      <c r="L1002" s="48" t="s">
        <v>108</v>
      </c>
      <c r="O1002" s="30" t="s">
        <v>89</v>
      </c>
      <c r="Q1002" s="192"/>
      <c r="R1002" s="161" t="str">
        <f>IFERROR(VLOOKUP(Q1002,'PRODUCT TABLE'!$A$2:$B$26,2,FALSE),"-")</f>
        <v>-</v>
      </c>
      <c r="V1002" s="161">
        <f t="shared" si="14"/>
        <v>0</v>
      </c>
      <c r="Y1002" s="30"/>
      <c r="Z1002" s="169">
        <f t="shared" si="2"/>
        <v>0</v>
      </c>
      <c r="AA1002" s="167">
        <f t="shared" si="3"/>
        <v>0</v>
      </c>
      <c r="AB1002" s="161"/>
      <c r="AC1002" s="161">
        <f t="shared" si="4"/>
        <v>0</v>
      </c>
      <c r="AD1002" s="161">
        <f t="shared" si="5"/>
        <v>0</v>
      </c>
      <c r="AE1002" s="161">
        <f t="shared" si="6"/>
        <v>0</v>
      </c>
      <c r="AF1002" s="167">
        <f t="shared" si="7"/>
        <v>0</v>
      </c>
      <c r="AG1002" s="167">
        <f t="shared" si="8"/>
        <v>0</v>
      </c>
      <c r="AH1002" s="158"/>
      <c r="AI1002" s="158"/>
    </row>
    <row r="1003" ht="12.75" customHeight="1">
      <c r="B1003" s="160" t="str">
        <f>iferror(VLOOKUP((LEFT(A1003,6)),CUSTOMER_DETAILS,2,FALSE),"-")</f>
        <v>-</v>
      </c>
      <c r="C1003" s="161" t="s">
        <v>89</v>
      </c>
      <c r="D1003" s="162"/>
      <c r="E1003" s="161" t="s">
        <v>89</v>
      </c>
      <c r="F1003" s="30" t="s">
        <v>89</v>
      </c>
      <c r="G1003" s="30" t="s">
        <v>89</v>
      </c>
      <c r="H1003" s="30" t="s">
        <v>89</v>
      </c>
      <c r="I1003" s="48" t="s">
        <v>108</v>
      </c>
      <c r="J1003" s="188" t="str">
        <f t="shared" si="15"/>
        <v/>
      </c>
      <c r="L1003" s="48" t="s">
        <v>108</v>
      </c>
      <c r="O1003" s="30" t="s">
        <v>89</v>
      </c>
      <c r="Q1003" s="192"/>
      <c r="R1003" s="161" t="str">
        <f>IFERROR(VLOOKUP(Q1003,'PRODUCT TABLE'!$A$2:$B$26,2,FALSE),"-")</f>
        <v>-</v>
      </c>
      <c r="V1003" s="161">
        <f t="shared" si="14"/>
        <v>0</v>
      </c>
      <c r="Y1003" s="30"/>
      <c r="Z1003" s="169">
        <f t="shared" si="2"/>
        <v>0</v>
      </c>
      <c r="AA1003" s="167">
        <f t="shared" si="3"/>
        <v>0</v>
      </c>
      <c r="AB1003" s="161"/>
      <c r="AC1003" s="161">
        <f t="shared" si="4"/>
        <v>0</v>
      </c>
      <c r="AD1003" s="161">
        <f t="shared" si="5"/>
        <v>0</v>
      </c>
      <c r="AE1003" s="161">
        <f t="shared" si="6"/>
        <v>0</v>
      </c>
      <c r="AF1003" s="167">
        <f t="shared" si="7"/>
        <v>0</v>
      </c>
      <c r="AG1003" s="167">
        <f t="shared" si="8"/>
        <v>0</v>
      </c>
      <c r="AH1003" s="158"/>
      <c r="AI1003" s="158"/>
    </row>
    <row r="1004" ht="12.75" customHeight="1">
      <c r="B1004" s="160" t="str">
        <f>iferror(VLOOKUP((LEFT(A1004,6)),CUSTOMER_DETAILS,2,FALSE),"-")</f>
        <v>-</v>
      </c>
      <c r="C1004" s="161" t="s">
        <v>89</v>
      </c>
      <c r="D1004" s="162"/>
      <c r="E1004" s="161" t="s">
        <v>89</v>
      </c>
      <c r="F1004" s="30" t="s">
        <v>89</v>
      </c>
      <c r="G1004" s="30" t="s">
        <v>89</v>
      </c>
      <c r="H1004" s="30" t="s">
        <v>89</v>
      </c>
      <c r="I1004" s="48" t="s">
        <v>108</v>
      </c>
      <c r="J1004" s="188" t="str">
        <f t="shared" si="15"/>
        <v/>
      </c>
      <c r="L1004" s="48" t="s">
        <v>108</v>
      </c>
      <c r="O1004" s="30" t="s">
        <v>89</v>
      </c>
      <c r="Q1004" s="192"/>
      <c r="R1004" s="161" t="str">
        <f>IFERROR(VLOOKUP(Q1004,'PRODUCT TABLE'!$A$2:$B$26,2,FALSE),"-")</f>
        <v>-</v>
      </c>
      <c r="V1004" s="161">
        <f t="shared" si="14"/>
        <v>0</v>
      </c>
      <c r="Y1004" s="30"/>
      <c r="Z1004" s="169">
        <f t="shared" si="2"/>
        <v>0</v>
      </c>
      <c r="AA1004" s="167">
        <f t="shared" si="3"/>
        <v>0</v>
      </c>
      <c r="AB1004" s="161"/>
      <c r="AC1004" s="161">
        <f t="shared" si="4"/>
        <v>0</v>
      </c>
      <c r="AD1004" s="161">
        <f t="shared" si="5"/>
        <v>0</v>
      </c>
      <c r="AE1004" s="161">
        <f t="shared" si="6"/>
        <v>0</v>
      </c>
      <c r="AF1004" s="167">
        <f t="shared" si="7"/>
        <v>0</v>
      </c>
      <c r="AG1004" s="167">
        <f t="shared" si="8"/>
        <v>0</v>
      </c>
      <c r="AH1004" s="158"/>
      <c r="AI1004" s="158"/>
    </row>
    <row r="1005" ht="12.75" customHeight="1">
      <c r="B1005" s="160" t="str">
        <f>iferror(VLOOKUP((LEFT(A1005,6)),CUSTOMER_DETAILS,2,FALSE),"-")</f>
        <v>-</v>
      </c>
      <c r="C1005" s="161" t="s">
        <v>89</v>
      </c>
      <c r="D1005" s="162"/>
      <c r="E1005" s="161" t="s">
        <v>89</v>
      </c>
      <c r="F1005" s="30" t="s">
        <v>89</v>
      </c>
      <c r="G1005" s="30" t="s">
        <v>89</v>
      </c>
      <c r="H1005" s="30" t="s">
        <v>89</v>
      </c>
      <c r="I1005" s="48" t="s">
        <v>108</v>
      </c>
      <c r="J1005" s="188" t="str">
        <f t="shared" si="15"/>
        <v/>
      </c>
      <c r="L1005" s="48" t="s">
        <v>108</v>
      </c>
      <c r="O1005" s="30" t="s">
        <v>89</v>
      </c>
      <c r="Q1005" s="192"/>
      <c r="R1005" s="161" t="str">
        <f>IFERROR(VLOOKUP(Q1005,'PRODUCT TABLE'!$A$2:$B$26,2,FALSE),"-")</f>
        <v>-</v>
      </c>
      <c r="V1005" s="161">
        <f t="shared" si="14"/>
        <v>0</v>
      </c>
      <c r="Y1005" s="30"/>
      <c r="Z1005" s="169">
        <f t="shared" si="2"/>
        <v>0</v>
      </c>
      <c r="AA1005" s="167">
        <f t="shared" si="3"/>
        <v>0</v>
      </c>
      <c r="AB1005" s="161"/>
      <c r="AC1005" s="161">
        <f t="shared" si="4"/>
        <v>0</v>
      </c>
      <c r="AD1005" s="161">
        <f t="shared" si="5"/>
        <v>0</v>
      </c>
      <c r="AE1005" s="161">
        <f t="shared" si="6"/>
        <v>0</v>
      </c>
      <c r="AF1005" s="167">
        <f t="shared" si="7"/>
        <v>0</v>
      </c>
      <c r="AG1005" s="167">
        <f t="shared" si="8"/>
        <v>0</v>
      </c>
      <c r="AH1005" s="158"/>
      <c r="AI1005" s="158"/>
    </row>
    <row r="1006" ht="12.75" customHeight="1">
      <c r="B1006" s="160" t="str">
        <f>iferror(VLOOKUP((LEFT(A1006,6)),CUSTOMER_DETAILS,2,FALSE),"-")</f>
        <v>-</v>
      </c>
      <c r="C1006" s="161" t="s">
        <v>89</v>
      </c>
      <c r="D1006" s="162"/>
      <c r="E1006" s="161" t="s">
        <v>89</v>
      </c>
      <c r="F1006" s="30" t="s">
        <v>89</v>
      </c>
      <c r="G1006" s="30" t="s">
        <v>89</v>
      </c>
      <c r="H1006" s="30" t="s">
        <v>89</v>
      </c>
      <c r="I1006" s="48" t="s">
        <v>108</v>
      </c>
      <c r="J1006" s="188" t="str">
        <f t="shared" si="15"/>
        <v/>
      </c>
      <c r="L1006" s="48" t="s">
        <v>108</v>
      </c>
      <c r="O1006" s="30" t="s">
        <v>89</v>
      </c>
      <c r="Q1006" s="192"/>
      <c r="R1006" s="161" t="str">
        <f>IFERROR(VLOOKUP(Q1006,'PRODUCT TABLE'!$A$2:$B$26,2,FALSE),"-")</f>
        <v>-</v>
      </c>
      <c r="V1006" s="161">
        <f t="shared" si="14"/>
        <v>0</v>
      </c>
      <c r="Y1006" s="30"/>
      <c r="Z1006" s="169">
        <f t="shared" si="2"/>
        <v>0</v>
      </c>
      <c r="AA1006" s="167">
        <f t="shared" si="3"/>
        <v>0</v>
      </c>
      <c r="AB1006" s="161"/>
      <c r="AC1006" s="161">
        <f t="shared" si="4"/>
        <v>0</v>
      </c>
      <c r="AD1006" s="161">
        <f t="shared" si="5"/>
        <v>0</v>
      </c>
      <c r="AE1006" s="161">
        <f t="shared" si="6"/>
        <v>0</v>
      </c>
      <c r="AF1006" s="167">
        <f t="shared" si="7"/>
        <v>0</v>
      </c>
      <c r="AG1006" s="167">
        <f t="shared" si="8"/>
        <v>0</v>
      </c>
      <c r="AH1006" s="158"/>
      <c r="AI1006" s="158"/>
    </row>
    <row r="1007" ht="12.75" customHeight="1">
      <c r="B1007" s="160" t="str">
        <f>iferror(VLOOKUP((LEFT(A1007,6)),CUSTOMER_DETAILS,2,FALSE),"-")</f>
        <v>-</v>
      </c>
      <c r="C1007" s="161" t="s">
        <v>89</v>
      </c>
      <c r="D1007" s="162"/>
      <c r="E1007" s="161" t="s">
        <v>89</v>
      </c>
      <c r="F1007" s="30" t="s">
        <v>89</v>
      </c>
      <c r="G1007" s="30" t="s">
        <v>89</v>
      </c>
      <c r="H1007" s="30" t="s">
        <v>89</v>
      </c>
      <c r="I1007" s="48" t="s">
        <v>108</v>
      </c>
      <c r="J1007" s="188" t="str">
        <f t="shared" si="15"/>
        <v/>
      </c>
      <c r="L1007" s="48" t="s">
        <v>108</v>
      </c>
      <c r="O1007" s="30" t="s">
        <v>89</v>
      </c>
      <c r="Q1007" s="192"/>
      <c r="R1007" s="161" t="str">
        <f>IFERROR(VLOOKUP(Q1007,'PRODUCT TABLE'!$A$2:$B$26,2,FALSE),"-")</f>
        <v>-</v>
      </c>
      <c r="V1007" s="161">
        <f t="shared" si="14"/>
        <v>0</v>
      </c>
      <c r="Y1007" s="30"/>
      <c r="Z1007" s="169">
        <f t="shared" si="2"/>
        <v>0</v>
      </c>
      <c r="AA1007" s="167">
        <f t="shared" si="3"/>
        <v>0</v>
      </c>
      <c r="AB1007" s="161"/>
      <c r="AC1007" s="161">
        <f t="shared" si="4"/>
        <v>0</v>
      </c>
      <c r="AD1007" s="161">
        <f t="shared" si="5"/>
        <v>0</v>
      </c>
      <c r="AE1007" s="161">
        <f t="shared" si="6"/>
        <v>0</v>
      </c>
      <c r="AF1007" s="167">
        <f t="shared" si="7"/>
        <v>0</v>
      </c>
      <c r="AG1007" s="167">
        <f t="shared" si="8"/>
        <v>0</v>
      </c>
      <c r="AH1007" s="158"/>
      <c r="AI1007" s="158"/>
    </row>
    <row r="1008" ht="12.75" customHeight="1">
      <c r="B1008" s="160" t="str">
        <f>iferror(VLOOKUP((LEFT(A1008,6)),CUSTOMER_DETAILS,2,FALSE),"-")</f>
        <v>-</v>
      </c>
      <c r="C1008" s="161" t="s">
        <v>89</v>
      </c>
      <c r="D1008" s="162"/>
      <c r="E1008" s="161" t="s">
        <v>89</v>
      </c>
      <c r="F1008" s="30" t="s">
        <v>89</v>
      </c>
      <c r="G1008" s="30" t="s">
        <v>89</v>
      </c>
      <c r="H1008" s="30" t="s">
        <v>89</v>
      </c>
      <c r="I1008" s="48" t="s">
        <v>108</v>
      </c>
      <c r="J1008" s="188" t="str">
        <f t="shared" si="15"/>
        <v/>
      </c>
      <c r="L1008" s="48" t="s">
        <v>108</v>
      </c>
      <c r="O1008" s="30" t="s">
        <v>89</v>
      </c>
      <c r="Q1008" s="192"/>
      <c r="R1008" s="161" t="str">
        <f>IFERROR(VLOOKUP(Q1008,'PRODUCT TABLE'!$A$2:$B$26,2,FALSE),"-")</f>
        <v>-</v>
      </c>
      <c r="V1008" s="161">
        <f t="shared" si="14"/>
        <v>0</v>
      </c>
      <c r="Y1008" s="30"/>
      <c r="Z1008" s="169">
        <f t="shared" si="2"/>
        <v>0</v>
      </c>
      <c r="AA1008" s="167">
        <f t="shared" si="3"/>
        <v>0</v>
      </c>
      <c r="AB1008" s="161"/>
      <c r="AC1008" s="161">
        <f t="shared" si="4"/>
        <v>0</v>
      </c>
      <c r="AD1008" s="161">
        <f t="shared" si="5"/>
        <v>0</v>
      </c>
      <c r="AE1008" s="161">
        <f t="shared" si="6"/>
        <v>0</v>
      </c>
      <c r="AF1008" s="167">
        <f t="shared" si="7"/>
        <v>0</v>
      </c>
      <c r="AG1008" s="167">
        <f t="shared" si="8"/>
        <v>0</v>
      </c>
      <c r="AH1008" s="158"/>
      <c r="AI1008" s="158"/>
    </row>
    <row r="1009" ht="12.75" customHeight="1">
      <c r="B1009" s="160" t="str">
        <f>iferror(VLOOKUP((LEFT(A1009,6)),CUSTOMER_DETAILS,2,FALSE),"-")</f>
        <v>-</v>
      </c>
      <c r="C1009" s="161" t="s">
        <v>89</v>
      </c>
      <c r="D1009" s="162"/>
      <c r="E1009" s="161" t="s">
        <v>89</v>
      </c>
      <c r="F1009" s="30" t="s">
        <v>89</v>
      </c>
      <c r="G1009" s="30" t="s">
        <v>89</v>
      </c>
      <c r="H1009" s="30" t="s">
        <v>89</v>
      </c>
      <c r="I1009" s="48" t="s">
        <v>108</v>
      </c>
      <c r="J1009" s="188" t="str">
        <f t="shared" si="15"/>
        <v/>
      </c>
      <c r="L1009" s="48" t="s">
        <v>108</v>
      </c>
      <c r="O1009" s="30" t="s">
        <v>89</v>
      </c>
      <c r="Q1009" s="192"/>
      <c r="R1009" s="161" t="str">
        <f>IFERROR(VLOOKUP(Q1009,'PRODUCT TABLE'!$A$2:$B$26,2,FALSE),"-")</f>
        <v>-</v>
      </c>
      <c r="V1009" s="161">
        <f t="shared" si="14"/>
        <v>0</v>
      </c>
      <c r="Y1009" s="30"/>
      <c r="Z1009" s="169">
        <f t="shared" si="2"/>
        <v>0</v>
      </c>
      <c r="AA1009" s="167">
        <f t="shared" si="3"/>
        <v>0</v>
      </c>
      <c r="AB1009" s="161"/>
      <c r="AC1009" s="161">
        <f t="shared" si="4"/>
        <v>0</v>
      </c>
      <c r="AD1009" s="161">
        <f t="shared" si="5"/>
        <v>0</v>
      </c>
      <c r="AE1009" s="161">
        <f t="shared" si="6"/>
        <v>0</v>
      </c>
      <c r="AF1009" s="167">
        <f t="shared" si="7"/>
        <v>0</v>
      </c>
      <c r="AG1009" s="167">
        <f t="shared" si="8"/>
        <v>0</v>
      </c>
      <c r="AH1009" s="158"/>
      <c r="AI1009" s="158"/>
    </row>
    <row r="1010" ht="12.75" customHeight="1">
      <c r="B1010" s="160" t="str">
        <f>iferror(VLOOKUP((LEFT(A1010,6)),CUSTOMER_DETAILS,2,FALSE),"-")</f>
        <v>-</v>
      </c>
      <c r="C1010" s="161" t="s">
        <v>89</v>
      </c>
      <c r="D1010" s="162"/>
      <c r="E1010" s="161" t="s">
        <v>89</v>
      </c>
      <c r="F1010" s="30" t="s">
        <v>89</v>
      </c>
      <c r="G1010" s="30" t="s">
        <v>89</v>
      </c>
      <c r="H1010" s="30" t="s">
        <v>89</v>
      </c>
      <c r="I1010" s="48" t="s">
        <v>108</v>
      </c>
      <c r="J1010" s="188" t="str">
        <f t="shared" si="15"/>
        <v/>
      </c>
      <c r="L1010" s="48" t="s">
        <v>108</v>
      </c>
      <c r="O1010" s="30" t="s">
        <v>89</v>
      </c>
      <c r="Q1010" s="192"/>
      <c r="R1010" s="161" t="str">
        <f>IFERROR(VLOOKUP(Q1010,'PRODUCT TABLE'!$A$2:$B$26,2,FALSE),"-")</f>
        <v>-</v>
      </c>
      <c r="V1010" s="161">
        <f t="shared" si="14"/>
        <v>0</v>
      </c>
      <c r="Y1010" s="30"/>
      <c r="Z1010" s="169">
        <f t="shared" si="2"/>
        <v>0</v>
      </c>
      <c r="AA1010" s="167">
        <f t="shared" si="3"/>
        <v>0</v>
      </c>
      <c r="AB1010" s="161"/>
      <c r="AC1010" s="161">
        <f t="shared" si="4"/>
        <v>0</v>
      </c>
      <c r="AD1010" s="161">
        <f t="shared" si="5"/>
        <v>0</v>
      </c>
      <c r="AE1010" s="161">
        <f t="shared" si="6"/>
        <v>0</v>
      </c>
      <c r="AF1010" s="167">
        <f t="shared" si="7"/>
        <v>0</v>
      </c>
      <c r="AG1010" s="167">
        <f t="shared" si="8"/>
        <v>0</v>
      </c>
      <c r="AH1010" s="158"/>
      <c r="AI1010" s="158"/>
    </row>
    <row r="1011" ht="12.75" customHeight="1">
      <c r="B1011" s="160" t="str">
        <f>iferror(VLOOKUP((LEFT(A1011,6)),CUSTOMER_DETAILS,2,FALSE),"-")</f>
        <v>-</v>
      </c>
      <c r="C1011" s="161" t="s">
        <v>89</v>
      </c>
      <c r="D1011" s="162"/>
      <c r="E1011" s="161" t="s">
        <v>89</v>
      </c>
      <c r="F1011" s="30" t="s">
        <v>89</v>
      </c>
      <c r="G1011" s="30" t="s">
        <v>89</v>
      </c>
      <c r="H1011" s="30" t="s">
        <v>89</v>
      </c>
      <c r="I1011" s="48" t="s">
        <v>108</v>
      </c>
      <c r="J1011" s="188" t="str">
        <f t="shared" si="15"/>
        <v/>
      </c>
      <c r="L1011" s="48" t="s">
        <v>108</v>
      </c>
      <c r="O1011" s="30" t="s">
        <v>89</v>
      </c>
      <c r="Q1011" s="192"/>
      <c r="R1011" s="161" t="str">
        <f>IFERROR(VLOOKUP(Q1011,'PRODUCT TABLE'!$A$2:$B$26,2,FALSE),"-")</f>
        <v>-</v>
      </c>
      <c r="V1011" s="161">
        <f t="shared" si="14"/>
        <v>0</v>
      </c>
      <c r="Y1011" s="30"/>
      <c r="Z1011" s="169">
        <f t="shared" si="2"/>
        <v>0</v>
      </c>
      <c r="AA1011" s="167">
        <f t="shared" si="3"/>
        <v>0</v>
      </c>
      <c r="AB1011" s="161"/>
      <c r="AC1011" s="161">
        <f t="shared" si="4"/>
        <v>0</v>
      </c>
      <c r="AD1011" s="161">
        <f t="shared" si="5"/>
        <v>0</v>
      </c>
      <c r="AE1011" s="161">
        <f t="shared" si="6"/>
        <v>0</v>
      </c>
      <c r="AF1011" s="167">
        <f t="shared" si="7"/>
        <v>0</v>
      </c>
      <c r="AG1011" s="167">
        <f t="shared" si="8"/>
        <v>0</v>
      </c>
      <c r="AH1011" s="158"/>
      <c r="AI1011" s="158"/>
    </row>
    <row r="1012" ht="12.75" customHeight="1">
      <c r="B1012" s="160" t="str">
        <f>iferror(VLOOKUP((LEFT(A1012,6)),CUSTOMER_DETAILS,2,FALSE),"-")</f>
        <v>-</v>
      </c>
      <c r="C1012" s="161" t="s">
        <v>89</v>
      </c>
      <c r="D1012" s="162"/>
      <c r="E1012" s="161" t="s">
        <v>89</v>
      </c>
      <c r="F1012" s="30" t="s">
        <v>89</v>
      </c>
      <c r="G1012" s="30" t="s">
        <v>89</v>
      </c>
      <c r="H1012" s="30" t="s">
        <v>89</v>
      </c>
      <c r="I1012" s="48" t="s">
        <v>108</v>
      </c>
      <c r="J1012" s="188" t="str">
        <f t="shared" si="15"/>
        <v/>
      </c>
      <c r="L1012" s="48" t="s">
        <v>108</v>
      </c>
      <c r="O1012" s="30" t="s">
        <v>89</v>
      </c>
      <c r="Q1012" s="192"/>
      <c r="R1012" s="161" t="str">
        <f>IFERROR(VLOOKUP(Q1012,'PRODUCT TABLE'!$A$2:$B$26,2,FALSE),"-")</f>
        <v>-</v>
      </c>
      <c r="V1012" s="161">
        <f t="shared" si="14"/>
        <v>0</v>
      </c>
      <c r="Y1012" s="30"/>
      <c r="Z1012" s="169">
        <f t="shared" si="2"/>
        <v>0</v>
      </c>
      <c r="AA1012" s="167">
        <f t="shared" si="3"/>
        <v>0</v>
      </c>
      <c r="AB1012" s="161"/>
      <c r="AC1012" s="161">
        <f t="shared" si="4"/>
        <v>0</v>
      </c>
      <c r="AD1012" s="161">
        <f t="shared" si="5"/>
        <v>0</v>
      </c>
      <c r="AE1012" s="161">
        <f t="shared" si="6"/>
        <v>0</v>
      </c>
      <c r="AF1012" s="167">
        <f t="shared" si="7"/>
        <v>0</v>
      </c>
      <c r="AG1012" s="167">
        <f t="shared" si="8"/>
        <v>0</v>
      </c>
      <c r="AH1012" s="158"/>
      <c r="AI1012" s="158"/>
    </row>
    <row r="1013" ht="12.75" customHeight="1">
      <c r="B1013" s="160" t="str">
        <f>iferror(VLOOKUP((LEFT(A1013,6)),CUSTOMER_DETAILS,2,FALSE),"-")</f>
        <v>-</v>
      </c>
      <c r="C1013" s="161" t="s">
        <v>89</v>
      </c>
      <c r="D1013" s="162"/>
      <c r="E1013" s="161" t="s">
        <v>89</v>
      </c>
      <c r="F1013" s="30" t="s">
        <v>89</v>
      </c>
      <c r="G1013" s="30" t="s">
        <v>89</v>
      </c>
      <c r="H1013" s="30" t="s">
        <v>89</v>
      </c>
      <c r="I1013" s="48" t="s">
        <v>108</v>
      </c>
      <c r="J1013" s="188" t="str">
        <f t="shared" si="15"/>
        <v/>
      </c>
      <c r="L1013" s="48" t="s">
        <v>108</v>
      </c>
      <c r="O1013" s="30" t="s">
        <v>89</v>
      </c>
      <c r="Q1013" s="192"/>
      <c r="R1013" s="161" t="str">
        <f>IFERROR(VLOOKUP(Q1013,'PRODUCT TABLE'!$A$2:$B$26,2,FALSE),"-")</f>
        <v>-</v>
      </c>
      <c r="V1013" s="161">
        <f t="shared" si="14"/>
        <v>0</v>
      </c>
      <c r="Y1013" s="30"/>
      <c r="Z1013" s="169">
        <f t="shared" si="2"/>
        <v>0</v>
      </c>
      <c r="AA1013" s="167">
        <f t="shared" si="3"/>
        <v>0</v>
      </c>
      <c r="AB1013" s="161"/>
      <c r="AC1013" s="161">
        <f t="shared" si="4"/>
        <v>0</v>
      </c>
      <c r="AD1013" s="161">
        <f t="shared" si="5"/>
        <v>0</v>
      </c>
      <c r="AE1013" s="161">
        <f t="shared" si="6"/>
        <v>0</v>
      </c>
      <c r="AF1013" s="167">
        <f t="shared" si="7"/>
        <v>0</v>
      </c>
      <c r="AG1013" s="167">
        <f t="shared" si="8"/>
        <v>0</v>
      </c>
      <c r="AH1013" s="158"/>
      <c r="AI1013" s="158"/>
    </row>
    <row r="1014" ht="12.75" customHeight="1">
      <c r="B1014" s="160" t="str">
        <f>iferror(VLOOKUP((LEFT(A1014,6)),CUSTOMER_DETAILS,2,FALSE),"-")</f>
        <v>-</v>
      </c>
      <c r="C1014" s="161" t="s">
        <v>89</v>
      </c>
      <c r="D1014" s="162"/>
      <c r="E1014" s="161" t="s">
        <v>89</v>
      </c>
      <c r="F1014" s="30" t="s">
        <v>89</v>
      </c>
      <c r="G1014" s="30" t="s">
        <v>89</v>
      </c>
      <c r="H1014" s="30" t="s">
        <v>89</v>
      </c>
      <c r="I1014" s="48" t="s">
        <v>108</v>
      </c>
      <c r="J1014" s="188" t="str">
        <f t="shared" si="15"/>
        <v/>
      </c>
      <c r="L1014" s="48" t="s">
        <v>108</v>
      </c>
      <c r="O1014" s="30" t="s">
        <v>89</v>
      </c>
      <c r="Q1014" s="192"/>
      <c r="R1014" s="161" t="str">
        <f>IFERROR(VLOOKUP(Q1014,'PRODUCT TABLE'!$A$2:$B$26,2,FALSE),"-")</f>
        <v>-</v>
      </c>
      <c r="V1014" s="161">
        <f t="shared" si="14"/>
        <v>0</v>
      </c>
      <c r="Y1014" s="30"/>
      <c r="Z1014" s="169">
        <f t="shared" si="2"/>
        <v>0</v>
      </c>
      <c r="AA1014" s="167">
        <f t="shared" si="3"/>
        <v>0</v>
      </c>
      <c r="AB1014" s="161"/>
      <c r="AC1014" s="161">
        <f t="shared" si="4"/>
        <v>0</v>
      </c>
      <c r="AD1014" s="161">
        <f t="shared" si="5"/>
        <v>0</v>
      </c>
      <c r="AE1014" s="161">
        <f t="shared" si="6"/>
        <v>0</v>
      </c>
      <c r="AF1014" s="167">
        <f t="shared" si="7"/>
        <v>0</v>
      </c>
      <c r="AG1014" s="167">
        <f t="shared" si="8"/>
        <v>0</v>
      </c>
      <c r="AH1014" s="158"/>
      <c r="AI1014" s="158"/>
    </row>
    <row r="1015" ht="12.75" customHeight="1">
      <c r="B1015" s="160" t="str">
        <f>iferror(VLOOKUP((LEFT(A1015,6)),CUSTOMER_DETAILS,2,FALSE),"-")</f>
        <v>-</v>
      </c>
      <c r="C1015" s="161" t="s">
        <v>89</v>
      </c>
      <c r="D1015" s="162"/>
      <c r="E1015" s="161" t="s">
        <v>89</v>
      </c>
      <c r="F1015" s="30" t="s">
        <v>89</v>
      </c>
      <c r="G1015" s="30" t="s">
        <v>89</v>
      </c>
      <c r="H1015" s="30" t="s">
        <v>89</v>
      </c>
      <c r="I1015" s="48" t="s">
        <v>108</v>
      </c>
      <c r="J1015" s="188" t="str">
        <f t="shared" si="15"/>
        <v/>
      </c>
      <c r="L1015" s="48" t="s">
        <v>108</v>
      </c>
      <c r="O1015" s="30" t="s">
        <v>89</v>
      </c>
      <c r="Q1015" s="192"/>
      <c r="R1015" s="161" t="str">
        <f>IFERROR(VLOOKUP(Q1015,'PRODUCT TABLE'!$A$2:$B$26,2,FALSE),"-")</f>
        <v>-</v>
      </c>
      <c r="V1015" s="161">
        <f t="shared" si="14"/>
        <v>0</v>
      </c>
      <c r="Y1015" s="30"/>
      <c r="Z1015" s="169">
        <f t="shared" si="2"/>
        <v>0</v>
      </c>
      <c r="AA1015" s="167">
        <f t="shared" si="3"/>
        <v>0</v>
      </c>
      <c r="AB1015" s="161"/>
      <c r="AC1015" s="161">
        <f t="shared" si="4"/>
        <v>0</v>
      </c>
      <c r="AD1015" s="161">
        <f t="shared" si="5"/>
        <v>0</v>
      </c>
      <c r="AE1015" s="161">
        <f t="shared" si="6"/>
        <v>0</v>
      </c>
      <c r="AF1015" s="167">
        <f t="shared" si="7"/>
        <v>0</v>
      </c>
      <c r="AG1015" s="167">
        <f t="shared" si="8"/>
        <v>0</v>
      </c>
      <c r="AH1015" s="158"/>
      <c r="AI1015" s="158"/>
    </row>
    <row r="1016" ht="12.75" customHeight="1">
      <c r="B1016" s="160" t="str">
        <f>iferror(VLOOKUP((LEFT(A1016,6)),CUSTOMER_DETAILS,2,FALSE),"-")</f>
        <v>-</v>
      </c>
      <c r="C1016" s="161" t="s">
        <v>89</v>
      </c>
      <c r="D1016" s="162"/>
      <c r="E1016" s="161" t="s">
        <v>89</v>
      </c>
      <c r="F1016" s="30" t="s">
        <v>89</v>
      </c>
      <c r="G1016" s="30" t="s">
        <v>89</v>
      </c>
      <c r="H1016" s="30" t="s">
        <v>89</v>
      </c>
      <c r="I1016" s="48" t="s">
        <v>108</v>
      </c>
      <c r="J1016" s="188" t="str">
        <f t="shared" si="15"/>
        <v/>
      </c>
      <c r="L1016" s="48" t="s">
        <v>108</v>
      </c>
      <c r="O1016" s="30" t="s">
        <v>89</v>
      </c>
      <c r="Q1016" s="192"/>
      <c r="R1016" s="161" t="str">
        <f>IFERROR(VLOOKUP(Q1016,'PRODUCT TABLE'!$A$2:$B$26,2,FALSE),"-")</f>
        <v>-</v>
      </c>
      <c r="V1016" s="161">
        <f t="shared" si="14"/>
        <v>0</v>
      </c>
      <c r="Y1016" s="30"/>
      <c r="Z1016" s="169">
        <f t="shared" si="2"/>
        <v>0</v>
      </c>
      <c r="AA1016" s="167">
        <f t="shared" si="3"/>
        <v>0</v>
      </c>
      <c r="AB1016" s="161"/>
      <c r="AC1016" s="161">
        <f t="shared" si="4"/>
        <v>0</v>
      </c>
      <c r="AD1016" s="161">
        <f t="shared" si="5"/>
        <v>0</v>
      </c>
      <c r="AE1016" s="161">
        <f t="shared" si="6"/>
        <v>0</v>
      </c>
      <c r="AF1016" s="167">
        <f t="shared" si="7"/>
        <v>0</v>
      </c>
      <c r="AG1016" s="167">
        <f t="shared" si="8"/>
        <v>0</v>
      </c>
      <c r="AH1016" s="158"/>
      <c r="AI1016" s="158"/>
    </row>
    <row r="1017" ht="12.75" customHeight="1">
      <c r="B1017" s="160" t="str">
        <f>iferror(VLOOKUP((LEFT(A1017,6)),CUSTOMER_DETAILS,2,FALSE),"-")</f>
        <v>-</v>
      </c>
      <c r="C1017" s="161" t="s">
        <v>89</v>
      </c>
      <c r="D1017" s="162"/>
      <c r="E1017" s="161" t="s">
        <v>89</v>
      </c>
      <c r="F1017" s="30" t="s">
        <v>89</v>
      </c>
      <c r="G1017" s="30" t="s">
        <v>89</v>
      </c>
      <c r="H1017" s="30" t="s">
        <v>89</v>
      </c>
      <c r="I1017" s="48" t="s">
        <v>108</v>
      </c>
      <c r="J1017" s="188" t="str">
        <f t="shared" si="15"/>
        <v/>
      </c>
      <c r="L1017" s="48" t="s">
        <v>108</v>
      </c>
      <c r="O1017" s="30" t="s">
        <v>89</v>
      </c>
      <c r="Q1017" s="192"/>
      <c r="R1017" s="161" t="str">
        <f>IFERROR(VLOOKUP(Q1017,'PRODUCT TABLE'!$A$2:$B$26,2,FALSE),"-")</f>
        <v>-</v>
      </c>
      <c r="V1017" s="161">
        <f t="shared" si="14"/>
        <v>0</v>
      </c>
      <c r="Y1017" s="30"/>
      <c r="Z1017" s="169">
        <f t="shared" si="2"/>
        <v>0</v>
      </c>
      <c r="AA1017" s="167">
        <f t="shared" si="3"/>
        <v>0</v>
      </c>
      <c r="AB1017" s="161"/>
      <c r="AC1017" s="161">
        <f t="shared" si="4"/>
        <v>0</v>
      </c>
      <c r="AD1017" s="161">
        <f t="shared" si="5"/>
        <v>0</v>
      </c>
      <c r="AE1017" s="161">
        <f t="shared" si="6"/>
        <v>0</v>
      </c>
      <c r="AF1017" s="167">
        <f t="shared" si="7"/>
        <v>0</v>
      </c>
      <c r="AG1017" s="167">
        <f t="shared" si="8"/>
        <v>0</v>
      </c>
      <c r="AH1017" s="158"/>
      <c r="AI1017" s="158"/>
    </row>
    <row r="1018" ht="12.75" customHeight="1">
      <c r="B1018" s="160" t="str">
        <f>iferror(VLOOKUP((LEFT(A1018,6)),CUSTOMER_DETAILS,2,FALSE),"-")</f>
        <v>-</v>
      </c>
      <c r="C1018" s="161" t="s">
        <v>89</v>
      </c>
      <c r="D1018" s="162"/>
      <c r="E1018" s="161" t="s">
        <v>89</v>
      </c>
      <c r="F1018" s="30" t="s">
        <v>89</v>
      </c>
      <c r="G1018" s="30" t="s">
        <v>89</v>
      </c>
      <c r="H1018" s="30" t="s">
        <v>89</v>
      </c>
      <c r="I1018" s="48" t="s">
        <v>108</v>
      </c>
      <c r="J1018" s="188" t="str">
        <f t="shared" si="15"/>
        <v/>
      </c>
      <c r="L1018" s="48" t="s">
        <v>108</v>
      </c>
      <c r="O1018" s="30" t="s">
        <v>89</v>
      </c>
      <c r="Q1018" s="192"/>
      <c r="R1018" s="161" t="str">
        <f>IFERROR(VLOOKUP(Q1018,'PRODUCT TABLE'!$A$2:$B$26,2,FALSE),"-")</f>
        <v>-</v>
      </c>
      <c r="V1018" s="161">
        <f t="shared" si="14"/>
        <v>0</v>
      </c>
      <c r="Y1018" s="30"/>
      <c r="Z1018" s="169">
        <f t="shared" si="2"/>
        <v>0</v>
      </c>
      <c r="AA1018" s="167">
        <f t="shared" si="3"/>
        <v>0</v>
      </c>
      <c r="AB1018" s="161"/>
      <c r="AC1018" s="161">
        <f t="shared" si="4"/>
        <v>0</v>
      </c>
      <c r="AD1018" s="161">
        <f t="shared" si="5"/>
        <v>0</v>
      </c>
      <c r="AE1018" s="161">
        <f t="shared" si="6"/>
        <v>0</v>
      </c>
      <c r="AF1018" s="167">
        <f t="shared" si="7"/>
        <v>0</v>
      </c>
      <c r="AG1018" s="167">
        <f t="shared" si="8"/>
        <v>0</v>
      </c>
      <c r="AH1018" s="158"/>
      <c r="AI1018" s="158"/>
    </row>
    <row r="1019" ht="12.75" customHeight="1">
      <c r="B1019" s="160" t="str">
        <f>iferror(VLOOKUP((LEFT(A1019,6)),CUSTOMER_DETAILS,2,FALSE),"-")</f>
        <v>-</v>
      </c>
      <c r="C1019" s="161" t="s">
        <v>89</v>
      </c>
      <c r="D1019" s="162"/>
      <c r="E1019" s="161" t="s">
        <v>89</v>
      </c>
      <c r="F1019" s="30" t="s">
        <v>89</v>
      </c>
      <c r="G1019" s="30" t="s">
        <v>89</v>
      </c>
      <c r="H1019" s="30" t="s">
        <v>89</v>
      </c>
      <c r="I1019" s="48" t="s">
        <v>108</v>
      </c>
      <c r="J1019" s="188" t="str">
        <f t="shared" si="15"/>
        <v/>
      </c>
      <c r="L1019" s="48" t="s">
        <v>108</v>
      </c>
      <c r="O1019" s="30" t="s">
        <v>89</v>
      </c>
      <c r="Q1019" s="192"/>
      <c r="R1019" s="161" t="str">
        <f>IFERROR(VLOOKUP(Q1019,'PRODUCT TABLE'!$A$2:$B$26,2,FALSE),"-")</f>
        <v>-</v>
      </c>
      <c r="V1019" s="161">
        <f t="shared" si="14"/>
        <v>0</v>
      </c>
      <c r="Y1019" s="30"/>
      <c r="Z1019" s="169">
        <f t="shared" si="2"/>
        <v>0</v>
      </c>
      <c r="AA1019" s="167">
        <f t="shared" si="3"/>
        <v>0</v>
      </c>
      <c r="AB1019" s="161"/>
      <c r="AC1019" s="161">
        <f t="shared" si="4"/>
        <v>0</v>
      </c>
      <c r="AD1019" s="161">
        <f t="shared" si="5"/>
        <v>0</v>
      </c>
      <c r="AE1019" s="161">
        <f t="shared" si="6"/>
        <v>0</v>
      </c>
      <c r="AF1019" s="167">
        <f t="shared" si="7"/>
        <v>0</v>
      </c>
      <c r="AG1019" s="167">
        <f t="shared" si="8"/>
        <v>0</v>
      </c>
      <c r="AH1019" s="158"/>
      <c r="AI1019" s="158"/>
    </row>
    <row r="1020" ht="12.75" customHeight="1">
      <c r="B1020" s="160" t="str">
        <f>iferror(VLOOKUP((LEFT(A1020,6)),CUSTOMER_DETAILS,2,FALSE),"-")</f>
        <v>-</v>
      </c>
      <c r="C1020" s="161" t="s">
        <v>89</v>
      </c>
      <c r="D1020" s="162"/>
      <c r="E1020" s="161" t="s">
        <v>89</v>
      </c>
      <c r="F1020" s="30" t="s">
        <v>89</v>
      </c>
      <c r="G1020" s="30" t="s">
        <v>89</v>
      </c>
      <c r="H1020" s="30" t="s">
        <v>89</v>
      </c>
      <c r="I1020" s="48" t="s">
        <v>108</v>
      </c>
      <c r="J1020" s="188" t="str">
        <f t="shared" si="15"/>
        <v/>
      </c>
      <c r="L1020" s="48" t="s">
        <v>108</v>
      </c>
      <c r="O1020" s="30" t="s">
        <v>89</v>
      </c>
      <c r="Q1020" s="192"/>
      <c r="R1020" s="161" t="str">
        <f>IFERROR(VLOOKUP(Q1020,'PRODUCT TABLE'!$A$2:$B$26,2,FALSE),"-")</f>
        <v>-</v>
      </c>
      <c r="V1020" s="161">
        <f t="shared" si="14"/>
        <v>0</v>
      </c>
      <c r="Y1020" s="30"/>
      <c r="Z1020" s="169">
        <f t="shared" si="2"/>
        <v>0</v>
      </c>
      <c r="AA1020" s="167">
        <f t="shared" si="3"/>
        <v>0</v>
      </c>
      <c r="AB1020" s="161"/>
      <c r="AC1020" s="161">
        <f t="shared" si="4"/>
        <v>0</v>
      </c>
      <c r="AD1020" s="161">
        <f t="shared" si="5"/>
        <v>0</v>
      </c>
      <c r="AE1020" s="161">
        <f t="shared" si="6"/>
        <v>0</v>
      </c>
      <c r="AF1020" s="167">
        <f t="shared" si="7"/>
        <v>0</v>
      </c>
      <c r="AG1020" s="167">
        <f t="shared" si="8"/>
        <v>0</v>
      </c>
      <c r="AH1020" s="158"/>
      <c r="AI1020" s="158"/>
    </row>
    <row r="1021" ht="12.75" customHeight="1">
      <c r="B1021" s="160" t="str">
        <f>iferror(VLOOKUP((LEFT(A1021,6)),CUSTOMER_DETAILS,2,FALSE),"-")</f>
        <v>-</v>
      </c>
      <c r="C1021" s="161" t="s">
        <v>89</v>
      </c>
      <c r="D1021" s="162"/>
      <c r="E1021" s="161" t="s">
        <v>89</v>
      </c>
      <c r="F1021" s="30" t="s">
        <v>89</v>
      </c>
      <c r="G1021" s="30" t="s">
        <v>89</v>
      </c>
      <c r="H1021" s="30" t="s">
        <v>89</v>
      </c>
      <c r="I1021" s="48" t="s">
        <v>108</v>
      </c>
      <c r="J1021" s="188" t="str">
        <f t="shared" si="15"/>
        <v/>
      </c>
      <c r="L1021" s="48" t="s">
        <v>108</v>
      </c>
      <c r="O1021" s="30" t="s">
        <v>89</v>
      </c>
      <c r="Q1021" s="192"/>
      <c r="R1021" s="161" t="str">
        <f>IFERROR(VLOOKUP(Q1021,'PRODUCT TABLE'!$A$2:$B$26,2,FALSE),"-")</f>
        <v>-</v>
      </c>
      <c r="V1021" s="161">
        <f t="shared" si="14"/>
        <v>0</v>
      </c>
      <c r="Y1021" s="30"/>
      <c r="Z1021" s="169">
        <f t="shared" si="2"/>
        <v>0</v>
      </c>
      <c r="AA1021" s="167">
        <f t="shared" si="3"/>
        <v>0</v>
      </c>
      <c r="AB1021" s="161"/>
      <c r="AC1021" s="161">
        <f t="shared" si="4"/>
        <v>0</v>
      </c>
      <c r="AD1021" s="161">
        <f t="shared" si="5"/>
        <v>0</v>
      </c>
      <c r="AE1021" s="161">
        <f t="shared" si="6"/>
        <v>0</v>
      </c>
      <c r="AF1021" s="167">
        <f t="shared" si="7"/>
        <v>0</v>
      </c>
      <c r="AG1021" s="167">
        <f t="shared" si="8"/>
        <v>0</v>
      </c>
      <c r="AH1021" s="158"/>
      <c r="AI1021" s="158"/>
    </row>
    <row r="1022" ht="12.75" customHeight="1">
      <c r="B1022" s="160" t="str">
        <f>iferror(VLOOKUP((LEFT(A1022,6)),CUSTOMER_DETAILS,2,FALSE),"-")</f>
        <v>-</v>
      </c>
      <c r="C1022" s="161" t="s">
        <v>89</v>
      </c>
      <c r="D1022" s="162"/>
      <c r="E1022" s="161" t="s">
        <v>89</v>
      </c>
      <c r="F1022" s="30" t="s">
        <v>89</v>
      </c>
      <c r="G1022" s="30" t="s">
        <v>89</v>
      </c>
      <c r="H1022" s="30" t="s">
        <v>89</v>
      </c>
      <c r="I1022" s="48" t="s">
        <v>108</v>
      </c>
      <c r="J1022" s="188" t="str">
        <f t="shared" si="15"/>
        <v/>
      </c>
      <c r="L1022" s="48" t="s">
        <v>108</v>
      </c>
      <c r="O1022" s="30" t="s">
        <v>89</v>
      </c>
      <c r="Q1022" s="192"/>
      <c r="R1022" s="161" t="str">
        <f>IFERROR(VLOOKUP(Q1022,'PRODUCT TABLE'!$A$2:$B$26,2,FALSE),"-")</f>
        <v>-</v>
      </c>
      <c r="V1022" s="161">
        <f t="shared" si="14"/>
        <v>0</v>
      </c>
      <c r="Y1022" s="30"/>
      <c r="Z1022" s="169">
        <f t="shared" si="2"/>
        <v>0</v>
      </c>
      <c r="AA1022" s="167">
        <f t="shared" si="3"/>
        <v>0</v>
      </c>
      <c r="AB1022" s="161"/>
      <c r="AC1022" s="161">
        <f t="shared" si="4"/>
        <v>0</v>
      </c>
      <c r="AD1022" s="161">
        <f t="shared" si="5"/>
        <v>0</v>
      </c>
      <c r="AE1022" s="161">
        <f t="shared" si="6"/>
        <v>0</v>
      </c>
      <c r="AF1022" s="167">
        <f t="shared" si="7"/>
        <v>0</v>
      </c>
      <c r="AG1022" s="167">
        <f t="shared" si="8"/>
        <v>0</v>
      </c>
      <c r="AH1022" s="158"/>
      <c r="AI1022" s="158"/>
    </row>
    <row r="1023" ht="12.75" customHeight="1">
      <c r="B1023" s="160" t="str">
        <f>iferror(VLOOKUP((LEFT(A1023,6)),CUSTOMER_DETAILS,2,FALSE),"-")</f>
        <v>-</v>
      </c>
      <c r="C1023" s="161" t="s">
        <v>89</v>
      </c>
      <c r="D1023" s="162"/>
      <c r="E1023" s="161" t="s">
        <v>89</v>
      </c>
      <c r="F1023" s="30" t="s">
        <v>89</v>
      </c>
      <c r="G1023" s="30" t="s">
        <v>89</v>
      </c>
      <c r="H1023" s="30" t="s">
        <v>89</v>
      </c>
      <c r="I1023" s="48" t="s">
        <v>108</v>
      </c>
      <c r="J1023" s="188" t="str">
        <f t="shared" si="15"/>
        <v/>
      </c>
      <c r="L1023" s="48" t="s">
        <v>108</v>
      </c>
      <c r="O1023" s="30" t="s">
        <v>89</v>
      </c>
      <c r="Q1023" s="192"/>
      <c r="R1023" s="161" t="str">
        <f>IFERROR(VLOOKUP(Q1023,'PRODUCT TABLE'!$A$2:$B$26,2,FALSE),"-")</f>
        <v>-</v>
      </c>
      <c r="V1023" s="161">
        <f t="shared" si="14"/>
        <v>0</v>
      </c>
      <c r="Y1023" s="30"/>
      <c r="Z1023" s="169">
        <f t="shared" si="2"/>
        <v>0</v>
      </c>
      <c r="AA1023" s="167">
        <f t="shared" si="3"/>
        <v>0</v>
      </c>
      <c r="AB1023" s="161"/>
      <c r="AC1023" s="161">
        <f t="shared" si="4"/>
        <v>0</v>
      </c>
      <c r="AD1023" s="161">
        <f t="shared" si="5"/>
        <v>0</v>
      </c>
      <c r="AE1023" s="161">
        <f t="shared" si="6"/>
        <v>0</v>
      </c>
      <c r="AF1023" s="167">
        <f t="shared" si="7"/>
        <v>0</v>
      </c>
      <c r="AG1023" s="167">
        <f t="shared" si="8"/>
        <v>0</v>
      </c>
      <c r="AH1023" s="158"/>
      <c r="AI1023" s="158"/>
    </row>
    <row r="1024" ht="12.75" customHeight="1">
      <c r="B1024" s="160" t="str">
        <f>iferror(VLOOKUP((LEFT(A1024,6)),CUSTOMER_DETAILS,2,FALSE),"-")</f>
        <v>-</v>
      </c>
      <c r="C1024" s="161" t="s">
        <v>89</v>
      </c>
      <c r="D1024" s="162"/>
      <c r="E1024" s="161" t="s">
        <v>89</v>
      </c>
      <c r="F1024" s="30" t="s">
        <v>89</v>
      </c>
      <c r="G1024" s="30" t="s">
        <v>89</v>
      </c>
      <c r="H1024" s="30" t="s">
        <v>89</v>
      </c>
      <c r="I1024" s="48" t="s">
        <v>108</v>
      </c>
      <c r="J1024" s="188" t="str">
        <f t="shared" si="15"/>
        <v/>
      </c>
      <c r="L1024" s="48" t="s">
        <v>108</v>
      </c>
      <c r="O1024" s="30" t="s">
        <v>89</v>
      </c>
      <c r="Q1024" s="192"/>
      <c r="R1024" s="161" t="str">
        <f>IFERROR(VLOOKUP(Q1024,'PRODUCT TABLE'!$A$2:$B$26,2,FALSE),"-")</f>
        <v>-</v>
      </c>
      <c r="V1024" s="161">
        <f t="shared" si="14"/>
        <v>0</v>
      </c>
      <c r="Y1024" s="30"/>
      <c r="Z1024" s="169">
        <f t="shared" si="2"/>
        <v>0</v>
      </c>
      <c r="AA1024" s="167">
        <f t="shared" si="3"/>
        <v>0</v>
      </c>
      <c r="AB1024" s="161"/>
      <c r="AC1024" s="161">
        <f t="shared" si="4"/>
        <v>0</v>
      </c>
      <c r="AD1024" s="161">
        <f t="shared" si="5"/>
        <v>0</v>
      </c>
      <c r="AE1024" s="161">
        <f t="shared" si="6"/>
        <v>0</v>
      </c>
      <c r="AF1024" s="167">
        <f t="shared" si="7"/>
        <v>0</v>
      </c>
      <c r="AG1024" s="167">
        <f t="shared" si="8"/>
        <v>0</v>
      </c>
      <c r="AH1024" s="158"/>
      <c r="AI1024" s="158"/>
    </row>
    <row r="1025" ht="12.75" customHeight="1">
      <c r="B1025" s="160" t="str">
        <f>iferror(VLOOKUP((LEFT(A1025,6)),CUSTOMER_DETAILS,2,FALSE),"-")</f>
        <v>-</v>
      </c>
      <c r="C1025" s="161" t="s">
        <v>89</v>
      </c>
      <c r="D1025" s="162"/>
      <c r="E1025" s="161" t="s">
        <v>89</v>
      </c>
      <c r="F1025" s="30" t="s">
        <v>89</v>
      </c>
      <c r="G1025" s="30" t="s">
        <v>89</v>
      </c>
      <c r="H1025" s="30" t="s">
        <v>89</v>
      </c>
      <c r="I1025" s="48" t="s">
        <v>108</v>
      </c>
      <c r="J1025" s="188" t="str">
        <f t="shared" si="15"/>
        <v/>
      </c>
      <c r="L1025" s="48" t="s">
        <v>108</v>
      </c>
      <c r="O1025" s="30" t="s">
        <v>89</v>
      </c>
      <c r="Q1025" s="192"/>
      <c r="R1025" s="161" t="str">
        <f>IFERROR(VLOOKUP(Q1025,'PRODUCT TABLE'!$A$2:$B$26,2,FALSE),"-")</f>
        <v>-</v>
      </c>
      <c r="V1025" s="161">
        <f t="shared" si="14"/>
        <v>0</v>
      </c>
      <c r="Y1025" s="30"/>
      <c r="Z1025" s="169">
        <f t="shared" si="2"/>
        <v>0</v>
      </c>
      <c r="AA1025" s="167">
        <f t="shared" si="3"/>
        <v>0</v>
      </c>
      <c r="AB1025" s="161"/>
      <c r="AC1025" s="161">
        <f t="shared" si="4"/>
        <v>0</v>
      </c>
      <c r="AD1025" s="161">
        <f t="shared" si="5"/>
        <v>0</v>
      </c>
      <c r="AE1025" s="161">
        <f t="shared" si="6"/>
        <v>0</v>
      </c>
      <c r="AF1025" s="167">
        <f t="shared" si="7"/>
        <v>0</v>
      </c>
      <c r="AG1025" s="167">
        <f t="shared" si="8"/>
        <v>0</v>
      </c>
      <c r="AH1025" s="158"/>
      <c r="AI1025" s="158"/>
    </row>
    <row r="1026" ht="12.75" customHeight="1">
      <c r="B1026" s="160" t="str">
        <f>iferror(VLOOKUP((LEFT(A1026,6)),CUSTOMER_DETAILS,2,FALSE),"-")</f>
        <v>-</v>
      </c>
      <c r="C1026" s="161" t="s">
        <v>89</v>
      </c>
      <c r="D1026" s="162"/>
      <c r="E1026" s="161" t="s">
        <v>89</v>
      </c>
      <c r="F1026" s="30" t="s">
        <v>89</v>
      </c>
      <c r="G1026" s="30" t="s">
        <v>89</v>
      </c>
      <c r="H1026" s="30" t="s">
        <v>89</v>
      </c>
      <c r="I1026" s="48" t="s">
        <v>108</v>
      </c>
      <c r="J1026" s="188" t="str">
        <f t="shared" si="15"/>
        <v/>
      </c>
      <c r="L1026" s="48" t="s">
        <v>108</v>
      </c>
      <c r="O1026" s="30" t="s">
        <v>89</v>
      </c>
      <c r="Q1026" s="192"/>
      <c r="R1026" s="161" t="str">
        <f>IFERROR(VLOOKUP(Q1026,'PRODUCT TABLE'!$A$2:$B$26,2,FALSE),"-")</f>
        <v>-</v>
      </c>
      <c r="V1026" s="161">
        <f t="shared" si="14"/>
        <v>0</v>
      </c>
      <c r="Y1026" s="30"/>
      <c r="Z1026" s="169">
        <f t="shared" si="2"/>
        <v>0</v>
      </c>
      <c r="AA1026" s="167">
        <f t="shared" si="3"/>
        <v>0</v>
      </c>
      <c r="AB1026" s="161"/>
      <c r="AC1026" s="161">
        <f t="shared" si="4"/>
        <v>0</v>
      </c>
      <c r="AD1026" s="161">
        <f t="shared" si="5"/>
        <v>0</v>
      </c>
      <c r="AE1026" s="161">
        <f t="shared" si="6"/>
        <v>0</v>
      </c>
      <c r="AF1026" s="167">
        <f t="shared" si="7"/>
        <v>0</v>
      </c>
      <c r="AG1026" s="167">
        <f t="shared" si="8"/>
        <v>0</v>
      </c>
      <c r="AH1026" s="158"/>
      <c r="AI1026" s="158"/>
    </row>
    <row r="1027" ht="12.75" customHeight="1">
      <c r="B1027" s="160" t="str">
        <f>iferror(VLOOKUP((LEFT(A1027,6)),CUSTOMER_DETAILS,2,FALSE),"-")</f>
        <v>-</v>
      </c>
      <c r="C1027" s="161" t="s">
        <v>89</v>
      </c>
      <c r="D1027" s="162"/>
      <c r="E1027" s="161" t="s">
        <v>89</v>
      </c>
      <c r="F1027" s="30" t="s">
        <v>89</v>
      </c>
      <c r="G1027" s="30" t="s">
        <v>89</v>
      </c>
      <c r="H1027" s="30" t="s">
        <v>89</v>
      </c>
      <c r="I1027" s="48" t="s">
        <v>108</v>
      </c>
      <c r="J1027" s="188" t="str">
        <f t="shared" si="15"/>
        <v/>
      </c>
      <c r="L1027" s="48" t="s">
        <v>108</v>
      </c>
      <c r="O1027" s="30" t="s">
        <v>89</v>
      </c>
      <c r="Q1027" s="192"/>
      <c r="R1027" s="161" t="str">
        <f>IFERROR(VLOOKUP(Q1027,'PRODUCT TABLE'!$A$2:$B$26,2,FALSE),"-")</f>
        <v>-</v>
      </c>
      <c r="V1027" s="161">
        <f t="shared" si="14"/>
        <v>0</v>
      </c>
      <c r="Y1027" s="30"/>
      <c r="Z1027" s="169">
        <f t="shared" si="2"/>
        <v>0</v>
      </c>
      <c r="AA1027" s="167">
        <f t="shared" si="3"/>
        <v>0</v>
      </c>
      <c r="AB1027" s="161"/>
      <c r="AC1027" s="161">
        <f t="shared" si="4"/>
        <v>0</v>
      </c>
      <c r="AD1027" s="161">
        <f t="shared" si="5"/>
        <v>0</v>
      </c>
      <c r="AE1027" s="161">
        <f t="shared" si="6"/>
        <v>0</v>
      </c>
      <c r="AF1027" s="167">
        <f t="shared" si="7"/>
        <v>0</v>
      </c>
      <c r="AG1027" s="167">
        <f t="shared" si="8"/>
        <v>0</v>
      </c>
      <c r="AH1027" s="158"/>
      <c r="AI1027" s="158"/>
    </row>
    <row r="1028" ht="12.75" customHeight="1">
      <c r="B1028" s="160" t="str">
        <f>iferror(VLOOKUP((LEFT(A1028,6)),CUSTOMER_DETAILS,2,FALSE),"-")</f>
        <v>-</v>
      </c>
      <c r="C1028" s="161" t="s">
        <v>89</v>
      </c>
      <c r="D1028" s="162"/>
      <c r="E1028" s="161" t="s">
        <v>89</v>
      </c>
      <c r="F1028" s="30" t="s">
        <v>89</v>
      </c>
      <c r="G1028" s="30" t="s">
        <v>89</v>
      </c>
      <c r="H1028" s="30" t="s">
        <v>89</v>
      </c>
      <c r="I1028" s="48" t="s">
        <v>108</v>
      </c>
      <c r="J1028" s="188" t="str">
        <f t="shared" si="15"/>
        <v/>
      </c>
      <c r="L1028" s="48" t="s">
        <v>108</v>
      </c>
      <c r="O1028" s="30" t="s">
        <v>89</v>
      </c>
      <c r="Q1028" s="192"/>
      <c r="R1028" s="161" t="str">
        <f>IFERROR(VLOOKUP(Q1028,'PRODUCT TABLE'!$A$2:$B$26,2,FALSE),"-")</f>
        <v>-</v>
      </c>
      <c r="V1028" s="161">
        <f t="shared" si="14"/>
        <v>0</v>
      </c>
      <c r="Y1028" s="30"/>
      <c r="Z1028" s="169">
        <f t="shared" si="2"/>
        <v>0</v>
      </c>
      <c r="AA1028" s="167">
        <f t="shared" si="3"/>
        <v>0</v>
      </c>
      <c r="AB1028" s="161"/>
      <c r="AC1028" s="161">
        <f t="shared" si="4"/>
        <v>0</v>
      </c>
      <c r="AD1028" s="161">
        <f t="shared" si="5"/>
        <v>0</v>
      </c>
      <c r="AE1028" s="161">
        <f t="shared" si="6"/>
        <v>0</v>
      </c>
      <c r="AF1028" s="167">
        <f t="shared" si="7"/>
        <v>0</v>
      </c>
      <c r="AG1028" s="167">
        <f t="shared" si="8"/>
        <v>0</v>
      </c>
      <c r="AH1028" s="158"/>
      <c r="AI1028" s="158"/>
    </row>
    <row r="1029" ht="12.75" customHeight="1">
      <c r="B1029" s="160" t="str">
        <f>iferror(VLOOKUP((LEFT(A1029,6)),CUSTOMER_DETAILS,2,FALSE),"-")</f>
        <v>-</v>
      </c>
      <c r="C1029" s="161" t="s">
        <v>89</v>
      </c>
      <c r="D1029" s="162"/>
      <c r="E1029" s="161" t="s">
        <v>89</v>
      </c>
      <c r="F1029" s="30" t="s">
        <v>89</v>
      </c>
      <c r="G1029" s="30" t="s">
        <v>89</v>
      </c>
      <c r="H1029" s="30" t="s">
        <v>89</v>
      </c>
      <c r="I1029" s="48" t="s">
        <v>108</v>
      </c>
      <c r="J1029" s="188" t="str">
        <f t="shared" si="15"/>
        <v/>
      </c>
      <c r="L1029" s="48" t="s">
        <v>108</v>
      </c>
      <c r="O1029" s="30" t="s">
        <v>89</v>
      </c>
      <c r="Q1029" s="192"/>
      <c r="R1029" s="161" t="str">
        <f>IFERROR(VLOOKUP(Q1029,'PRODUCT TABLE'!$A$2:$B$26,2,FALSE),"-")</f>
        <v>-</v>
      </c>
      <c r="V1029" s="161">
        <f t="shared" si="14"/>
        <v>0</v>
      </c>
      <c r="Y1029" s="30"/>
      <c r="Z1029" s="169">
        <f t="shared" si="2"/>
        <v>0</v>
      </c>
      <c r="AA1029" s="167">
        <f t="shared" si="3"/>
        <v>0</v>
      </c>
      <c r="AB1029" s="161"/>
      <c r="AC1029" s="161">
        <f t="shared" si="4"/>
        <v>0</v>
      </c>
      <c r="AD1029" s="161">
        <f t="shared" si="5"/>
        <v>0</v>
      </c>
      <c r="AE1029" s="161">
        <f t="shared" si="6"/>
        <v>0</v>
      </c>
      <c r="AF1029" s="167">
        <f t="shared" si="7"/>
        <v>0</v>
      </c>
      <c r="AG1029" s="167">
        <f t="shared" si="8"/>
        <v>0</v>
      </c>
      <c r="AH1029" s="158"/>
      <c r="AI1029" s="158"/>
    </row>
    <row r="1030" ht="12.75" customHeight="1">
      <c r="B1030" s="160" t="str">
        <f>iferror(VLOOKUP((LEFT(A1030,6)),CUSTOMER_DETAILS,2,FALSE),"-")</f>
        <v>-</v>
      </c>
      <c r="C1030" s="161" t="s">
        <v>89</v>
      </c>
      <c r="D1030" s="162"/>
      <c r="E1030" s="161" t="s">
        <v>89</v>
      </c>
      <c r="F1030" s="30" t="s">
        <v>89</v>
      </c>
      <c r="G1030" s="30" t="s">
        <v>89</v>
      </c>
      <c r="H1030" s="30" t="s">
        <v>89</v>
      </c>
      <c r="I1030" s="48" t="s">
        <v>108</v>
      </c>
      <c r="J1030" s="188" t="str">
        <f t="shared" si="15"/>
        <v/>
      </c>
      <c r="L1030" s="48" t="s">
        <v>108</v>
      </c>
      <c r="O1030" s="30" t="s">
        <v>89</v>
      </c>
      <c r="Q1030" s="192"/>
      <c r="R1030" s="161" t="str">
        <f>IFERROR(VLOOKUP(Q1030,'PRODUCT TABLE'!$A$2:$B$26,2,FALSE),"-")</f>
        <v>-</v>
      </c>
      <c r="V1030" s="161">
        <f t="shared" si="14"/>
        <v>0</v>
      </c>
      <c r="Y1030" s="30"/>
      <c r="Z1030" s="169">
        <f t="shared" si="2"/>
        <v>0</v>
      </c>
      <c r="AA1030" s="167">
        <f t="shared" si="3"/>
        <v>0</v>
      </c>
      <c r="AB1030" s="161"/>
      <c r="AC1030" s="161">
        <f t="shared" si="4"/>
        <v>0</v>
      </c>
      <c r="AD1030" s="161">
        <f t="shared" si="5"/>
        <v>0</v>
      </c>
      <c r="AE1030" s="161">
        <f t="shared" si="6"/>
        <v>0</v>
      </c>
      <c r="AF1030" s="167">
        <f t="shared" si="7"/>
        <v>0</v>
      </c>
      <c r="AG1030" s="167">
        <f t="shared" si="8"/>
        <v>0</v>
      </c>
      <c r="AH1030" s="158"/>
      <c r="AI1030" s="158"/>
    </row>
    <row r="1031" ht="12.75" customHeight="1">
      <c r="B1031" s="160" t="str">
        <f>iferror(VLOOKUP((LEFT(A1031,6)),CUSTOMER_DETAILS,2,FALSE),"-")</f>
        <v>-</v>
      </c>
      <c r="C1031" s="161" t="s">
        <v>89</v>
      </c>
      <c r="D1031" s="162"/>
      <c r="E1031" s="161" t="s">
        <v>89</v>
      </c>
      <c r="F1031" s="30" t="s">
        <v>89</v>
      </c>
      <c r="G1031" s="30" t="s">
        <v>89</v>
      </c>
      <c r="H1031" s="30" t="s">
        <v>89</v>
      </c>
      <c r="I1031" s="48" t="s">
        <v>108</v>
      </c>
      <c r="J1031" s="188" t="str">
        <f t="shared" si="15"/>
        <v/>
      </c>
      <c r="L1031" s="48" t="s">
        <v>108</v>
      </c>
      <c r="O1031" s="30" t="s">
        <v>89</v>
      </c>
      <c r="Q1031" s="192"/>
      <c r="R1031" s="161" t="str">
        <f>IFERROR(VLOOKUP(Q1031,'PRODUCT TABLE'!$A$2:$B$26,2,FALSE),"-")</f>
        <v>-</v>
      </c>
      <c r="V1031" s="161">
        <f t="shared" si="14"/>
        <v>0</v>
      </c>
      <c r="Y1031" s="30"/>
      <c r="Z1031" s="169">
        <f t="shared" si="2"/>
        <v>0</v>
      </c>
      <c r="AA1031" s="167">
        <f t="shared" si="3"/>
        <v>0</v>
      </c>
      <c r="AB1031" s="161"/>
      <c r="AC1031" s="161">
        <f t="shared" si="4"/>
        <v>0</v>
      </c>
      <c r="AD1031" s="161">
        <f t="shared" si="5"/>
        <v>0</v>
      </c>
      <c r="AE1031" s="161">
        <f t="shared" si="6"/>
        <v>0</v>
      </c>
      <c r="AF1031" s="167">
        <f t="shared" si="7"/>
        <v>0</v>
      </c>
      <c r="AG1031" s="167">
        <f t="shared" si="8"/>
        <v>0</v>
      </c>
      <c r="AH1031" s="158"/>
      <c r="AI1031" s="158"/>
    </row>
    <row r="1032" ht="12.75" customHeight="1">
      <c r="B1032" s="160" t="str">
        <f>iferror(VLOOKUP((LEFT(A1032,6)),CUSTOMER_DETAILS,2,FALSE),"-")</f>
        <v>-</v>
      </c>
      <c r="C1032" s="161" t="s">
        <v>89</v>
      </c>
      <c r="D1032" s="162"/>
      <c r="E1032" s="161" t="s">
        <v>89</v>
      </c>
      <c r="F1032" s="30" t="s">
        <v>89</v>
      </c>
      <c r="G1032" s="30" t="s">
        <v>89</v>
      </c>
      <c r="H1032" s="30" t="s">
        <v>89</v>
      </c>
      <c r="I1032" s="48" t="s">
        <v>108</v>
      </c>
      <c r="J1032" s="188" t="str">
        <f t="shared" si="15"/>
        <v/>
      </c>
      <c r="L1032" s="48" t="s">
        <v>108</v>
      </c>
      <c r="O1032" s="30" t="s">
        <v>89</v>
      </c>
      <c r="Q1032" s="192"/>
      <c r="R1032" s="161" t="str">
        <f>IFERROR(VLOOKUP(Q1032,'PRODUCT TABLE'!$A$2:$B$26,2,FALSE),"-")</f>
        <v>-</v>
      </c>
      <c r="V1032" s="161">
        <f t="shared" si="14"/>
        <v>0</v>
      </c>
      <c r="Y1032" s="30"/>
      <c r="Z1032" s="169">
        <f t="shared" si="2"/>
        <v>0</v>
      </c>
      <c r="AA1032" s="167">
        <f t="shared" si="3"/>
        <v>0</v>
      </c>
      <c r="AB1032" s="161"/>
      <c r="AC1032" s="161">
        <f t="shared" si="4"/>
        <v>0</v>
      </c>
      <c r="AD1032" s="161">
        <f t="shared" si="5"/>
        <v>0</v>
      </c>
      <c r="AE1032" s="161">
        <f t="shared" si="6"/>
        <v>0</v>
      </c>
      <c r="AF1032" s="167">
        <f t="shared" si="7"/>
        <v>0</v>
      </c>
      <c r="AG1032" s="167">
        <f t="shared" si="8"/>
        <v>0</v>
      </c>
      <c r="AH1032" s="158"/>
      <c r="AI1032" s="158"/>
    </row>
    <row r="1033" ht="12.75" customHeight="1">
      <c r="B1033" s="160" t="str">
        <f>iferror(VLOOKUP((LEFT(A1033,6)),CUSTOMER_DETAILS,2,FALSE),"-")</f>
        <v>-</v>
      </c>
      <c r="C1033" s="161" t="s">
        <v>89</v>
      </c>
      <c r="D1033" s="162"/>
      <c r="E1033" s="161" t="s">
        <v>89</v>
      </c>
      <c r="F1033" s="30" t="s">
        <v>89</v>
      </c>
      <c r="G1033" s="30" t="s">
        <v>89</v>
      </c>
      <c r="H1033" s="30" t="s">
        <v>89</v>
      </c>
      <c r="I1033" s="48" t="s">
        <v>108</v>
      </c>
      <c r="J1033" s="188" t="str">
        <f t="shared" si="15"/>
        <v/>
      </c>
      <c r="L1033" s="48" t="s">
        <v>108</v>
      </c>
      <c r="O1033" s="30" t="s">
        <v>89</v>
      </c>
      <c r="Q1033" s="192"/>
      <c r="R1033" s="161" t="str">
        <f>IFERROR(VLOOKUP(Q1033,'PRODUCT TABLE'!$A$2:$B$26,2,FALSE),"-")</f>
        <v>-</v>
      </c>
      <c r="V1033" s="161">
        <f t="shared" si="14"/>
        <v>0</v>
      </c>
      <c r="Y1033" s="30"/>
      <c r="Z1033" s="169">
        <f t="shared" si="2"/>
        <v>0</v>
      </c>
      <c r="AA1033" s="167">
        <f t="shared" si="3"/>
        <v>0</v>
      </c>
      <c r="AB1033" s="161"/>
      <c r="AC1033" s="161">
        <f t="shared" si="4"/>
        <v>0</v>
      </c>
      <c r="AD1033" s="161">
        <f t="shared" si="5"/>
        <v>0</v>
      </c>
      <c r="AE1033" s="161">
        <f t="shared" si="6"/>
        <v>0</v>
      </c>
      <c r="AF1033" s="167">
        <f t="shared" si="7"/>
        <v>0</v>
      </c>
      <c r="AG1033" s="167">
        <f t="shared" si="8"/>
        <v>0</v>
      </c>
      <c r="AH1033" s="158"/>
      <c r="AI1033" s="158"/>
    </row>
    <row r="1034" ht="12.75" customHeight="1">
      <c r="B1034" s="160" t="str">
        <f>iferror(VLOOKUP((LEFT(A1034,6)),CUSTOMER_DETAILS,2,FALSE),"-")</f>
        <v>-</v>
      </c>
      <c r="C1034" s="161" t="s">
        <v>89</v>
      </c>
      <c r="D1034" s="162"/>
      <c r="E1034" s="161" t="s">
        <v>89</v>
      </c>
      <c r="F1034" s="30" t="s">
        <v>89</v>
      </c>
      <c r="G1034" s="30" t="s">
        <v>89</v>
      </c>
      <c r="H1034" s="30" t="s">
        <v>89</v>
      </c>
      <c r="I1034" s="48" t="s">
        <v>108</v>
      </c>
      <c r="J1034" s="188" t="str">
        <f t="shared" si="15"/>
        <v/>
      </c>
      <c r="L1034" s="48" t="s">
        <v>108</v>
      </c>
      <c r="O1034" s="30" t="s">
        <v>89</v>
      </c>
      <c r="Q1034" s="192"/>
      <c r="R1034" s="161" t="str">
        <f>IFERROR(VLOOKUP(Q1034,'PRODUCT TABLE'!$A$2:$B$26,2,FALSE),"-")</f>
        <v>-</v>
      </c>
      <c r="V1034" s="161">
        <f t="shared" si="14"/>
        <v>0</v>
      </c>
      <c r="Y1034" s="30"/>
      <c r="Z1034" s="169">
        <f t="shared" si="2"/>
        <v>0</v>
      </c>
      <c r="AA1034" s="167">
        <f t="shared" si="3"/>
        <v>0</v>
      </c>
      <c r="AB1034" s="161"/>
      <c r="AC1034" s="161">
        <f t="shared" si="4"/>
        <v>0</v>
      </c>
      <c r="AD1034" s="161">
        <f t="shared" si="5"/>
        <v>0</v>
      </c>
      <c r="AE1034" s="161">
        <f t="shared" si="6"/>
        <v>0</v>
      </c>
      <c r="AF1034" s="167">
        <f t="shared" si="7"/>
        <v>0</v>
      </c>
      <c r="AG1034" s="167">
        <f t="shared" si="8"/>
        <v>0</v>
      </c>
      <c r="AH1034" s="158"/>
      <c r="AI1034" s="158"/>
    </row>
    <row r="1035" ht="12.75" customHeight="1">
      <c r="B1035" s="160" t="str">
        <f>iferror(VLOOKUP((LEFT(A1035,6)),CUSTOMER_DETAILS,2,FALSE),"-")</f>
        <v>-</v>
      </c>
      <c r="C1035" s="161" t="s">
        <v>89</v>
      </c>
      <c r="D1035" s="162"/>
      <c r="E1035" s="161" t="s">
        <v>89</v>
      </c>
      <c r="F1035" s="30" t="s">
        <v>89</v>
      </c>
      <c r="G1035" s="30" t="s">
        <v>89</v>
      </c>
      <c r="H1035" s="30" t="s">
        <v>89</v>
      </c>
      <c r="I1035" s="48" t="s">
        <v>108</v>
      </c>
      <c r="J1035" s="188" t="str">
        <f t="shared" si="15"/>
        <v/>
      </c>
      <c r="L1035" s="48" t="s">
        <v>108</v>
      </c>
      <c r="O1035" s="30" t="s">
        <v>89</v>
      </c>
      <c r="Q1035" s="192"/>
      <c r="R1035" s="161" t="str">
        <f>IFERROR(VLOOKUP(Q1035,'PRODUCT TABLE'!$A$2:$B$26,2,FALSE),"-")</f>
        <v>-</v>
      </c>
      <c r="V1035" s="161">
        <f t="shared" si="14"/>
        <v>0</v>
      </c>
      <c r="Y1035" s="30"/>
      <c r="Z1035" s="169">
        <f t="shared" si="2"/>
        <v>0</v>
      </c>
      <c r="AA1035" s="167">
        <f t="shared" si="3"/>
        <v>0</v>
      </c>
      <c r="AB1035" s="161"/>
      <c r="AC1035" s="161">
        <f t="shared" si="4"/>
        <v>0</v>
      </c>
      <c r="AD1035" s="161">
        <f t="shared" si="5"/>
        <v>0</v>
      </c>
      <c r="AE1035" s="161">
        <f t="shared" si="6"/>
        <v>0</v>
      </c>
      <c r="AF1035" s="167">
        <f t="shared" si="7"/>
        <v>0</v>
      </c>
      <c r="AG1035" s="167">
        <f t="shared" si="8"/>
        <v>0</v>
      </c>
      <c r="AH1035" s="158"/>
      <c r="AI1035" s="158"/>
    </row>
    <row r="1036" ht="12.75" customHeight="1">
      <c r="B1036" s="160" t="str">
        <f>iferror(VLOOKUP((LEFT(A1036,6)),CUSTOMER_DETAILS,2,FALSE),"-")</f>
        <v>-</v>
      </c>
      <c r="C1036" s="161" t="s">
        <v>89</v>
      </c>
      <c r="D1036" s="162"/>
      <c r="E1036" s="161" t="s">
        <v>89</v>
      </c>
      <c r="F1036" s="30" t="s">
        <v>89</v>
      </c>
      <c r="G1036" s="30" t="s">
        <v>89</v>
      </c>
      <c r="H1036" s="30" t="s">
        <v>89</v>
      </c>
      <c r="I1036" s="48" t="s">
        <v>108</v>
      </c>
      <c r="J1036" s="188" t="str">
        <f t="shared" si="15"/>
        <v/>
      </c>
      <c r="L1036" s="48" t="s">
        <v>108</v>
      </c>
      <c r="O1036" s="30" t="s">
        <v>89</v>
      </c>
      <c r="Q1036" s="192"/>
      <c r="R1036" s="161" t="str">
        <f>IFERROR(VLOOKUP(Q1036,'PRODUCT TABLE'!$A$2:$B$26,2,FALSE),"-")</f>
        <v>-</v>
      </c>
      <c r="V1036" s="161">
        <f t="shared" si="14"/>
        <v>0</v>
      </c>
      <c r="Y1036" s="30"/>
      <c r="Z1036" s="169">
        <f t="shared" si="2"/>
        <v>0</v>
      </c>
      <c r="AA1036" s="167">
        <f t="shared" si="3"/>
        <v>0</v>
      </c>
      <c r="AB1036" s="161"/>
      <c r="AC1036" s="161">
        <f t="shared" si="4"/>
        <v>0</v>
      </c>
      <c r="AD1036" s="161">
        <f t="shared" si="5"/>
        <v>0</v>
      </c>
      <c r="AE1036" s="161">
        <f t="shared" si="6"/>
        <v>0</v>
      </c>
      <c r="AF1036" s="167">
        <f t="shared" si="7"/>
        <v>0</v>
      </c>
      <c r="AG1036" s="167">
        <f t="shared" si="8"/>
        <v>0</v>
      </c>
      <c r="AH1036" s="158"/>
      <c r="AI1036" s="158"/>
    </row>
    <row r="1037" ht="12.75" customHeight="1">
      <c r="B1037" s="160" t="str">
        <f>iferror(VLOOKUP((LEFT(A1037,6)),CUSTOMER_DETAILS,2,FALSE),"-")</f>
        <v>-</v>
      </c>
      <c r="C1037" s="161" t="s">
        <v>89</v>
      </c>
      <c r="D1037" s="162"/>
      <c r="E1037" s="161" t="s">
        <v>89</v>
      </c>
      <c r="F1037" s="30" t="s">
        <v>89</v>
      </c>
      <c r="G1037" s="30" t="s">
        <v>89</v>
      </c>
      <c r="H1037" s="30" t="s">
        <v>89</v>
      </c>
      <c r="I1037" s="48" t="s">
        <v>108</v>
      </c>
      <c r="J1037" s="188" t="str">
        <f t="shared" si="15"/>
        <v/>
      </c>
      <c r="L1037" s="48" t="s">
        <v>108</v>
      </c>
      <c r="O1037" s="30" t="s">
        <v>89</v>
      </c>
      <c r="Q1037" s="192"/>
      <c r="R1037" s="161" t="str">
        <f>IFERROR(VLOOKUP(Q1037,'PRODUCT TABLE'!$A$2:$B$26,2,FALSE),"-")</f>
        <v>-</v>
      </c>
      <c r="V1037" s="161">
        <f t="shared" si="14"/>
        <v>0</v>
      </c>
      <c r="Y1037" s="30"/>
      <c r="Z1037" s="169">
        <f t="shared" si="2"/>
        <v>0</v>
      </c>
      <c r="AA1037" s="167">
        <f t="shared" si="3"/>
        <v>0</v>
      </c>
      <c r="AB1037" s="161"/>
      <c r="AC1037" s="161">
        <f t="shared" si="4"/>
        <v>0</v>
      </c>
      <c r="AD1037" s="161">
        <f t="shared" si="5"/>
        <v>0</v>
      </c>
      <c r="AE1037" s="161">
        <f t="shared" si="6"/>
        <v>0</v>
      </c>
      <c r="AF1037" s="167">
        <f t="shared" si="7"/>
        <v>0</v>
      </c>
      <c r="AG1037" s="167">
        <f t="shared" si="8"/>
        <v>0</v>
      </c>
      <c r="AH1037" s="158"/>
      <c r="AI1037" s="158"/>
    </row>
    <row r="1038" ht="12.75" customHeight="1">
      <c r="B1038" s="160" t="str">
        <f>iferror(VLOOKUP((LEFT(A1038,6)),CUSTOMER_DETAILS,2,FALSE),"-")</f>
        <v>-</v>
      </c>
      <c r="C1038" s="161" t="s">
        <v>89</v>
      </c>
      <c r="D1038" s="162"/>
      <c r="E1038" s="161" t="s">
        <v>89</v>
      </c>
      <c r="F1038" s="30" t="s">
        <v>89</v>
      </c>
      <c r="G1038" s="30" t="s">
        <v>89</v>
      </c>
      <c r="H1038" s="30" t="s">
        <v>89</v>
      </c>
      <c r="I1038" s="48" t="s">
        <v>108</v>
      </c>
      <c r="J1038" s="188" t="str">
        <f t="shared" si="15"/>
        <v/>
      </c>
      <c r="L1038" s="48" t="s">
        <v>108</v>
      </c>
      <c r="O1038" s="30" t="s">
        <v>89</v>
      </c>
      <c r="Q1038" s="192"/>
      <c r="R1038" s="161" t="str">
        <f>IFERROR(VLOOKUP(Q1038,'PRODUCT TABLE'!$A$2:$B$26,2,FALSE),"-")</f>
        <v>-</v>
      </c>
      <c r="V1038" s="161">
        <f t="shared" si="14"/>
        <v>0</v>
      </c>
      <c r="Y1038" s="30"/>
      <c r="Z1038" s="169">
        <f t="shared" si="2"/>
        <v>0</v>
      </c>
      <c r="AA1038" s="167">
        <f t="shared" si="3"/>
        <v>0</v>
      </c>
      <c r="AB1038" s="161"/>
      <c r="AC1038" s="161">
        <f t="shared" si="4"/>
        <v>0</v>
      </c>
      <c r="AD1038" s="161">
        <f t="shared" si="5"/>
        <v>0</v>
      </c>
      <c r="AE1038" s="161">
        <f t="shared" si="6"/>
        <v>0</v>
      </c>
      <c r="AF1038" s="167">
        <f t="shared" si="7"/>
        <v>0</v>
      </c>
      <c r="AG1038" s="167">
        <f t="shared" si="8"/>
        <v>0</v>
      </c>
      <c r="AH1038" s="158"/>
      <c r="AI1038" s="158"/>
    </row>
    <row r="1039" ht="12.75" customHeight="1">
      <c r="B1039" s="160" t="str">
        <f>iferror(VLOOKUP((LEFT(A1039,6)),CUSTOMER_DETAILS,2,FALSE),"-")</f>
        <v>-</v>
      </c>
      <c r="C1039" s="161" t="s">
        <v>89</v>
      </c>
      <c r="D1039" s="162"/>
      <c r="E1039" s="161" t="s">
        <v>89</v>
      </c>
      <c r="F1039" s="30" t="s">
        <v>89</v>
      </c>
      <c r="G1039" s="30" t="s">
        <v>89</v>
      </c>
      <c r="H1039" s="30" t="s">
        <v>89</v>
      </c>
      <c r="I1039" s="48" t="s">
        <v>108</v>
      </c>
      <c r="J1039" s="188" t="str">
        <f t="shared" si="15"/>
        <v/>
      </c>
      <c r="L1039" s="48" t="s">
        <v>108</v>
      </c>
      <c r="O1039" s="30" t="s">
        <v>89</v>
      </c>
      <c r="Q1039" s="192"/>
      <c r="R1039" s="161" t="str">
        <f>IFERROR(VLOOKUP(Q1039,'PRODUCT TABLE'!$A$2:$B$26,2,FALSE),"-")</f>
        <v>-</v>
      </c>
      <c r="V1039" s="161">
        <f t="shared" si="14"/>
        <v>0</v>
      </c>
      <c r="Y1039" s="30"/>
      <c r="Z1039" s="169">
        <f t="shared" si="2"/>
        <v>0</v>
      </c>
      <c r="AA1039" s="167">
        <f t="shared" si="3"/>
        <v>0</v>
      </c>
      <c r="AB1039" s="161"/>
      <c r="AC1039" s="161">
        <f t="shared" si="4"/>
        <v>0</v>
      </c>
      <c r="AD1039" s="161">
        <f t="shared" si="5"/>
        <v>0</v>
      </c>
      <c r="AE1039" s="161">
        <f t="shared" si="6"/>
        <v>0</v>
      </c>
      <c r="AF1039" s="167">
        <f t="shared" si="7"/>
        <v>0</v>
      </c>
      <c r="AG1039" s="167">
        <f t="shared" si="8"/>
        <v>0</v>
      </c>
      <c r="AH1039" s="158"/>
      <c r="AI1039" s="158"/>
    </row>
    <row r="1040" ht="12.75" customHeight="1">
      <c r="B1040" s="160" t="str">
        <f>iferror(VLOOKUP((LEFT(A1040,6)),CUSTOMER_DETAILS,2,FALSE),"-")</f>
        <v>-</v>
      </c>
      <c r="C1040" s="161" t="s">
        <v>89</v>
      </c>
      <c r="D1040" s="162"/>
      <c r="E1040" s="161" t="s">
        <v>89</v>
      </c>
      <c r="F1040" s="30" t="s">
        <v>89</v>
      </c>
      <c r="G1040" s="30" t="s">
        <v>89</v>
      </c>
      <c r="H1040" s="30" t="s">
        <v>89</v>
      </c>
      <c r="I1040" s="48" t="s">
        <v>108</v>
      </c>
      <c r="J1040" s="188" t="str">
        <f t="shared" si="15"/>
        <v/>
      </c>
      <c r="L1040" s="48" t="s">
        <v>108</v>
      </c>
      <c r="O1040" s="30" t="s">
        <v>89</v>
      </c>
      <c r="Q1040" s="192"/>
      <c r="R1040" s="161" t="str">
        <f>IFERROR(VLOOKUP(Q1040,'PRODUCT TABLE'!$A$2:$B$26,2,FALSE),"-")</f>
        <v>-</v>
      </c>
      <c r="V1040" s="161">
        <f t="shared" si="14"/>
        <v>0</v>
      </c>
      <c r="Y1040" s="30"/>
      <c r="Z1040" s="169">
        <f t="shared" si="2"/>
        <v>0</v>
      </c>
      <c r="AA1040" s="167">
        <f t="shared" si="3"/>
        <v>0</v>
      </c>
      <c r="AB1040" s="161"/>
      <c r="AC1040" s="161">
        <f t="shared" si="4"/>
        <v>0</v>
      </c>
      <c r="AD1040" s="161">
        <f t="shared" si="5"/>
        <v>0</v>
      </c>
      <c r="AE1040" s="161">
        <f t="shared" si="6"/>
        <v>0</v>
      </c>
      <c r="AF1040" s="167">
        <f t="shared" si="7"/>
        <v>0</v>
      </c>
      <c r="AG1040" s="167">
        <f t="shared" si="8"/>
        <v>0</v>
      </c>
      <c r="AH1040" s="158"/>
      <c r="AI1040" s="158"/>
    </row>
    <row r="1041" ht="12.75" customHeight="1">
      <c r="B1041" s="160" t="str">
        <f>iferror(VLOOKUP((LEFT(A1041,6)),CUSTOMER_DETAILS,2,FALSE),"-")</f>
        <v>-</v>
      </c>
      <c r="C1041" s="161" t="s">
        <v>89</v>
      </c>
      <c r="D1041" s="162"/>
      <c r="E1041" s="161" t="s">
        <v>89</v>
      </c>
      <c r="F1041" s="30" t="s">
        <v>89</v>
      </c>
      <c r="G1041" s="30" t="s">
        <v>89</v>
      </c>
      <c r="H1041" s="30" t="s">
        <v>89</v>
      </c>
      <c r="I1041" s="48" t="s">
        <v>108</v>
      </c>
      <c r="J1041" s="188" t="str">
        <f t="shared" si="15"/>
        <v/>
      </c>
      <c r="L1041" s="48" t="s">
        <v>108</v>
      </c>
      <c r="O1041" s="30" t="s">
        <v>89</v>
      </c>
      <c r="Q1041" s="192"/>
      <c r="R1041" s="161" t="str">
        <f>IFERROR(VLOOKUP(Q1041,'PRODUCT TABLE'!$A$2:$B$26,2,FALSE),"-")</f>
        <v>-</v>
      </c>
      <c r="V1041" s="161">
        <f t="shared" si="14"/>
        <v>0</v>
      </c>
      <c r="Y1041" s="30"/>
      <c r="Z1041" s="169">
        <f t="shared" si="2"/>
        <v>0</v>
      </c>
      <c r="AA1041" s="167">
        <f t="shared" si="3"/>
        <v>0</v>
      </c>
      <c r="AB1041" s="161"/>
      <c r="AC1041" s="161">
        <f t="shared" si="4"/>
        <v>0</v>
      </c>
      <c r="AD1041" s="161">
        <f t="shared" si="5"/>
        <v>0</v>
      </c>
      <c r="AE1041" s="161">
        <f t="shared" si="6"/>
        <v>0</v>
      </c>
      <c r="AF1041" s="167">
        <f t="shared" si="7"/>
        <v>0</v>
      </c>
      <c r="AG1041" s="167">
        <f t="shared" si="8"/>
        <v>0</v>
      </c>
      <c r="AH1041" s="158"/>
      <c r="AI1041" s="158"/>
    </row>
    <row r="1042" ht="12.75" customHeight="1">
      <c r="B1042" s="160" t="str">
        <f>iferror(VLOOKUP((LEFT(A1042,6)),CUSTOMER_DETAILS,2,FALSE),"-")</f>
        <v>-</v>
      </c>
      <c r="C1042" s="161" t="s">
        <v>89</v>
      </c>
      <c r="D1042" s="162"/>
      <c r="E1042" s="161" t="s">
        <v>89</v>
      </c>
      <c r="F1042" s="30" t="s">
        <v>89</v>
      </c>
      <c r="G1042" s="30" t="s">
        <v>89</v>
      </c>
      <c r="H1042" s="30" t="s">
        <v>89</v>
      </c>
      <c r="I1042" s="48" t="s">
        <v>108</v>
      </c>
      <c r="J1042" s="188" t="str">
        <f t="shared" si="15"/>
        <v/>
      </c>
      <c r="L1042" s="48" t="s">
        <v>108</v>
      </c>
      <c r="O1042" s="30" t="s">
        <v>89</v>
      </c>
      <c r="Q1042" s="192"/>
      <c r="R1042" s="161" t="str">
        <f>IFERROR(VLOOKUP(Q1042,'PRODUCT TABLE'!$A$2:$B$26,2,FALSE),"-")</f>
        <v>-</v>
      </c>
      <c r="V1042" s="161">
        <f t="shared" si="14"/>
        <v>0</v>
      </c>
      <c r="Y1042" s="30"/>
      <c r="Z1042" s="169">
        <f t="shared" si="2"/>
        <v>0</v>
      </c>
      <c r="AA1042" s="167">
        <f t="shared" si="3"/>
        <v>0</v>
      </c>
      <c r="AB1042" s="161"/>
      <c r="AC1042" s="161">
        <f t="shared" si="4"/>
        <v>0</v>
      </c>
      <c r="AD1042" s="161">
        <f t="shared" si="5"/>
        <v>0</v>
      </c>
      <c r="AE1042" s="161">
        <f t="shared" si="6"/>
        <v>0</v>
      </c>
      <c r="AF1042" s="167">
        <f t="shared" si="7"/>
        <v>0</v>
      </c>
      <c r="AG1042" s="167">
        <f t="shared" si="8"/>
        <v>0</v>
      </c>
      <c r="AH1042" s="158"/>
      <c r="AI1042" s="158"/>
    </row>
    <row r="1043" ht="12.75" customHeight="1">
      <c r="B1043" s="160" t="str">
        <f>iferror(VLOOKUP((LEFT(A1043,6)),CUSTOMER_DETAILS,2,FALSE),"-")</f>
        <v>-</v>
      </c>
      <c r="C1043" s="161" t="s">
        <v>89</v>
      </c>
      <c r="D1043" s="162"/>
      <c r="E1043" s="161" t="s">
        <v>89</v>
      </c>
      <c r="F1043" s="30" t="s">
        <v>89</v>
      </c>
      <c r="G1043" s="30" t="s">
        <v>89</v>
      </c>
      <c r="H1043" s="30" t="s">
        <v>89</v>
      </c>
      <c r="I1043" s="48" t="s">
        <v>108</v>
      </c>
      <c r="J1043" s="188" t="str">
        <f t="shared" si="15"/>
        <v/>
      </c>
      <c r="L1043" s="48" t="s">
        <v>108</v>
      </c>
      <c r="O1043" s="30" t="s">
        <v>89</v>
      </c>
      <c r="Q1043" s="192"/>
      <c r="R1043" s="161" t="str">
        <f>IFERROR(VLOOKUP(Q1043,'PRODUCT TABLE'!$A$2:$B$26,2,FALSE),"-")</f>
        <v>-</v>
      </c>
      <c r="V1043" s="161">
        <f t="shared" si="14"/>
        <v>0</v>
      </c>
      <c r="Y1043" s="30"/>
      <c r="Z1043" s="169">
        <f t="shared" si="2"/>
        <v>0</v>
      </c>
      <c r="AA1043" s="167">
        <f t="shared" si="3"/>
        <v>0</v>
      </c>
      <c r="AB1043" s="161"/>
      <c r="AC1043" s="161">
        <f t="shared" si="4"/>
        <v>0</v>
      </c>
      <c r="AD1043" s="161">
        <f t="shared" si="5"/>
        <v>0</v>
      </c>
      <c r="AE1043" s="161">
        <f t="shared" si="6"/>
        <v>0</v>
      </c>
      <c r="AF1043" s="167">
        <f t="shared" si="7"/>
        <v>0</v>
      </c>
      <c r="AG1043" s="167">
        <f t="shared" si="8"/>
        <v>0</v>
      </c>
      <c r="AH1043" s="158"/>
      <c r="AI1043" s="158"/>
    </row>
    <row r="1044" ht="12.75" customHeight="1">
      <c r="B1044" s="160" t="str">
        <f>iferror(VLOOKUP((LEFT(A1044,6)),CUSTOMER_DETAILS,2,FALSE),"-")</f>
        <v>-</v>
      </c>
      <c r="C1044" s="161" t="s">
        <v>89</v>
      </c>
      <c r="D1044" s="162"/>
      <c r="E1044" s="161" t="s">
        <v>89</v>
      </c>
      <c r="F1044" s="30" t="s">
        <v>89</v>
      </c>
      <c r="G1044" s="30" t="s">
        <v>89</v>
      </c>
      <c r="H1044" s="30" t="s">
        <v>89</v>
      </c>
      <c r="I1044" s="48" t="s">
        <v>108</v>
      </c>
      <c r="J1044" s="188" t="str">
        <f t="shared" si="15"/>
        <v/>
      </c>
      <c r="L1044" s="48" t="s">
        <v>108</v>
      </c>
      <c r="O1044" s="30" t="s">
        <v>89</v>
      </c>
      <c r="Q1044" s="192"/>
      <c r="R1044" s="161" t="str">
        <f>IFERROR(VLOOKUP(Q1044,'PRODUCT TABLE'!$A$2:$B$26,2,FALSE),"-")</f>
        <v>-</v>
      </c>
      <c r="V1044" s="161">
        <f t="shared" si="14"/>
        <v>0</v>
      </c>
      <c r="Y1044" s="30"/>
      <c r="Z1044" s="169">
        <f t="shared" si="2"/>
        <v>0</v>
      </c>
      <c r="AA1044" s="167">
        <f t="shared" si="3"/>
        <v>0</v>
      </c>
      <c r="AB1044" s="161"/>
      <c r="AC1044" s="161">
        <f t="shared" si="4"/>
        <v>0</v>
      </c>
      <c r="AD1044" s="161">
        <f t="shared" si="5"/>
        <v>0</v>
      </c>
      <c r="AE1044" s="161">
        <f t="shared" si="6"/>
        <v>0</v>
      </c>
      <c r="AF1044" s="167">
        <f t="shared" si="7"/>
        <v>0</v>
      </c>
      <c r="AG1044" s="167">
        <f t="shared" si="8"/>
        <v>0</v>
      </c>
      <c r="AH1044" s="158"/>
      <c r="AI1044" s="158"/>
    </row>
    <row r="1045" ht="12.75" customHeight="1">
      <c r="B1045" s="160" t="str">
        <f>iferror(VLOOKUP((LEFT(A1045,6)),CUSTOMER_DETAILS,2,FALSE),"-")</f>
        <v>-</v>
      </c>
      <c r="C1045" s="161" t="s">
        <v>89</v>
      </c>
      <c r="D1045" s="162"/>
      <c r="E1045" s="161" t="s">
        <v>89</v>
      </c>
      <c r="F1045" s="30" t="s">
        <v>89</v>
      </c>
      <c r="G1045" s="30" t="s">
        <v>89</v>
      </c>
      <c r="H1045" s="30" t="s">
        <v>89</v>
      </c>
      <c r="I1045" s="48" t="s">
        <v>108</v>
      </c>
      <c r="J1045" s="188" t="str">
        <f t="shared" si="15"/>
        <v/>
      </c>
      <c r="L1045" s="48" t="s">
        <v>108</v>
      </c>
      <c r="O1045" s="30" t="s">
        <v>89</v>
      </c>
      <c r="Q1045" s="192"/>
      <c r="R1045" s="161" t="str">
        <f>IFERROR(VLOOKUP(Q1045,'PRODUCT TABLE'!$A$2:$B$26,2,FALSE),"-")</f>
        <v>-</v>
      </c>
      <c r="V1045" s="161">
        <f t="shared" si="14"/>
        <v>0</v>
      </c>
      <c r="Y1045" s="30"/>
      <c r="Z1045" s="169">
        <f t="shared" si="2"/>
        <v>0</v>
      </c>
      <c r="AA1045" s="167">
        <f t="shared" si="3"/>
        <v>0</v>
      </c>
      <c r="AB1045" s="161"/>
      <c r="AC1045" s="161">
        <f t="shared" si="4"/>
        <v>0</v>
      </c>
      <c r="AD1045" s="161">
        <f t="shared" si="5"/>
        <v>0</v>
      </c>
      <c r="AE1045" s="161">
        <f t="shared" si="6"/>
        <v>0</v>
      </c>
      <c r="AF1045" s="167">
        <f t="shared" si="7"/>
        <v>0</v>
      </c>
      <c r="AG1045" s="167">
        <f t="shared" si="8"/>
        <v>0</v>
      </c>
      <c r="AH1045" s="158"/>
      <c r="AI1045" s="158"/>
    </row>
    <row r="1046" ht="12.75" customHeight="1">
      <c r="B1046" s="160" t="str">
        <f>iferror(VLOOKUP((LEFT(A1046,6)),CUSTOMER_DETAILS,2,FALSE),"-")</f>
        <v>-</v>
      </c>
      <c r="C1046" s="161" t="s">
        <v>89</v>
      </c>
      <c r="D1046" s="162"/>
      <c r="E1046" s="161" t="s">
        <v>89</v>
      </c>
      <c r="F1046" s="30" t="s">
        <v>89</v>
      </c>
      <c r="G1046" s="30" t="s">
        <v>89</v>
      </c>
      <c r="H1046" s="30" t="s">
        <v>89</v>
      </c>
      <c r="I1046" s="48" t="s">
        <v>108</v>
      </c>
      <c r="J1046" s="188" t="str">
        <f t="shared" si="15"/>
        <v/>
      </c>
      <c r="L1046" s="48" t="s">
        <v>108</v>
      </c>
      <c r="O1046" s="30" t="s">
        <v>89</v>
      </c>
      <c r="Q1046" s="192"/>
      <c r="R1046" s="161" t="str">
        <f>IFERROR(VLOOKUP(Q1046,'PRODUCT TABLE'!$A$2:$B$26,2,FALSE),"-")</f>
        <v>-</v>
      </c>
      <c r="V1046" s="161">
        <f t="shared" si="14"/>
        <v>0</v>
      </c>
      <c r="Y1046" s="30"/>
      <c r="Z1046" s="169">
        <f t="shared" si="2"/>
        <v>0</v>
      </c>
      <c r="AA1046" s="167">
        <f t="shared" si="3"/>
        <v>0</v>
      </c>
      <c r="AB1046" s="161"/>
      <c r="AC1046" s="161">
        <f t="shared" si="4"/>
        <v>0</v>
      </c>
      <c r="AD1046" s="161">
        <f t="shared" si="5"/>
        <v>0</v>
      </c>
      <c r="AE1046" s="161">
        <f t="shared" si="6"/>
        <v>0</v>
      </c>
      <c r="AF1046" s="167">
        <f t="shared" si="7"/>
        <v>0</v>
      </c>
      <c r="AG1046" s="167">
        <f t="shared" si="8"/>
        <v>0</v>
      </c>
      <c r="AH1046" s="158"/>
      <c r="AI1046" s="158"/>
    </row>
    <row r="1047" ht="12.75" customHeight="1">
      <c r="B1047" s="160" t="str">
        <f>iferror(VLOOKUP((LEFT(A1047,6)),CUSTOMER_DETAILS,2,FALSE),"-")</f>
        <v>-</v>
      </c>
      <c r="C1047" s="161" t="s">
        <v>89</v>
      </c>
      <c r="D1047" s="162"/>
      <c r="E1047" s="161" t="s">
        <v>89</v>
      </c>
      <c r="F1047" s="30" t="s">
        <v>89</v>
      </c>
      <c r="G1047" s="30" t="s">
        <v>89</v>
      </c>
      <c r="H1047" s="30" t="s">
        <v>89</v>
      </c>
      <c r="I1047" s="48" t="s">
        <v>108</v>
      </c>
      <c r="J1047" s="188" t="str">
        <f t="shared" si="15"/>
        <v/>
      </c>
      <c r="L1047" s="48" t="s">
        <v>108</v>
      </c>
      <c r="O1047" s="30" t="s">
        <v>89</v>
      </c>
      <c r="Q1047" s="192"/>
      <c r="R1047" s="161" t="str">
        <f>IFERROR(VLOOKUP(Q1047,'PRODUCT TABLE'!$A$2:$B$26,2,FALSE),"-")</f>
        <v>-</v>
      </c>
      <c r="V1047" s="161">
        <f t="shared" si="14"/>
        <v>0</v>
      </c>
      <c r="Y1047" s="30"/>
      <c r="Z1047" s="169">
        <f t="shared" si="2"/>
        <v>0</v>
      </c>
      <c r="AA1047" s="167">
        <f t="shared" si="3"/>
        <v>0</v>
      </c>
      <c r="AB1047" s="161"/>
      <c r="AC1047" s="161">
        <f t="shared" si="4"/>
        <v>0</v>
      </c>
      <c r="AD1047" s="161">
        <f t="shared" si="5"/>
        <v>0</v>
      </c>
      <c r="AE1047" s="161">
        <f t="shared" si="6"/>
        <v>0</v>
      </c>
      <c r="AF1047" s="167">
        <f t="shared" si="7"/>
        <v>0</v>
      </c>
      <c r="AG1047" s="167">
        <f t="shared" si="8"/>
        <v>0</v>
      </c>
      <c r="AH1047" s="158"/>
      <c r="AI1047" s="158"/>
    </row>
    <row r="1048" ht="12.75" customHeight="1">
      <c r="B1048" s="160" t="str">
        <f>iferror(VLOOKUP((LEFT(A1048,6)),CUSTOMER_DETAILS,2,FALSE),"-")</f>
        <v>-</v>
      </c>
      <c r="C1048" s="161" t="s">
        <v>89</v>
      </c>
      <c r="D1048" s="162"/>
      <c r="E1048" s="161" t="s">
        <v>89</v>
      </c>
      <c r="F1048" s="30" t="s">
        <v>89</v>
      </c>
      <c r="G1048" s="30" t="s">
        <v>89</v>
      </c>
      <c r="H1048" s="30" t="s">
        <v>89</v>
      </c>
      <c r="I1048" s="48" t="s">
        <v>108</v>
      </c>
      <c r="J1048" s="188" t="str">
        <f t="shared" si="15"/>
        <v/>
      </c>
      <c r="L1048" s="48" t="s">
        <v>108</v>
      </c>
      <c r="O1048" s="30" t="s">
        <v>89</v>
      </c>
      <c r="Q1048" s="192"/>
      <c r="R1048" s="161" t="str">
        <f>IFERROR(VLOOKUP(Q1048,'PRODUCT TABLE'!$A$2:$B$26,2,FALSE),"-")</f>
        <v>-</v>
      </c>
      <c r="V1048" s="161">
        <f t="shared" si="14"/>
        <v>0</v>
      </c>
      <c r="Y1048" s="30"/>
      <c r="Z1048" s="169">
        <f t="shared" si="2"/>
        <v>0</v>
      </c>
      <c r="AA1048" s="167">
        <f t="shared" si="3"/>
        <v>0</v>
      </c>
      <c r="AB1048" s="161"/>
      <c r="AC1048" s="161">
        <f t="shared" si="4"/>
        <v>0</v>
      </c>
      <c r="AD1048" s="161">
        <f t="shared" si="5"/>
        <v>0</v>
      </c>
      <c r="AE1048" s="161">
        <f t="shared" si="6"/>
        <v>0</v>
      </c>
      <c r="AF1048" s="167">
        <f t="shared" si="7"/>
        <v>0</v>
      </c>
      <c r="AG1048" s="167">
        <f t="shared" si="8"/>
        <v>0</v>
      </c>
      <c r="AH1048" s="158"/>
      <c r="AI1048" s="158"/>
    </row>
    <row r="1049" ht="12.75" customHeight="1">
      <c r="B1049" s="160" t="str">
        <f>iferror(VLOOKUP((LEFT(A1049,6)),CUSTOMER_DETAILS,2,FALSE),"-")</f>
        <v>-</v>
      </c>
      <c r="C1049" s="161" t="s">
        <v>89</v>
      </c>
      <c r="D1049" s="162"/>
      <c r="E1049" s="161" t="s">
        <v>89</v>
      </c>
      <c r="F1049" s="30" t="s">
        <v>89</v>
      </c>
      <c r="G1049" s="30" t="s">
        <v>89</v>
      </c>
      <c r="H1049" s="30" t="s">
        <v>89</v>
      </c>
      <c r="I1049" s="48" t="s">
        <v>108</v>
      </c>
      <c r="J1049" s="188" t="str">
        <f t="shared" si="15"/>
        <v/>
      </c>
      <c r="L1049" s="48" t="s">
        <v>108</v>
      </c>
      <c r="O1049" s="30" t="s">
        <v>89</v>
      </c>
      <c r="Q1049" s="192"/>
      <c r="R1049" s="161" t="str">
        <f>IFERROR(VLOOKUP(Q1049,'PRODUCT TABLE'!$A$2:$B$26,2,FALSE),"-")</f>
        <v>-</v>
      </c>
      <c r="V1049" s="161">
        <f t="shared" si="14"/>
        <v>0</v>
      </c>
      <c r="Y1049" s="30"/>
      <c r="Z1049" s="169">
        <f t="shared" si="2"/>
        <v>0</v>
      </c>
      <c r="AA1049" s="167">
        <f t="shared" si="3"/>
        <v>0</v>
      </c>
      <c r="AB1049" s="161"/>
      <c r="AC1049" s="161">
        <f t="shared" si="4"/>
        <v>0</v>
      </c>
      <c r="AD1049" s="161">
        <f t="shared" si="5"/>
        <v>0</v>
      </c>
      <c r="AE1049" s="161">
        <f t="shared" si="6"/>
        <v>0</v>
      </c>
      <c r="AF1049" s="167">
        <f t="shared" si="7"/>
        <v>0</v>
      </c>
      <c r="AG1049" s="167">
        <f t="shared" si="8"/>
        <v>0</v>
      </c>
      <c r="AH1049" s="158"/>
      <c r="AI1049" s="158"/>
    </row>
    <row r="1050" ht="12.75" customHeight="1">
      <c r="B1050" s="160" t="str">
        <f>iferror(VLOOKUP((LEFT(A1050,6)),CUSTOMER_DETAILS,2,FALSE),"-")</f>
        <v>-</v>
      </c>
      <c r="C1050" s="161" t="s">
        <v>89</v>
      </c>
      <c r="D1050" s="162"/>
      <c r="E1050" s="161" t="s">
        <v>89</v>
      </c>
      <c r="F1050" s="30" t="s">
        <v>89</v>
      </c>
      <c r="G1050" s="30" t="s">
        <v>89</v>
      </c>
      <c r="H1050" s="30" t="s">
        <v>89</v>
      </c>
      <c r="I1050" s="48" t="s">
        <v>108</v>
      </c>
      <c r="J1050" s="188" t="str">
        <f t="shared" si="15"/>
        <v/>
      </c>
      <c r="L1050" s="48" t="s">
        <v>108</v>
      </c>
      <c r="O1050" s="30" t="s">
        <v>89</v>
      </c>
      <c r="Q1050" s="192"/>
      <c r="R1050" s="161" t="str">
        <f>IFERROR(VLOOKUP(Q1050,'PRODUCT TABLE'!$A$2:$B$26,2,FALSE),"-")</f>
        <v>-</v>
      </c>
      <c r="V1050" s="161">
        <f t="shared" si="14"/>
        <v>0</v>
      </c>
      <c r="Y1050" s="30"/>
      <c r="Z1050" s="169">
        <f t="shared" si="2"/>
        <v>0</v>
      </c>
      <c r="AA1050" s="167">
        <f t="shared" si="3"/>
        <v>0</v>
      </c>
      <c r="AB1050" s="161"/>
      <c r="AC1050" s="161">
        <f t="shared" si="4"/>
        <v>0</v>
      </c>
      <c r="AD1050" s="161">
        <f t="shared" si="5"/>
        <v>0</v>
      </c>
      <c r="AE1050" s="161">
        <f t="shared" si="6"/>
        <v>0</v>
      </c>
      <c r="AF1050" s="167">
        <f t="shared" si="7"/>
        <v>0</v>
      </c>
      <c r="AG1050" s="167">
        <f t="shared" si="8"/>
        <v>0</v>
      </c>
      <c r="AH1050" s="158"/>
      <c r="AI1050" s="158"/>
    </row>
    <row r="1051" ht="12.75" customHeight="1">
      <c r="B1051" s="160" t="str">
        <f>iferror(VLOOKUP((LEFT(A1051,6)),CUSTOMER_DETAILS,2,FALSE),"-")</f>
        <v>-</v>
      </c>
      <c r="C1051" s="161" t="s">
        <v>89</v>
      </c>
      <c r="D1051" s="162"/>
      <c r="E1051" s="161" t="s">
        <v>89</v>
      </c>
      <c r="F1051" s="30" t="s">
        <v>89</v>
      </c>
      <c r="G1051" s="30" t="s">
        <v>89</v>
      </c>
      <c r="H1051" s="30" t="s">
        <v>89</v>
      </c>
      <c r="I1051" s="48" t="s">
        <v>108</v>
      </c>
      <c r="J1051" s="188" t="str">
        <f t="shared" si="15"/>
        <v/>
      </c>
      <c r="L1051" s="48" t="s">
        <v>108</v>
      </c>
      <c r="O1051" s="30" t="s">
        <v>89</v>
      </c>
      <c r="Q1051" s="192"/>
      <c r="R1051" s="161" t="str">
        <f>IFERROR(VLOOKUP(Q1051,'PRODUCT TABLE'!$A$2:$B$26,2,FALSE),"-")</f>
        <v>-</v>
      </c>
      <c r="V1051" s="161">
        <f t="shared" si="14"/>
        <v>0</v>
      </c>
      <c r="Y1051" s="30"/>
      <c r="Z1051" s="169">
        <f t="shared" si="2"/>
        <v>0</v>
      </c>
      <c r="AA1051" s="167">
        <f t="shared" si="3"/>
        <v>0</v>
      </c>
      <c r="AB1051" s="161"/>
      <c r="AC1051" s="161">
        <f t="shared" si="4"/>
        <v>0</v>
      </c>
      <c r="AD1051" s="161">
        <f t="shared" si="5"/>
        <v>0</v>
      </c>
      <c r="AE1051" s="161">
        <f t="shared" si="6"/>
        <v>0</v>
      </c>
      <c r="AF1051" s="167">
        <f t="shared" si="7"/>
        <v>0</v>
      </c>
      <c r="AG1051" s="167">
        <f t="shared" si="8"/>
        <v>0</v>
      </c>
      <c r="AH1051" s="158"/>
      <c r="AI1051" s="158"/>
    </row>
    <row r="1052" ht="12.75" customHeight="1">
      <c r="B1052" s="160" t="str">
        <f>iferror(VLOOKUP((LEFT(A1052,6)),CUSTOMER_DETAILS,2,FALSE),"-")</f>
        <v>-</v>
      </c>
      <c r="C1052" s="161" t="s">
        <v>89</v>
      </c>
      <c r="D1052" s="162"/>
      <c r="E1052" s="161" t="s">
        <v>89</v>
      </c>
      <c r="F1052" s="30" t="s">
        <v>89</v>
      </c>
      <c r="G1052" s="30" t="s">
        <v>89</v>
      </c>
      <c r="H1052" s="30" t="s">
        <v>89</v>
      </c>
      <c r="I1052" s="48" t="s">
        <v>108</v>
      </c>
      <c r="J1052" s="188" t="str">
        <f t="shared" si="15"/>
        <v/>
      </c>
      <c r="L1052" s="48" t="s">
        <v>108</v>
      </c>
      <c r="O1052" s="30" t="s">
        <v>89</v>
      </c>
      <c r="Q1052" s="192"/>
      <c r="R1052" s="161" t="str">
        <f>IFERROR(VLOOKUP(Q1052,'PRODUCT TABLE'!$A$2:$B$26,2,FALSE),"-")</f>
        <v>-</v>
      </c>
      <c r="V1052" s="161">
        <f t="shared" si="14"/>
        <v>0</v>
      </c>
      <c r="Y1052" s="30"/>
      <c r="Z1052" s="169">
        <f t="shared" si="2"/>
        <v>0</v>
      </c>
      <c r="AA1052" s="167">
        <f t="shared" si="3"/>
        <v>0</v>
      </c>
      <c r="AB1052" s="161"/>
      <c r="AC1052" s="161">
        <f t="shared" si="4"/>
        <v>0</v>
      </c>
      <c r="AD1052" s="161">
        <f t="shared" si="5"/>
        <v>0</v>
      </c>
      <c r="AE1052" s="161">
        <f t="shared" si="6"/>
        <v>0</v>
      </c>
      <c r="AF1052" s="167">
        <f t="shared" si="7"/>
        <v>0</v>
      </c>
      <c r="AG1052" s="167">
        <f t="shared" si="8"/>
        <v>0</v>
      </c>
      <c r="AH1052" s="158"/>
      <c r="AI1052" s="158"/>
    </row>
    <row r="1053" ht="12.75" customHeight="1">
      <c r="B1053" s="160" t="str">
        <f>iferror(VLOOKUP((LEFT(A1053,6)),CUSTOMER_DETAILS,2,FALSE),"-")</f>
        <v>-</v>
      </c>
      <c r="C1053" s="161" t="s">
        <v>89</v>
      </c>
      <c r="D1053" s="162"/>
      <c r="E1053" s="161" t="s">
        <v>89</v>
      </c>
      <c r="F1053" s="30" t="s">
        <v>89</v>
      </c>
      <c r="G1053" s="30" t="s">
        <v>89</v>
      </c>
      <c r="H1053" s="30" t="s">
        <v>89</v>
      </c>
      <c r="I1053" s="48" t="s">
        <v>108</v>
      </c>
      <c r="J1053" s="188" t="str">
        <f t="shared" si="15"/>
        <v/>
      </c>
      <c r="L1053" s="48" t="s">
        <v>108</v>
      </c>
      <c r="O1053" s="30" t="s">
        <v>89</v>
      </c>
      <c r="Q1053" s="192"/>
      <c r="R1053" s="161" t="str">
        <f>IFERROR(VLOOKUP(Q1053,'PRODUCT TABLE'!$A$2:$B$26,2,FALSE),"-")</f>
        <v>-</v>
      </c>
      <c r="V1053" s="161">
        <f t="shared" si="14"/>
        <v>0</v>
      </c>
      <c r="Y1053" s="30"/>
      <c r="Z1053" s="169">
        <f t="shared" si="2"/>
        <v>0</v>
      </c>
      <c r="AA1053" s="167">
        <f t="shared" si="3"/>
        <v>0</v>
      </c>
      <c r="AB1053" s="161"/>
      <c r="AC1053" s="161">
        <f t="shared" si="4"/>
        <v>0</v>
      </c>
      <c r="AD1053" s="161">
        <f t="shared" si="5"/>
        <v>0</v>
      </c>
      <c r="AE1053" s="161">
        <f t="shared" si="6"/>
        <v>0</v>
      </c>
      <c r="AF1053" s="167">
        <f t="shared" si="7"/>
        <v>0</v>
      </c>
      <c r="AG1053" s="167">
        <f t="shared" si="8"/>
        <v>0</v>
      </c>
      <c r="AH1053" s="158"/>
      <c r="AI1053" s="158"/>
    </row>
    <row r="1054" ht="12.75" customHeight="1">
      <c r="B1054" s="160" t="str">
        <f>iferror(VLOOKUP((LEFT(A1054,6)),CUSTOMER_DETAILS,2,FALSE),"-")</f>
        <v>-</v>
      </c>
      <c r="C1054" s="161" t="s">
        <v>89</v>
      </c>
      <c r="D1054" s="162"/>
      <c r="E1054" s="161" t="s">
        <v>89</v>
      </c>
      <c r="F1054" s="30" t="s">
        <v>89</v>
      </c>
      <c r="G1054" s="30" t="s">
        <v>89</v>
      </c>
      <c r="H1054" s="30" t="s">
        <v>89</v>
      </c>
      <c r="I1054" s="48" t="s">
        <v>108</v>
      </c>
      <c r="J1054" s="188" t="str">
        <f t="shared" si="15"/>
        <v/>
      </c>
      <c r="L1054" s="48" t="s">
        <v>108</v>
      </c>
      <c r="O1054" s="30" t="s">
        <v>89</v>
      </c>
      <c r="Q1054" s="192"/>
      <c r="R1054" s="161" t="str">
        <f>IFERROR(VLOOKUP(Q1054,'PRODUCT TABLE'!$A$2:$B$26,2,FALSE),"-")</f>
        <v>-</v>
      </c>
      <c r="V1054" s="161">
        <f t="shared" si="14"/>
        <v>0</v>
      </c>
      <c r="Y1054" s="30"/>
      <c r="Z1054" s="169">
        <f t="shared" si="2"/>
        <v>0</v>
      </c>
      <c r="AA1054" s="167">
        <f t="shared" si="3"/>
        <v>0</v>
      </c>
      <c r="AB1054" s="161"/>
      <c r="AC1054" s="161">
        <f t="shared" si="4"/>
        <v>0</v>
      </c>
      <c r="AD1054" s="161">
        <f t="shared" si="5"/>
        <v>0</v>
      </c>
      <c r="AE1054" s="161">
        <f t="shared" si="6"/>
        <v>0</v>
      </c>
      <c r="AF1054" s="167">
        <f t="shared" si="7"/>
        <v>0</v>
      </c>
      <c r="AG1054" s="167">
        <f t="shared" si="8"/>
        <v>0</v>
      </c>
      <c r="AH1054" s="158"/>
      <c r="AI1054" s="158"/>
    </row>
    <row r="1055" ht="12.75" customHeight="1">
      <c r="B1055" s="160" t="str">
        <f>iferror(VLOOKUP((LEFT(A1055,6)),CUSTOMER_DETAILS,2,FALSE),"-")</f>
        <v>-</v>
      </c>
      <c r="C1055" s="161" t="s">
        <v>89</v>
      </c>
      <c r="D1055" s="162"/>
      <c r="E1055" s="161" t="s">
        <v>89</v>
      </c>
      <c r="F1055" s="30" t="s">
        <v>89</v>
      </c>
      <c r="G1055" s="30" t="s">
        <v>89</v>
      </c>
      <c r="H1055" s="30" t="s">
        <v>89</v>
      </c>
      <c r="I1055" s="48" t="s">
        <v>108</v>
      </c>
      <c r="J1055" s="188" t="str">
        <f t="shared" si="15"/>
        <v/>
      </c>
      <c r="L1055" s="48" t="s">
        <v>108</v>
      </c>
      <c r="O1055" s="30" t="s">
        <v>89</v>
      </c>
      <c r="Q1055" s="192"/>
      <c r="R1055" s="161" t="str">
        <f>IFERROR(VLOOKUP(Q1055,'PRODUCT TABLE'!$A$2:$B$26,2,FALSE),"-")</f>
        <v>-</v>
      </c>
      <c r="V1055" s="161">
        <f t="shared" si="14"/>
        <v>0</v>
      </c>
      <c r="Y1055" s="30"/>
      <c r="Z1055" s="169">
        <f t="shared" si="2"/>
        <v>0</v>
      </c>
      <c r="AA1055" s="167">
        <f t="shared" si="3"/>
        <v>0</v>
      </c>
      <c r="AB1055" s="161"/>
      <c r="AC1055" s="161">
        <f t="shared" si="4"/>
        <v>0</v>
      </c>
      <c r="AD1055" s="161">
        <f t="shared" si="5"/>
        <v>0</v>
      </c>
      <c r="AE1055" s="161">
        <f t="shared" si="6"/>
        <v>0</v>
      </c>
      <c r="AF1055" s="167">
        <f t="shared" si="7"/>
        <v>0</v>
      </c>
      <c r="AG1055" s="167">
        <f t="shared" si="8"/>
        <v>0</v>
      </c>
      <c r="AH1055" s="158"/>
      <c r="AI1055" s="158"/>
    </row>
    <row r="1056" ht="12.75" customHeight="1">
      <c r="B1056" s="160" t="str">
        <f>iferror(VLOOKUP((LEFT(A1056,6)),CUSTOMER_DETAILS,2,FALSE),"-")</f>
        <v>-</v>
      </c>
      <c r="C1056" s="161" t="s">
        <v>89</v>
      </c>
      <c r="D1056" s="162"/>
      <c r="E1056" s="161" t="s">
        <v>89</v>
      </c>
      <c r="F1056" s="30" t="s">
        <v>89</v>
      </c>
      <c r="G1056" s="30" t="s">
        <v>89</v>
      </c>
      <c r="H1056" s="30" t="s">
        <v>89</v>
      </c>
      <c r="I1056" s="48" t="s">
        <v>108</v>
      </c>
      <c r="J1056" s="188" t="str">
        <f t="shared" si="15"/>
        <v/>
      </c>
      <c r="L1056" s="48" t="s">
        <v>108</v>
      </c>
      <c r="O1056" s="30" t="s">
        <v>89</v>
      </c>
      <c r="Q1056" s="192"/>
      <c r="R1056" s="161" t="str">
        <f>IFERROR(VLOOKUP(Q1056,'PRODUCT TABLE'!$A$2:$B$26,2,FALSE),"-")</f>
        <v>-</v>
      </c>
      <c r="V1056" s="161">
        <f t="shared" si="14"/>
        <v>0</v>
      </c>
      <c r="Y1056" s="30"/>
      <c r="Z1056" s="169">
        <f t="shared" si="2"/>
        <v>0</v>
      </c>
      <c r="AA1056" s="167">
        <f t="shared" si="3"/>
        <v>0</v>
      </c>
      <c r="AB1056" s="161"/>
      <c r="AC1056" s="161">
        <f t="shared" si="4"/>
        <v>0</v>
      </c>
      <c r="AD1056" s="161">
        <f t="shared" si="5"/>
        <v>0</v>
      </c>
      <c r="AE1056" s="161">
        <f t="shared" si="6"/>
        <v>0</v>
      </c>
      <c r="AF1056" s="167">
        <f t="shared" si="7"/>
        <v>0</v>
      </c>
      <c r="AG1056" s="167">
        <f t="shared" si="8"/>
        <v>0</v>
      </c>
      <c r="AH1056" s="158"/>
      <c r="AI1056" s="158"/>
    </row>
    <row r="1057" ht="12.75" customHeight="1">
      <c r="B1057" s="160" t="str">
        <f>iferror(VLOOKUP((LEFT(A1057,6)),CUSTOMER_DETAILS,2,FALSE),"-")</f>
        <v>-</v>
      </c>
      <c r="C1057" s="161" t="s">
        <v>89</v>
      </c>
      <c r="D1057" s="162"/>
      <c r="E1057" s="161" t="s">
        <v>89</v>
      </c>
      <c r="F1057" s="30" t="s">
        <v>89</v>
      </c>
      <c r="G1057" s="30" t="s">
        <v>89</v>
      </c>
      <c r="H1057" s="30" t="s">
        <v>89</v>
      </c>
      <c r="I1057" s="48" t="s">
        <v>108</v>
      </c>
      <c r="J1057" s="188" t="str">
        <f t="shared" si="15"/>
        <v/>
      </c>
      <c r="L1057" s="48" t="s">
        <v>108</v>
      </c>
      <c r="O1057" s="30" t="s">
        <v>89</v>
      </c>
      <c r="Q1057" s="192"/>
      <c r="R1057" s="161" t="str">
        <f>IFERROR(VLOOKUP(Q1057,'PRODUCT TABLE'!$A$2:$B$26,2,FALSE),"-")</f>
        <v>-</v>
      </c>
      <c r="V1057" s="161">
        <f t="shared" si="14"/>
        <v>0</v>
      </c>
      <c r="Y1057" s="30"/>
      <c r="Z1057" s="169">
        <f t="shared" si="2"/>
        <v>0</v>
      </c>
      <c r="AA1057" s="167">
        <f t="shared" si="3"/>
        <v>0</v>
      </c>
      <c r="AB1057" s="161"/>
      <c r="AC1057" s="161">
        <f t="shared" si="4"/>
        <v>0</v>
      </c>
      <c r="AD1057" s="161">
        <f t="shared" si="5"/>
        <v>0</v>
      </c>
      <c r="AE1057" s="161">
        <f t="shared" si="6"/>
        <v>0</v>
      </c>
      <c r="AF1057" s="167">
        <f t="shared" si="7"/>
        <v>0</v>
      </c>
      <c r="AG1057" s="167">
        <f t="shared" si="8"/>
        <v>0</v>
      </c>
      <c r="AH1057" s="158"/>
      <c r="AI1057" s="158"/>
    </row>
    <row r="1058" ht="12.75" customHeight="1">
      <c r="B1058" s="160" t="str">
        <f>iferror(VLOOKUP((LEFT(A1058,6)),CUSTOMER_DETAILS,2,FALSE),"-")</f>
        <v>-</v>
      </c>
      <c r="C1058" s="161" t="s">
        <v>89</v>
      </c>
      <c r="D1058" s="162"/>
      <c r="E1058" s="161" t="s">
        <v>89</v>
      </c>
      <c r="F1058" s="30" t="s">
        <v>89</v>
      </c>
      <c r="G1058" s="30" t="s">
        <v>89</v>
      </c>
      <c r="H1058" s="30" t="s">
        <v>89</v>
      </c>
      <c r="I1058" s="48" t="s">
        <v>108</v>
      </c>
      <c r="J1058" s="188" t="str">
        <f t="shared" si="15"/>
        <v/>
      </c>
      <c r="L1058" s="48" t="s">
        <v>108</v>
      </c>
      <c r="O1058" s="30" t="s">
        <v>89</v>
      </c>
      <c r="Q1058" s="192"/>
      <c r="R1058" s="161" t="str">
        <f>IFERROR(VLOOKUP(Q1058,'PRODUCT TABLE'!$A$2:$B$26,2,FALSE),"-")</f>
        <v>-</v>
      </c>
      <c r="V1058" s="161">
        <f t="shared" si="14"/>
        <v>0</v>
      </c>
      <c r="Y1058" s="30"/>
      <c r="Z1058" s="169">
        <f t="shared" si="2"/>
        <v>0</v>
      </c>
      <c r="AA1058" s="167">
        <f t="shared" si="3"/>
        <v>0</v>
      </c>
      <c r="AB1058" s="161"/>
      <c r="AC1058" s="161">
        <f t="shared" si="4"/>
        <v>0</v>
      </c>
      <c r="AD1058" s="161">
        <f t="shared" si="5"/>
        <v>0</v>
      </c>
      <c r="AE1058" s="161">
        <f t="shared" si="6"/>
        <v>0</v>
      </c>
      <c r="AF1058" s="167">
        <f t="shared" si="7"/>
        <v>0</v>
      </c>
      <c r="AG1058" s="167">
        <f t="shared" si="8"/>
        <v>0</v>
      </c>
      <c r="AH1058" s="158"/>
      <c r="AI1058" s="158"/>
    </row>
    <row r="1059" ht="12.75" customHeight="1">
      <c r="B1059" s="160" t="str">
        <f>iferror(VLOOKUP((LEFT(A1059,6)),CUSTOMER_DETAILS,2,FALSE),"-")</f>
        <v>-</v>
      </c>
      <c r="C1059" s="161" t="s">
        <v>89</v>
      </c>
      <c r="D1059" s="162"/>
      <c r="E1059" s="161" t="s">
        <v>89</v>
      </c>
      <c r="F1059" s="30" t="s">
        <v>89</v>
      </c>
      <c r="G1059" s="30" t="s">
        <v>89</v>
      </c>
      <c r="H1059" s="30" t="s">
        <v>89</v>
      </c>
      <c r="I1059" s="48" t="s">
        <v>108</v>
      </c>
      <c r="J1059" s="188" t="str">
        <f t="shared" si="15"/>
        <v/>
      </c>
      <c r="L1059" s="48" t="s">
        <v>108</v>
      </c>
      <c r="O1059" s="30" t="s">
        <v>89</v>
      </c>
      <c r="Q1059" s="192"/>
      <c r="R1059" s="161" t="str">
        <f>IFERROR(VLOOKUP(Q1059,'PRODUCT TABLE'!$A$2:$B$26,2,FALSE),"-")</f>
        <v>-</v>
      </c>
      <c r="V1059" s="161">
        <f t="shared" si="14"/>
        <v>0</v>
      </c>
      <c r="Y1059" s="30"/>
      <c r="Z1059" s="169">
        <f t="shared" si="2"/>
        <v>0</v>
      </c>
      <c r="AA1059" s="167">
        <f t="shared" si="3"/>
        <v>0</v>
      </c>
      <c r="AB1059" s="161"/>
      <c r="AC1059" s="161">
        <f t="shared" si="4"/>
        <v>0</v>
      </c>
      <c r="AD1059" s="161">
        <f t="shared" si="5"/>
        <v>0</v>
      </c>
      <c r="AE1059" s="161">
        <f t="shared" si="6"/>
        <v>0</v>
      </c>
      <c r="AF1059" s="167">
        <f t="shared" si="7"/>
        <v>0</v>
      </c>
      <c r="AG1059" s="167">
        <f t="shared" si="8"/>
        <v>0</v>
      </c>
      <c r="AH1059" s="158"/>
      <c r="AI1059" s="158"/>
    </row>
    <row r="1060" ht="12.75" customHeight="1">
      <c r="B1060" s="160" t="str">
        <f>iferror(VLOOKUP((LEFT(A1060,6)),CUSTOMER_DETAILS,2,FALSE),"-")</f>
        <v>-</v>
      </c>
      <c r="C1060" s="161" t="s">
        <v>89</v>
      </c>
      <c r="D1060" s="162"/>
      <c r="E1060" s="161" t="s">
        <v>89</v>
      </c>
      <c r="F1060" s="30" t="s">
        <v>89</v>
      </c>
      <c r="G1060" s="30" t="s">
        <v>89</v>
      </c>
      <c r="H1060" s="30" t="s">
        <v>89</v>
      </c>
      <c r="I1060" s="48" t="s">
        <v>108</v>
      </c>
      <c r="J1060" s="188" t="str">
        <f t="shared" si="15"/>
        <v/>
      </c>
      <c r="L1060" s="48" t="s">
        <v>108</v>
      </c>
      <c r="O1060" s="30" t="s">
        <v>89</v>
      </c>
      <c r="Q1060" s="192"/>
      <c r="R1060" s="161" t="str">
        <f>IFERROR(VLOOKUP(Q1060,'PRODUCT TABLE'!$A$2:$B$26,2,FALSE),"-")</f>
        <v>-</v>
      </c>
      <c r="V1060" s="161">
        <f t="shared" si="14"/>
        <v>0</v>
      </c>
      <c r="Y1060" s="30"/>
      <c r="Z1060" s="169">
        <f t="shared" si="2"/>
        <v>0</v>
      </c>
      <c r="AA1060" s="167">
        <f t="shared" si="3"/>
        <v>0</v>
      </c>
      <c r="AB1060" s="161"/>
      <c r="AC1060" s="161">
        <f t="shared" si="4"/>
        <v>0</v>
      </c>
      <c r="AD1060" s="161">
        <f t="shared" si="5"/>
        <v>0</v>
      </c>
      <c r="AE1060" s="161">
        <f t="shared" si="6"/>
        <v>0</v>
      </c>
      <c r="AF1060" s="167">
        <f t="shared" si="7"/>
        <v>0</v>
      </c>
      <c r="AG1060" s="167">
        <f t="shared" si="8"/>
        <v>0</v>
      </c>
      <c r="AH1060" s="158"/>
      <c r="AI1060" s="158"/>
    </row>
    <row r="1061" ht="12.75" customHeight="1">
      <c r="B1061" s="160" t="str">
        <f>iferror(VLOOKUP((LEFT(A1061,6)),CUSTOMER_DETAILS,2,FALSE),"-")</f>
        <v>-</v>
      </c>
      <c r="C1061" s="161" t="s">
        <v>89</v>
      </c>
      <c r="D1061" s="162"/>
      <c r="E1061" s="161" t="s">
        <v>89</v>
      </c>
      <c r="F1061" s="30" t="s">
        <v>89</v>
      </c>
      <c r="G1061" s="30" t="s">
        <v>89</v>
      </c>
      <c r="H1061" s="30" t="s">
        <v>89</v>
      </c>
      <c r="I1061" s="48" t="s">
        <v>108</v>
      </c>
      <c r="J1061" s="188" t="str">
        <f t="shared" si="15"/>
        <v/>
      </c>
      <c r="L1061" s="48" t="s">
        <v>108</v>
      </c>
      <c r="O1061" s="30" t="s">
        <v>89</v>
      </c>
      <c r="Q1061" s="192"/>
      <c r="R1061" s="161" t="str">
        <f>IFERROR(VLOOKUP(Q1061,'PRODUCT TABLE'!$A$2:$B$26,2,FALSE),"-")</f>
        <v>-</v>
      </c>
      <c r="V1061" s="161">
        <f t="shared" si="14"/>
        <v>0</v>
      </c>
      <c r="Y1061" s="30"/>
      <c r="Z1061" s="169">
        <f t="shared" si="2"/>
        <v>0</v>
      </c>
      <c r="AA1061" s="167">
        <f t="shared" si="3"/>
        <v>0</v>
      </c>
      <c r="AB1061" s="161"/>
      <c r="AC1061" s="161">
        <f t="shared" si="4"/>
        <v>0</v>
      </c>
      <c r="AD1061" s="161">
        <f t="shared" si="5"/>
        <v>0</v>
      </c>
      <c r="AE1061" s="161">
        <f t="shared" si="6"/>
        <v>0</v>
      </c>
      <c r="AF1061" s="167">
        <f t="shared" si="7"/>
        <v>0</v>
      </c>
      <c r="AG1061" s="167">
        <f t="shared" si="8"/>
        <v>0</v>
      </c>
      <c r="AH1061" s="158"/>
      <c r="AI1061" s="158"/>
    </row>
    <row r="1062" ht="12.75" customHeight="1">
      <c r="B1062" s="160" t="str">
        <f>iferror(VLOOKUP((LEFT(A1062,6)),CUSTOMER_DETAILS,2,FALSE),"-")</f>
        <v>-</v>
      </c>
      <c r="C1062" s="161" t="s">
        <v>89</v>
      </c>
      <c r="D1062" s="162"/>
      <c r="E1062" s="161" t="s">
        <v>89</v>
      </c>
      <c r="F1062" s="30" t="s">
        <v>89</v>
      </c>
      <c r="G1062" s="30" t="s">
        <v>89</v>
      </c>
      <c r="H1062" s="30" t="s">
        <v>89</v>
      </c>
      <c r="I1062" s="48" t="s">
        <v>108</v>
      </c>
      <c r="J1062" s="188" t="str">
        <f t="shared" si="15"/>
        <v/>
      </c>
      <c r="L1062" s="48" t="s">
        <v>108</v>
      </c>
      <c r="O1062" s="30" t="s">
        <v>89</v>
      </c>
      <c r="Q1062" s="192"/>
      <c r="R1062" s="161" t="str">
        <f>IFERROR(VLOOKUP(Q1062,'PRODUCT TABLE'!$A$2:$B$26,2,FALSE),"-")</f>
        <v>-</v>
      </c>
      <c r="V1062" s="161">
        <f t="shared" si="14"/>
        <v>0</v>
      </c>
      <c r="Y1062" s="30"/>
      <c r="Z1062" s="169">
        <f t="shared" si="2"/>
        <v>0</v>
      </c>
      <c r="AA1062" s="167">
        <f t="shared" si="3"/>
        <v>0</v>
      </c>
      <c r="AB1062" s="161"/>
      <c r="AC1062" s="161">
        <f t="shared" si="4"/>
        <v>0</v>
      </c>
      <c r="AD1062" s="161">
        <f t="shared" si="5"/>
        <v>0</v>
      </c>
      <c r="AE1062" s="161">
        <f t="shared" si="6"/>
        <v>0</v>
      </c>
      <c r="AF1062" s="167">
        <f t="shared" si="7"/>
        <v>0</v>
      </c>
      <c r="AG1062" s="167">
        <f t="shared" si="8"/>
        <v>0</v>
      </c>
      <c r="AH1062" s="158"/>
      <c r="AI1062" s="158"/>
    </row>
    <row r="1063" ht="12.75" customHeight="1">
      <c r="B1063" s="160" t="str">
        <f>iferror(VLOOKUP((LEFT(A1063,6)),CUSTOMER_DETAILS,2,FALSE),"-")</f>
        <v>-</v>
      </c>
      <c r="C1063" s="161" t="s">
        <v>89</v>
      </c>
      <c r="D1063" s="162"/>
      <c r="E1063" s="161" t="s">
        <v>89</v>
      </c>
      <c r="F1063" s="30" t="s">
        <v>89</v>
      </c>
      <c r="G1063" s="30" t="s">
        <v>89</v>
      </c>
      <c r="H1063" s="30" t="s">
        <v>89</v>
      </c>
      <c r="I1063" s="48" t="s">
        <v>108</v>
      </c>
      <c r="J1063" s="188" t="str">
        <f t="shared" si="15"/>
        <v/>
      </c>
      <c r="L1063" s="48" t="s">
        <v>108</v>
      </c>
      <c r="O1063" s="30" t="s">
        <v>89</v>
      </c>
      <c r="Q1063" s="192"/>
      <c r="R1063" s="161" t="str">
        <f>IFERROR(VLOOKUP(Q1063,'PRODUCT TABLE'!$A$2:$B$26,2,FALSE),"-")</f>
        <v>-</v>
      </c>
      <c r="V1063" s="161">
        <f t="shared" si="14"/>
        <v>0</v>
      </c>
      <c r="Y1063" s="30"/>
      <c r="Z1063" s="169">
        <f t="shared" si="2"/>
        <v>0</v>
      </c>
      <c r="AA1063" s="167">
        <f t="shared" si="3"/>
        <v>0</v>
      </c>
      <c r="AB1063" s="161"/>
      <c r="AC1063" s="161">
        <f t="shared" si="4"/>
        <v>0</v>
      </c>
      <c r="AD1063" s="161">
        <f t="shared" si="5"/>
        <v>0</v>
      </c>
      <c r="AE1063" s="161">
        <f t="shared" si="6"/>
        <v>0</v>
      </c>
      <c r="AF1063" s="167">
        <f t="shared" si="7"/>
        <v>0</v>
      </c>
      <c r="AG1063" s="167">
        <f t="shared" si="8"/>
        <v>0</v>
      </c>
      <c r="AH1063" s="158"/>
      <c r="AI1063" s="158"/>
    </row>
    <row r="1064" ht="12.75" customHeight="1">
      <c r="B1064" s="160" t="str">
        <f>iferror(VLOOKUP((LEFT(A1064,6)),CUSTOMER_DETAILS,2,FALSE),"-")</f>
        <v>-</v>
      </c>
      <c r="C1064" s="161" t="s">
        <v>89</v>
      </c>
      <c r="D1064" s="162"/>
      <c r="E1064" s="161" t="s">
        <v>89</v>
      </c>
      <c r="F1064" s="30" t="s">
        <v>89</v>
      </c>
      <c r="G1064" s="30" t="s">
        <v>89</v>
      </c>
      <c r="H1064" s="30" t="s">
        <v>89</v>
      </c>
      <c r="I1064" s="48" t="s">
        <v>108</v>
      </c>
      <c r="J1064" s="188" t="str">
        <f t="shared" si="15"/>
        <v/>
      </c>
      <c r="L1064" s="48" t="s">
        <v>108</v>
      </c>
      <c r="O1064" s="30" t="s">
        <v>89</v>
      </c>
      <c r="Q1064" s="192"/>
      <c r="R1064" s="161" t="str">
        <f>IFERROR(VLOOKUP(Q1064,'PRODUCT TABLE'!$A$2:$B$26,2,FALSE),"-")</f>
        <v>-</v>
      </c>
      <c r="V1064" s="161">
        <f t="shared" si="14"/>
        <v>0</v>
      </c>
      <c r="Y1064" s="30"/>
      <c r="Z1064" s="169">
        <f t="shared" si="2"/>
        <v>0</v>
      </c>
      <c r="AA1064" s="167">
        <f t="shared" si="3"/>
        <v>0</v>
      </c>
      <c r="AB1064" s="161"/>
      <c r="AC1064" s="161">
        <f t="shared" si="4"/>
        <v>0</v>
      </c>
      <c r="AD1064" s="161">
        <f t="shared" si="5"/>
        <v>0</v>
      </c>
      <c r="AE1064" s="161">
        <f t="shared" si="6"/>
        <v>0</v>
      </c>
      <c r="AF1064" s="167">
        <f t="shared" si="7"/>
        <v>0</v>
      </c>
      <c r="AG1064" s="167">
        <f t="shared" si="8"/>
        <v>0</v>
      </c>
      <c r="AH1064" s="158"/>
      <c r="AI1064" s="158"/>
    </row>
    <row r="1065" ht="12.75" customHeight="1">
      <c r="B1065" s="160" t="str">
        <f>iferror(VLOOKUP((LEFT(A1065,6)),CUSTOMER_DETAILS,2,FALSE),"-")</f>
        <v>-</v>
      </c>
      <c r="C1065" s="161" t="s">
        <v>89</v>
      </c>
      <c r="D1065" s="162"/>
      <c r="E1065" s="161" t="s">
        <v>89</v>
      </c>
      <c r="F1065" s="30" t="s">
        <v>89</v>
      </c>
      <c r="G1065" s="30" t="s">
        <v>89</v>
      </c>
      <c r="H1065" s="30" t="s">
        <v>89</v>
      </c>
      <c r="I1065" s="48" t="s">
        <v>108</v>
      </c>
      <c r="J1065" s="188" t="str">
        <f t="shared" si="15"/>
        <v/>
      </c>
      <c r="L1065" s="48" t="s">
        <v>108</v>
      </c>
      <c r="O1065" s="30" t="s">
        <v>89</v>
      </c>
      <c r="Q1065" s="192"/>
      <c r="R1065" s="161" t="str">
        <f>IFERROR(VLOOKUP(Q1065,'PRODUCT TABLE'!$A$2:$B$26,2,FALSE),"-")</f>
        <v>-</v>
      </c>
      <c r="V1065" s="161">
        <f t="shared" si="14"/>
        <v>0</v>
      </c>
      <c r="Y1065" s="30"/>
      <c r="Z1065" s="169">
        <f t="shared" si="2"/>
        <v>0</v>
      </c>
      <c r="AA1065" s="167">
        <f t="shared" si="3"/>
        <v>0</v>
      </c>
      <c r="AB1065" s="161"/>
      <c r="AC1065" s="161">
        <f t="shared" si="4"/>
        <v>0</v>
      </c>
      <c r="AD1065" s="161">
        <f t="shared" si="5"/>
        <v>0</v>
      </c>
      <c r="AE1065" s="161">
        <f t="shared" si="6"/>
        <v>0</v>
      </c>
      <c r="AF1065" s="167">
        <f t="shared" si="7"/>
        <v>0</v>
      </c>
      <c r="AG1065" s="167">
        <f t="shared" si="8"/>
        <v>0</v>
      </c>
      <c r="AH1065" s="158"/>
      <c r="AI1065" s="158"/>
    </row>
    <row r="1066" ht="12.75" customHeight="1">
      <c r="B1066" s="160" t="str">
        <f>iferror(VLOOKUP((LEFT(A1066,6)),CUSTOMER_DETAILS,2,FALSE),"-")</f>
        <v>-</v>
      </c>
      <c r="C1066" s="161" t="s">
        <v>89</v>
      </c>
      <c r="D1066" s="162"/>
      <c r="E1066" s="161" t="s">
        <v>89</v>
      </c>
      <c r="F1066" s="30" t="s">
        <v>89</v>
      </c>
      <c r="G1066" s="30" t="s">
        <v>89</v>
      </c>
      <c r="H1066" s="30" t="s">
        <v>89</v>
      </c>
      <c r="I1066" s="48" t="s">
        <v>108</v>
      </c>
      <c r="J1066" s="188" t="str">
        <f t="shared" si="15"/>
        <v/>
      </c>
      <c r="L1066" s="48" t="s">
        <v>108</v>
      </c>
      <c r="O1066" s="30" t="s">
        <v>89</v>
      </c>
      <c r="Q1066" s="192"/>
      <c r="R1066" s="161" t="str">
        <f>IFERROR(VLOOKUP(Q1066,'PRODUCT TABLE'!$A$2:$B$26,2,FALSE),"-")</f>
        <v>-</v>
      </c>
      <c r="V1066" s="161">
        <f t="shared" si="14"/>
        <v>0</v>
      </c>
      <c r="Y1066" s="30"/>
      <c r="Z1066" s="169">
        <f t="shared" si="2"/>
        <v>0</v>
      </c>
      <c r="AA1066" s="167">
        <f t="shared" si="3"/>
        <v>0</v>
      </c>
      <c r="AB1066" s="161"/>
      <c r="AC1066" s="161">
        <f t="shared" si="4"/>
        <v>0</v>
      </c>
      <c r="AD1066" s="161">
        <f t="shared" si="5"/>
        <v>0</v>
      </c>
      <c r="AE1066" s="161">
        <f t="shared" si="6"/>
        <v>0</v>
      </c>
      <c r="AF1066" s="167">
        <f t="shared" si="7"/>
        <v>0</v>
      </c>
      <c r="AG1066" s="167">
        <f t="shared" si="8"/>
        <v>0</v>
      </c>
      <c r="AH1066" s="158"/>
      <c r="AI1066" s="158"/>
    </row>
    <row r="1067" ht="12.75" customHeight="1">
      <c r="B1067" s="160" t="str">
        <f>iferror(VLOOKUP((LEFT(A1067,6)),CUSTOMER_DETAILS,2,FALSE),"-")</f>
        <v>-</v>
      </c>
      <c r="C1067" s="161" t="s">
        <v>89</v>
      </c>
      <c r="D1067" s="162"/>
      <c r="E1067" s="161" t="s">
        <v>89</v>
      </c>
      <c r="F1067" s="30" t="s">
        <v>89</v>
      </c>
      <c r="G1067" s="30" t="s">
        <v>89</v>
      </c>
      <c r="H1067" s="30" t="s">
        <v>89</v>
      </c>
      <c r="I1067" s="48" t="s">
        <v>108</v>
      </c>
      <c r="J1067" s="188" t="str">
        <f t="shared" si="15"/>
        <v/>
      </c>
      <c r="L1067" s="48" t="s">
        <v>108</v>
      </c>
      <c r="O1067" s="30" t="s">
        <v>89</v>
      </c>
      <c r="Q1067" s="192"/>
      <c r="R1067" s="161" t="str">
        <f>IFERROR(VLOOKUP(Q1067,'PRODUCT TABLE'!$A$2:$B$26,2,FALSE),"-")</f>
        <v>-</v>
      </c>
      <c r="V1067" s="161">
        <f t="shared" si="14"/>
        <v>0</v>
      </c>
      <c r="Y1067" s="30"/>
      <c r="Z1067" s="169">
        <f t="shared" si="2"/>
        <v>0</v>
      </c>
      <c r="AA1067" s="167">
        <f t="shared" si="3"/>
        <v>0</v>
      </c>
      <c r="AB1067" s="161"/>
      <c r="AC1067" s="161">
        <f t="shared" si="4"/>
        <v>0</v>
      </c>
      <c r="AD1067" s="161">
        <f t="shared" si="5"/>
        <v>0</v>
      </c>
      <c r="AE1067" s="161">
        <f t="shared" si="6"/>
        <v>0</v>
      </c>
      <c r="AF1067" s="167">
        <f t="shared" si="7"/>
        <v>0</v>
      </c>
      <c r="AG1067" s="167">
        <f t="shared" si="8"/>
        <v>0</v>
      </c>
      <c r="AH1067" s="158"/>
      <c r="AI1067" s="158"/>
    </row>
    <row r="1068" ht="12.75" customHeight="1">
      <c r="B1068" s="160" t="str">
        <f>iferror(VLOOKUP((LEFT(A1068,6)),CUSTOMER_DETAILS,2,FALSE),"-")</f>
        <v>-</v>
      </c>
      <c r="C1068" s="161" t="s">
        <v>89</v>
      </c>
      <c r="D1068" s="162"/>
      <c r="E1068" s="161" t="s">
        <v>89</v>
      </c>
      <c r="F1068" s="30" t="s">
        <v>89</v>
      </c>
      <c r="G1068" s="30" t="s">
        <v>89</v>
      </c>
      <c r="H1068" s="30" t="s">
        <v>89</v>
      </c>
      <c r="I1068" s="48" t="s">
        <v>108</v>
      </c>
      <c r="J1068" s="188" t="str">
        <f t="shared" si="15"/>
        <v/>
      </c>
      <c r="L1068" s="48" t="s">
        <v>108</v>
      </c>
      <c r="O1068" s="30" t="s">
        <v>89</v>
      </c>
      <c r="Q1068" s="192"/>
      <c r="R1068" s="161" t="str">
        <f>IFERROR(VLOOKUP(Q1068,'PRODUCT TABLE'!$A$2:$B$26,2,FALSE),"-")</f>
        <v>-</v>
      </c>
      <c r="V1068" s="161">
        <f t="shared" si="14"/>
        <v>0</v>
      </c>
      <c r="Y1068" s="30"/>
      <c r="Z1068" s="169">
        <f t="shared" si="2"/>
        <v>0</v>
      </c>
      <c r="AA1068" s="167">
        <f t="shared" si="3"/>
        <v>0</v>
      </c>
      <c r="AB1068" s="161"/>
      <c r="AC1068" s="161">
        <f t="shared" si="4"/>
        <v>0</v>
      </c>
      <c r="AD1068" s="161">
        <f t="shared" si="5"/>
        <v>0</v>
      </c>
      <c r="AE1068" s="161">
        <f t="shared" si="6"/>
        <v>0</v>
      </c>
      <c r="AF1068" s="167">
        <f t="shared" si="7"/>
        <v>0</v>
      </c>
      <c r="AG1068" s="167">
        <f t="shared" si="8"/>
        <v>0</v>
      </c>
      <c r="AH1068" s="158"/>
      <c r="AI1068" s="158"/>
    </row>
    <row r="1069" ht="12.75" customHeight="1">
      <c r="B1069" s="160" t="str">
        <f>iferror(VLOOKUP((LEFT(A1069,6)),CUSTOMER_DETAILS,2,FALSE),"-")</f>
        <v>-</v>
      </c>
      <c r="C1069" s="161" t="s">
        <v>89</v>
      </c>
      <c r="D1069" s="162"/>
      <c r="E1069" s="161" t="s">
        <v>89</v>
      </c>
      <c r="F1069" s="30" t="s">
        <v>89</v>
      </c>
      <c r="G1069" s="30" t="s">
        <v>89</v>
      </c>
      <c r="H1069" s="30" t="s">
        <v>89</v>
      </c>
      <c r="I1069" s="48" t="s">
        <v>108</v>
      </c>
      <c r="J1069" s="188" t="str">
        <f t="shared" si="15"/>
        <v/>
      </c>
      <c r="L1069" s="48" t="s">
        <v>108</v>
      </c>
      <c r="O1069" s="30" t="s">
        <v>89</v>
      </c>
      <c r="Q1069" s="192"/>
      <c r="R1069" s="161" t="str">
        <f>IFERROR(VLOOKUP(Q1069,'PRODUCT TABLE'!$A$2:$B$26,2,FALSE),"-")</f>
        <v>-</v>
      </c>
      <c r="V1069" s="161">
        <f t="shared" si="14"/>
        <v>0</v>
      </c>
      <c r="Y1069" s="30"/>
      <c r="Z1069" s="169">
        <f t="shared" si="2"/>
        <v>0</v>
      </c>
      <c r="AA1069" s="167">
        <f t="shared" si="3"/>
        <v>0</v>
      </c>
      <c r="AB1069" s="161"/>
      <c r="AC1069" s="161">
        <f t="shared" si="4"/>
        <v>0</v>
      </c>
      <c r="AD1069" s="161">
        <f t="shared" si="5"/>
        <v>0</v>
      </c>
      <c r="AE1069" s="161">
        <f t="shared" si="6"/>
        <v>0</v>
      </c>
      <c r="AF1069" s="167">
        <f t="shared" si="7"/>
        <v>0</v>
      </c>
      <c r="AG1069" s="167">
        <f t="shared" si="8"/>
        <v>0</v>
      </c>
      <c r="AH1069" s="158"/>
      <c r="AI1069" s="158"/>
    </row>
    <row r="1070" ht="12.75" customHeight="1">
      <c r="B1070" s="160" t="str">
        <f>iferror(VLOOKUP((LEFT(A1070,6)),CUSTOMER_DETAILS,2,FALSE),"-")</f>
        <v>-</v>
      </c>
      <c r="C1070" s="161" t="s">
        <v>89</v>
      </c>
      <c r="D1070" s="162"/>
      <c r="E1070" s="161" t="s">
        <v>89</v>
      </c>
      <c r="F1070" s="30" t="s">
        <v>89</v>
      </c>
      <c r="G1070" s="30" t="s">
        <v>89</v>
      </c>
      <c r="H1070" s="30" t="s">
        <v>89</v>
      </c>
      <c r="I1070" s="48" t="s">
        <v>108</v>
      </c>
      <c r="J1070" s="188" t="str">
        <f t="shared" si="15"/>
        <v/>
      </c>
      <c r="L1070" s="48" t="s">
        <v>108</v>
      </c>
      <c r="O1070" s="30" t="s">
        <v>89</v>
      </c>
      <c r="Q1070" s="192"/>
      <c r="R1070" s="161" t="str">
        <f>IFERROR(VLOOKUP(Q1070,'PRODUCT TABLE'!$A$2:$B$26,2,FALSE),"-")</f>
        <v>-</v>
      </c>
      <c r="V1070" s="161">
        <f t="shared" si="14"/>
        <v>0</v>
      </c>
      <c r="Y1070" s="30"/>
      <c r="Z1070" s="169">
        <f t="shared" si="2"/>
        <v>0</v>
      </c>
      <c r="AA1070" s="167">
        <f t="shared" si="3"/>
        <v>0</v>
      </c>
      <c r="AB1070" s="161"/>
      <c r="AC1070" s="161">
        <f t="shared" si="4"/>
        <v>0</v>
      </c>
      <c r="AD1070" s="161">
        <f t="shared" si="5"/>
        <v>0</v>
      </c>
      <c r="AE1070" s="161">
        <f t="shared" si="6"/>
        <v>0</v>
      </c>
      <c r="AF1070" s="167">
        <f t="shared" si="7"/>
        <v>0</v>
      </c>
      <c r="AG1070" s="167">
        <f t="shared" si="8"/>
        <v>0</v>
      </c>
      <c r="AH1070" s="158"/>
      <c r="AI1070" s="158"/>
    </row>
    <row r="1071" ht="12.75" customHeight="1">
      <c r="B1071" s="160" t="str">
        <f>iferror(VLOOKUP((LEFT(A1071,6)),CUSTOMER_DETAILS,2,FALSE),"-")</f>
        <v>-</v>
      </c>
      <c r="C1071" s="161" t="s">
        <v>89</v>
      </c>
      <c r="D1071" s="162"/>
      <c r="E1071" s="161" t="s">
        <v>89</v>
      </c>
      <c r="F1071" s="30" t="s">
        <v>89</v>
      </c>
      <c r="G1071" s="30" t="s">
        <v>89</v>
      </c>
      <c r="H1071" s="30" t="s">
        <v>89</v>
      </c>
      <c r="I1071" s="48" t="s">
        <v>108</v>
      </c>
      <c r="J1071" s="188" t="str">
        <f t="shared" si="15"/>
        <v/>
      </c>
      <c r="L1071" s="48" t="s">
        <v>108</v>
      </c>
      <c r="O1071" s="30" t="s">
        <v>89</v>
      </c>
      <c r="Q1071" s="192"/>
      <c r="R1071" s="161" t="str">
        <f>IFERROR(VLOOKUP(Q1071,'PRODUCT TABLE'!$A$2:$B$26,2,FALSE),"-")</f>
        <v>-</v>
      </c>
      <c r="V1071" s="161">
        <f t="shared" si="14"/>
        <v>0</v>
      </c>
      <c r="Y1071" s="30"/>
      <c r="Z1071" s="169">
        <f t="shared" si="2"/>
        <v>0</v>
      </c>
      <c r="AA1071" s="167">
        <f t="shared" si="3"/>
        <v>0</v>
      </c>
      <c r="AB1071" s="161"/>
      <c r="AC1071" s="161">
        <f t="shared" si="4"/>
        <v>0</v>
      </c>
      <c r="AD1071" s="161">
        <f t="shared" si="5"/>
        <v>0</v>
      </c>
      <c r="AE1071" s="161">
        <f t="shared" si="6"/>
        <v>0</v>
      </c>
      <c r="AF1071" s="167">
        <f t="shared" si="7"/>
        <v>0</v>
      </c>
      <c r="AG1071" s="167">
        <f t="shared" si="8"/>
        <v>0</v>
      </c>
      <c r="AH1071" s="158"/>
      <c r="AI1071" s="158"/>
    </row>
    <row r="1072" ht="12.75" customHeight="1">
      <c r="B1072" s="160" t="str">
        <f>iferror(VLOOKUP((LEFT(A1072,6)),CUSTOMER_DETAILS,2,FALSE),"-")</f>
        <v>-</v>
      </c>
      <c r="C1072" s="161" t="s">
        <v>89</v>
      </c>
      <c r="D1072" s="162"/>
      <c r="E1072" s="161" t="s">
        <v>89</v>
      </c>
      <c r="F1072" s="30" t="s">
        <v>89</v>
      </c>
      <c r="G1072" s="30" t="s">
        <v>89</v>
      </c>
      <c r="H1072" s="30" t="s">
        <v>89</v>
      </c>
      <c r="I1072" s="48" t="s">
        <v>108</v>
      </c>
      <c r="J1072" s="188" t="str">
        <f t="shared" si="15"/>
        <v/>
      </c>
      <c r="L1072" s="48" t="s">
        <v>108</v>
      </c>
      <c r="O1072" s="30" t="s">
        <v>89</v>
      </c>
      <c r="Q1072" s="192"/>
      <c r="R1072" s="161" t="str">
        <f>IFERROR(VLOOKUP(Q1072,'PRODUCT TABLE'!$A$2:$B$26,2,FALSE),"-")</f>
        <v>-</v>
      </c>
      <c r="V1072" s="161">
        <f t="shared" si="14"/>
        <v>0</v>
      </c>
      <c r="Y1072" s="30"/>
      <c r="Z1072" s="169">
        <f t="shared" si="2"/>
        <v>0</v>
      </c>
      <c r="AA1072" s="167">
        <f t="shared" si="3"/>
        <v>0</v>
      </c>
      <c r="AB1072" s="161"/>
      <c r="AC1072" s="161">
        <f t="shared" si="4"/>
        <v>0</v>
      </c>
      <c r="AD1072" s="161">
        <f t="shared" si="5"/>
        <v>0</v>
      </c>
      <c r="AE1072" s="161">
        <f t="shared" si="6"/>
        <v>0</v>
      </c>
      <c r="AF1072" s="167">
        <f t="shared" si="7"/>
        <v>0</v>
      </c>
      <c r="AG1072" s="167">
        <f t="shared" si="8"/>
        <v>0</v>
      </c>
      <c r="AH1072" s="158"/>
      <c r="AI1072" s="158"/>
    </row>
    <row r="1073" ht="12.75" customHeight="1">
      <c r="B1073" s="160" t="str">
        <f>iferror(VLOOKUP((LEFT(A1073,6)),CUSTOMER_DETAILS,2,FALSE),"-")</f>
        <v>-</v>
      </c>
      <c r="C1073" s="161" t="s">
        <v>89</v>
      </c>
      <c r="D1073" s="162"/>
      <c r="E1073" s="161" t="s">
        <v>89</v>
      </c>
      <c r="F1073" s="30" t="s">
        <v>89</v>
      </c>
      <c r="G1073" s="30" t="s">
        <v>89</v>
      </c>
      <c r="H1073" s="30" t="s">
        <v>89</v>
      </c>
      <c r="I1073" s="48" t="s">
        <v>108</v>
      </c>
      <c r="J1073" s="188" t="str">
        <f t="shared" si="15"/>
        <v/>
      </c>
      <c r="L1073" s="48" t="s">
        <v>108</v>
      </c>
      <c r="O1073" s="30" t="s">
        <v>89</v>
      </c>
      <c r="Q1073" s="192"/>
      <c r="R1073" s="161" t="str">
        <f>IFERROR(VLOOKUP(Q1073,'PRODUCT TABLE'!$A$2:$B$26,2,FALSE),"-")</f>
        <v>-</v>
      </c>
      <c r="V1073" s="161">
        <f t="shared" si="14"/>
        <v>0</v>
      </c>
      <c r="Y1073" s="30"/>
      <c r="Z1073" s="169">
        <f t="shared" si="2"/>
        <v>0</v>
      </c>
      <c r="AA1073" s="167">
        <f t="shared" si="3"/>
        <v>0</v>
      </c>
      <c r="AB1073" s="161"/>
      <c r="AC1073" s="161">
        <f t="shared" si="4"/>
        <v>0</v>
      </c>
      <c r="AD1073" s="161">
        <f t="shared" si="5"/>
        <v>0</v>
      </c>
      <c r="AE1073" s="161">
        <f t="shared" si="6"/>
        <v>0</v>
      </c>
      <c r="AF1073" s="167">
        <f t="shared" si="7"/>
        <v>0</v>
      </c>
      <c r="AG1073" s="167">
        <f t="shared" si="8"/>
        <v>0</v>
      </c>
      <c r="AH1073" s="158"/>
      <c r="AI1073" s="158"/>
    </row>
    <row r="1074" ht="12.75" customHeight="1">
      <c r="B1074" s="160" t="str">
        <f>iferror(VLOOKUP((LEFT(A1074,6)),CUSTOMER_DETAILS,2,FALSE),"-")</f>
        <v>-</v>
      </c>
      <c r="C1074" s="161" t="s">
        <v>89</v>
      </c>
      <c r="D1074" s="162"/>
      <c r="E1074" s="161" t="s">
        <v>89</v>
      </c>
      <c r="F1074" s="30" t="s">
        <v>89</v>
      </c>
      <c r="G1074" s="30" t="s">
        <v>89</v>
      </c>
      <c r="H1074" s="30" t="s">
        <v>89</v>
      </c>
      <c r="I1074" s="48" t="s">
        <v>108</v>
      </c>
      <c r="J1074" s="188" t="str">
        <f t="shared" si="15"/>
        <v/>
      </c>
      <c r="L1074" s="48" t="s">
        <v>108</v>
      </c>
      <c r="O1074" s="30" t="s">
        <v>89</v>
      </c>
      <c r="Q1074" s="192"/>
      <c r="R1074" s="161" t="str">
        <f>IFERROR(VLOOKUP(Q1074,'PRODUCT TABLE'!$A$2:$B$26,2,FALSE),"-")</f>
        <v>-</v>
      </c>
      <c r="V1074" s="161">
        <f t="shared" si="14"/>
        <v>0</v>
      </c>
      <c r="Y1074" s="30"/>
      <c r="Z1074" s="169">
        <f t="shared" si="2"/>
        <v>0</v>
      </c>
      <c r="AA1074" s="167">
        <f t="shared" si="3"/>
        <v>0</v>
      </c>
      <c r="AB1074" s="161"/>
      <c r="AC1074" s="161">
        <f t="shared" si="4"/>
        <v>0</v>
      </c>
      <c r="AD1074" s="161">
        <f t="shared" si="5"/>
        <v>0</v>
      </c>
      <c r="AE1074" s="161">
        <f t="shared" si="6"/>
        <v>0</v>
      </c>
      <c r="AF1074" s="167">
        <f t="shared" si="7"/>
        <v>0</v>
      </c>
      <c r="AG1074" s="167">
        <f t="shared" si="8"/>
        <v>0</v>
      </c>
      <c r="AH1074" s="158"/>
      <c r="AI1074" s="158"/>
    </row>
    <row r="1075" ht="12.75" customHeight="1">
      <c r="B1075" s="160" t="str">
        <f>iferror(VLOOKUP((LEFT(A1075,6)),CUSTOMER_DETAILS,2,FALSE),"-")</f>
        <v>-</v>
      </c>
      <c r="C1075" s="161" t="s">
        <v>89</v>
      </c>
      <c r="D1075" s="162"/>
      <c r="E1075" s="161" t="s">
        <v>89</v>
      </c>
      <c r="F1075" s="30" t="s">
        <v>89</v>
      </c>
      <c r="G1075" s="30" t="s">
        <v>89</v>
      </c>
      <c r="H1075" s="30" t="s">
        <v>89</v>
      </c>
      <c r="I1075" s="48" t="s">
        <v>108</v>
      </c>
      <c r="J1075" s="188" t="str">
        <f t="shared" si="15"/>
        <v/>
      </c>
      <c r="L1075" s="48" t="s">
        <v>108</v>
      </c>
      <c r="O1075" s="30" t="s">
        <v>89</v>
      </c>
      <c r="Q1075" s="192"/>
      <c r="R1075" s="161" t="str">
        <f>IFERROR(VLOOKUP(Q1075,'PRODUCT TABLE'!$A$2:$B$26,2,FALSE),"-")</f>
        <v>-</v>
      </c>
      <c r="V1075" s="161">
        <f t="shared" si="14"/>
        <v>0</v>
      </c>
      <c r="Y1075" s="30"/>
      <c r="Z1075" s="169">
        <f t="shared" si="2"/>
        <v>0</v>
      </c>
      <c r="AA1075" s="167">
        <f t="shared" si="3"/>
        <v>0</v>
      </c>
      <c r="AB1075" s="161"/>
      <c r="AC1075" s="161">
        <f t="shared" si="4"/>
        <v>0</v>
      </c>
      <c r="AD1075" s="161">
        <f t="shared" si="5"/>
        <v>0</v>
      </c>
      <c r="AE1075" s="161">
        <f t="shared" si="6"/>
        <v>0</v>
      </c>
      <c r="AF1075" s="167">
        <f t="shared" si="7"/>
        <v>0</v>
      </c>
      <c r="AG1075" s="167">
        <f t="shared" si="8"/>
        <v>0</v>
      </c>
      <c r="AH1075" s="158"/>
      <c r="AI1075" s="158"/>
    </row>
    <row r="1076" ht="12.75" customHeight="1">
      <c r="B1076" s="160" t="str">
        <f>iferror(VLOOKUP((LEFT(A1076,6)),CUSTOMER_DETAILS,2,FALSE),"-")</f>
        <v>-</v>
      </c>
      <c r="C1076" s="161" t="s">
        <v>89</v>
      </c>
      <c r="D1076" s="162"/>
      <c r="E1076" s="161" t="s">
        <v>89</v>
      </c>
      <c r="F1076" s="30" t="s">
        <v>89</v>
      </c>
      <c r="G1076" s="30" t="s">
        <v>89</v>
      </c>
      <c r="H1076" s="30" t="s">
        <v>89</v>
      </c>
      <c r="I1076" s="48" t="s">
        <v>108</v>
      </c>
      <c r="J1076" s="188" t="str">
        <f t="shared" si="15"/>
        <v/>
      </c>
      <c r="L1076" s="48" t="s">
        <v>108</v>
      </c>
      <c r="O1076" s="30" t="s">
        <v>89</v>
      </c>
      <c r="Q1076" s="192"/>
      <c r="R1076" s="161" t="str">
        <f>IFERROR(VLOOKUP(Q1076,'PRODUCT TABLE'!$A$2:$B$26,2,FALSE),"-")</f>
        <v>-</v>
      </c>
      <c r="V1076" s="161">
        <f t="shared" si="14"/>
        <v>0</v>
      </c>
      <c r="Y1076" s="30"/>
      <c r="Z1076" s="169">
        <f t="shared" si="2"/>
        <v>0</v>
      </c>
      <c r="AA1076" s="167">
        <f t="shared" si="3"/>
        <v>0</v>
      </c>
      <c r="AB1076" s="161"/>
      <c r="AC1076" s="161">
        <f t="shared" si="4"/>
        <v>0</v>
      </c>
      <c r="AD1076" s="161">
        <f t="shared" si="5"/>
        <v>0</v>
      </c>
      <c r="AE1076" s="161">
        <f t="shared" si="6"/>
        <v>0</v>
      </c>
      <c r="AF1076" s="167">
        <f t="shared" si="7"/>
        <v>0</v>
      </c>
      <c r="AG1076" s="167">
        <f t="shared" si="8"/>
        <v>0</v>
      </c>
      <c r="AH1076" s="158"/>
      <c r="AI1076" s="158"/>
    </row>
    <row r="1077" ht="12.75" customHeight="1">
      <c r="B1077" s="160" t="str">
        <f>iferror(VLOOKUP((LEFT(A1077,6)),CUSTOMER_DETAILS,2,FALSE),"-")</f>
        <v>-</v>
      </c>
      <c r="C1077" s="161" t="s">
        <v>89</v>
      </c>
      <c r="D1077" s="162"/>
      <c r="E1077" s="161" t="s">
        <v>89</v>
      </c>
      <c r="F1077" s="30" t="s">
        <v>89</v>
      </c>
      <c r="G1077" s="30" t="s">
        <v>89</v>
      </c>
      <c r="H1077" s="30" t="s">
        <v>89</v>
      </c>
      <c r="I1077" s="48" t="s">
        <v>108</v>
      </c>
      <c r="J1077" s="188" t="str">
        <f t="shared" si="15"/>
        <v/>
      </c>
      <c r="L1077" s="48" t="s">
        <v>108</v>
      </c>
      <c r="O1077" s="30" t="s">
        <v>89</v>
      </c>
      <c r="Q1077" s="192"/>
      <c r="R1077" s="161" t="str">
        <f>IFERROR(VLOOKUP(Q1077,'PRODUCT TABLE'!$A$2:$B$26,2,FALSE),"-")</f>
        <v>-</v>
      </c>
      <c r="V1077" s="161">
        <f t="shared" si="14"/>
        <v>0</v>
      </c>
      <c r="Y1077" s="30"/>
      <c r="Z1077" s="169">
        <f t="shared" si="2"/>
        <v>0</v>
      </c>
      <c r="AA1077" s="167">
        <f t="shared" si="3"/>
        <v>0</v>
      </c>
      <c r="AB1077" s="161"/>
      <c r="AC1077" s="161">
        <f t="shared" si="4"/>
        <v>0</v>
      </c>
      <c r="AD1077" s="161">
        <f t="shared" si="5"/>
        <v>0</v>
      </c>
      <c r="AE1077" s="161">
        <f t="shared" si="6"/>
        <v>0</v>
      </c>
      <c r="AF1077" s="167">
        <f t="shared" si="7"/>
        <v>0</v>
      </c>
      <c r="AG1077" s="167">
        <f t="shared" si="8"/>
        <v>0</v>
      </c>
      <c r="AH1077" s="158"/>
      <c r="AI1077" s="158"/>
    </row>
    <row r="1078" ht="12.75" customHeight="1">
      <c r="B1078" s="160" t="str">
        <f>iferror(VLOOKUP((LEFT(A1078,6)),CUSTOMER_DETAILS,2,FALSE),"-")</f>
        <v>-</v>
      </c>
      <c r="C1078" s="161" t="s">
        <v>89</v>
      </c>
      <c r="D1078" s="162"/>
      <c r="E1078" s="161" t="s">
        <v>89</v>
      </c>
      <c r="F1078" s="30" t="s">
        <v>89</v>
      </c>
      <c r="G1078" s="30" t="s">
        <v>89</v>
      </c>
      <c r="H1078" s="30" t="s">
        <v>89</v>
      </c>
      <c r="I1078" s="48" t="s">
        <v>108</v>
      </c>
      <c r="J1078" s="188" t="str">
        <f t="shared" si="15"/>
        <v/>
      </c>
      <c r="L1078" s="48" t="s">
        <v>108</v>
      </c>
      <c r="O1078" s="30" t="s">
        <v>89</v>
      </c>
      <c r="Q1078" s="192"/>
      <c r="R1078" s="161" t="str">
        <f>IFERROR(VLOOKUP(Q1078,'PRODUCT TABLE'!$A$2:$B$26,2,FALSE),"-")</f>
        <v>-</v>
      </c>
      <c r="V1078" s="161">
        <f t="shared" si="14"/>
        <v>0</v>
      </c>
      <c r="Y1078" s="30"/>
      <c r="Z1078" s="169">
        <f t="shared" si="2"/>
        <v>0</v>
      </c>
      <c r="AA1078" s="167">
        <f t="shared" si="3"/>
        <v>0</v>
      </c>
      <c r="AB1078" s="161"/>
      <c r="AC1078" s="161">
        <f t="shared" si="4"/>
        <v>0</v>
      </c>
      <c r="AD1078" s="161">
        <f t="shared" si="5"/>
        <v>0</v>
      </c>
      <c r="AE1078" s="161">
        <f t="shared" si="6"/>
        <v>0</v>
      </c>
      <c r="AF1078" s="167">
        <f t="shared" si="7"/>
        <v>0</v>
      </c>
      <c r="AG1078" s="167">
        <f t="shared" si="8"/>
        <v>0</v>
      </c>
      <c r="AH1078" s="158"/>
      <c r="AI1078" s="158"/>
    </row>
    <row r="1079" ht="12.75" customHeight="1">
      <c r="B1079" s="160" t="str">
        <f>iferror(VLOOKUP((LEFT(A1079,6)),CUSTOMER_DETAILS,2,FALSE),"-")</f>
        <v>-</v>
      </c>
      <c r="C1079" s="161" t="s">
        <v>89</v>
      </c>
      <c r="D1079" s="162"/>
      <c r="E1079" s="161" t="s">
        <v>89</v>
      </c>
      <c r="F1079" s="30" t="s">
        <v>89</v>
      </c>
      <c r="G1079" s="30" t="s">
        <v>89</v>
      </c>
      <c r="H1079" s="30" t="s">
        <v>89</v>
      </c>
      <c r="I1079" s="48" t="s">
        <v>108</v>
      </c>
      <c r="J1079" s="188" t="str">
        <f t="shared" si="15"/>
        <v/>
      </c>
      <c r="L1079" s="48" t="s">
        <v>108</v>
      </c>
      <c r="O1079" s="30" t="s">
        <v>89</v>
      </c>
      <c r="Q1079" s="192"/>
      <c r="R1079" s="161" t="str">
        <f>IFERROR(VLOOKUP(Q1079,'PRODUCT TABLE'!$A$2:$B$26,2,FALSE),"-")</f>
        <v>-</v>
      </c>
      <c r="V1079" s="161">
        <f t="shared" si="14"/>
        <v>0</v>
      </c>
      <c r="Y1079" s="30"/>
      <c r="Z1079" s="169">
        <f t="shared" si="2"/>
        <v>0</v>
      </c>
      <c r="AA1079" s="167">
        <f t="shared" si="3"/>
        <v>0</v>
      </c>
      <c r="AB1079" s="161"/>
      <c r="AC1079" s="161">
        <f t="shared" si="4"/>
        <v>0</v>
      </c>
      <c r="AD1079" s="161">
        <f t="shared" si="5"/>
        <v>0</v>
      </c>
      <c r="AE1079" s="161">
        <f t="shared" si="6"/>
        <v>0</v>
      </c>
      <c r="AF1079" s="167">
        <f t="shared" si="7"/>
        <v>0</v>
      </c>
      <c r="AG1079" s="167">
        <f t="shared" si="8"/>
        <v>0</v>
      </c>
      <c r="AH1079" s="158"/>
      <c r="AI1079" s="158"/>
    </row>
    <row r="1080" ht="12.75" customHeight="1">
      <c r="B1080" s="160" t="str">
        <f>iferror(VLOOKUP((LEFT(A1080,6)),CUSTOMER_DETAILS,2,FALSE),"-")</f>
        <v>-</v>
      </c>
      <c r="C1080" s="161" t="s">
        <v>89</v>
      </c>
      <c r="D1080" s="162"/>
      <c r="E1080" s="161" t="s">
        <v>89</v>
      </c>
      <c r="F1080" s="30" t="s">
        <v>89</v>
      </c>
      <c r="G1080" s="30" t="s">
        <v>89</v>
      </c>
      <c r="H1080" s="30" t="s">
        <v>89</v>
      </c>
      <c r="I1080" s="48" t="s">
        <v>108</v>
      </c>
      <c r="J1080" s="188" t="str">
        <f t="shared" si="15"/>
        <v/>
      </c>
      <c r="L1080" s="48" t="s">
        <v>108</v>
      </c>
      <c r="O1080" s="30" t="s">
        <v>89</v>
      </c>
      <c r="Q1080" s="192"/>
      <c r="R1080" s="161" t="str">
        <f>IFERROR(VLOOKUP(Q1080,'PRODUCT TABLE'!$A$2:$B$26,2,FALSE),"-")</f>
        <v>-</v>
      </c>
      <c r="V1080" s="161">
        <f t="shared" si="14"/>
        <v>0</v>
      </c>
      <c r="Y1080" s="30"/>
      <c r="Z1080" s="169">
        <f t="shared" si="2"/>
        <v>0</v>
      </c>
      <c r="AA1080" s="167">
        <f t="shared" si="3"/>
        <v>0</v>
      </c>
      <c r="AB1080" s="161"/>
      <c r="AC1080" s="161">
        <f t="shared" si="4"/>
        <v>0</v>
      </c>
      <c r="AD1080" s="161">
        <f t="shared" si="5"/>
        <v>0</v>
      </c>
      <c r="AE1080" s="161">
        <f t="shared" si="6"/>
        <v>0</v>
      </c>
      <c r="AF1080" s="167">
        <f t="shared" si="7"/>
        <v>0</v>
      </c>
      <c r="AG1080" s="167">
        <f t="shared" si="8"/>
        <v>0</v>
      </c>
      <c r="AH1080" s="158"/>
      <c r="AI1080" s="158"/>
    </row>
    <row r="1081" ht="12.75" customHeight="1">
      <c r="B1081" s="160" t="str">
        <f>iferror(VLOOKUP((LEFT(A1081,6)),CUSTOMER_DETAILS,2,FALSE),"-")</f>
        <v>-</v>
      </c>
      <c r="C1081" s="161" t="s">
        <v>89</v>
      </c>
      <c r="D1081" s="162"/>
      <c r="E1081" s="161" t="s">
        <v>89</v>
      </c>
      <c r="F1081" s="30" t="s">
        <v>89</v>
      </c>
      <c r="G1081" s="30" t="s">
        <v>89</v>
      </c>
      <c r="H1081" s="30" t="s">
        <v>89</v>
      </c>
      <c r="I1081" s="48" t="s">
        <v>108</v>
      </c>
      <c r="J1081" s="188" t="str">
        <f t="shared" si="15"/>
        <v/>
      </c>
      <c r="L1081" s="48" t="s">
        <v>108</v>
      </c>
      <c r="O1081" s="30" t="s">
        <v>89</v>
      </c>
      <c r="Q1081" s="192"/>
      <c r="R1081" s="161" t="str">
        <f>IFERROR(VLOOKUP(Q1081,'PRODUCT TABLE'!$A$2:$B$26,2,FALSE),"-")</f>
        <v>-</v>
      </c>
      <c r="V1081" s="161">
        <f t="shared" si="14"/>
        <v>0</v>
      </c>
      <c r="Y1081" s="30"/>
      <c r="Z1081" s="169">
        <f t="shared" si="2"/>
        <v>0</v>
      </c>
      <c r="AA1081" s="167">
        <f t="shared" si="3"/>
        <v>0</v>
      </c>
      <c r="AB1081" s="161"/>
      <c r="AC1081" s="161">
        <f t="shared" si="4"/>
        <v>0</v>
      </c>
      <c r="AD1081" s="161">
        <f t="shared" si="5"/>
        <v>0</v>
      </c>
      <c r="AE1081" s="161">
        <f t="shared" si="6"/>
        <v>0</v>
      </c>
      <c r="AF1081" s="167">
        <f t="shared" si="7"/>
        <v>0</v>
      </c>
      <c r="AG1081" s="167">
        <f t="shared" si="8"/>
        <v>0</v>
      </c>
      <c r="AH1081" s="158"/>
      <c r="AI1081" s="158"/>
    </row>
    <row r="1082" ht="12.75" customHeight="1">
      <c r="B1082" s="160" t="str">
        <f>iferror(VLOOKUP((LEFT(A1082,6)),CUSTOMER_DETAILS,2,FALSE),"-")</f>
        <v>-</v>
      </c>
      <c r="C1082" s="161" t="s">
        <v>89</v>
      </c>
      <c r="D1082" s="162"/>
      <c r="E1082" s="161" t="s">
        <v>89</v>
      </c>
      <c r="F1082" s="30" t="s">
        <v>89</v>
      </c>
      <c r="G1082" s="30" t="s">
        <v>89</v>
      </c>
      <c r="H1082" s="30" t="s">
        <v>89</v>
      </c>
      <c r="I1082" s="48" t="s">
        <v>108</v>
      </c>
      <c r="J1082" s="188" t="str">
        <f t="shared" si="15"/>
        <v/>
      </c>
      <c r="L1082" s="48" t="s">
        <v>108</v>
      </c>
      <c r="O1082" s="30" t="s">
        <v>89</v>
      </c>
      <c r="Q1082" s="192"/>
      <c r="R1082" s="161" t="str">
        <f>IFERROR(VLOOKUP(Q1082,'PRODUCT TABLE'!$A$2:$B$26,2,FALSE),"-")</f>
        <v>-</v>
      </c>
      <c r="V1082" s="161">
        <f t="shared" si="14"/>
        <v>0</v>
      </c>
      <c r="Y1082" s="30"/>
      <c r="Z1082" s="169">
        <f t="shared" si="2"/>
        <v>0</v>
      </c>
      <c r="AA1082" s="167">
        <f t="shared" si="3"/>
        <v>0</v>
      </c>
      <c r="AB1082" s="161"/>
      <c r="AC1082" s="161">
        <f t="shared" si="4"/>
        <v>0</v>
      </c>
      <c r="AD1082" s="161">
        <f t="shared" si="5"/>
        <v>0</v>
      </c>
      <c r="AE1082" s="161">
        <f t="shared" si="6"/>
        <v>0</v>
      </c>
      <c r="AF1082" s="167">
        <f t="shared" si="7"/>
        <v>0</v>
      </c>
      <c r="AG1082" s="167">
        <f t="shared" si="8"/>
        <v>0</v>
      </c>
      <c r="AH1082" s="158"/>
      <c r="AI1082" s="158"/>
    </row>
    <row r="1083" ht="12.75" customHeight="1">
      <c r="B1083" s="160" t="str">
        <f>iferror(VLOOKUP((LEFT(A1083,6)),CUSTOMER_DETAILS,2,FALSE),"-")</f>
        <v>-</v>
      </c>
      <c r="C1083" s="161" t="s">
        <v>89</v>
      </c>
      <c r="D1083" s="162"/>
      <c r="E1083" s="161" t="s">
        <v>89</v>
      </c>
      <c r="F1083" s="30" t="s">
        <v>89</v>
      </c>
      <c r="G1083" s="30" t="s">
        <v>89</v>
      </c>
      <c r="H1083" s="30" t="s">
        <v>89</v>
      </c>
      <c r="I1083" s="48" t="s">
        <v>108</v>
      </c>
      <c r="J1083" s="188" t="str">
        <f t="shared" si="15"/>
        <v/>
      </c>
      <c r="L1083" s="48" t="s">
        <v>108</v>
      </c>
      <c r="O1083" s="30" t="s">
        <v>89</v>
      </c>
      <c r="Q1083" s="192"/>
      <c r="R1083" s="161" t="str">
        <f>IFERROR(VLOOKUP(Q1083,'PRODUCT TABLE'!$A$2:$B$26,2,FALSE),"-")</f>
        <v>-</v>
      </c>
      <c r="V1083" s="161">
        <f t="shared" si="14"/>
        <v>0</v>
      </c>
      <c r="Y1083" s="30"/>
      <c r="Z1083" s="169">
        <f t="shared" si="2"/>
        <v>0</v>
      </c>
      <c r="AA1083" s="167">
        <f t="shared" si="3"/>
        <v>0</v>
      </c>
      <c r="AB1083" s="161"/>
      <c r="AC1083" s="161">
        <f t="shared" si="4"/>
        <v>0</v>
      </c>
      <c r="AD1083" s="161">
        <f t="shared" si="5"/>
        <v>0</v>
      </c>
      <c r="AE1083" s="161">
        <f t="shared" si="6"/>
        <v>0</v>
      </c>
      <c r="AF1083" s="167">
        <f t="shared" si="7"/>
        <v>0</v>
      </c>
      <c r="AG1083" s="167">
        <f t="shared" si="8"/>
        <v>0</v>
      </c>
      <c r="AH1083" s="158"/>
      <c r="AI1083" s="158"/>
    </row>
    <row r="1084" ht="12.75" customHeight="1">
      <c r="B1084" s="160" t="str">
        <f>iferror(VLOOKUP((LEFT(A1084,6)),CUSTOMER_DETAILS,2,FALSE),"-")</f>
        <v>-</v>
      </c>
      <c r="C1084" s="161" t="s">
        <v>89</v>
      </c>
      <c r="D1084" s="162"/>
      <c r="E1084" s="161" t="s">
        <v>89</v>
      </c>
      <c r="F1084" s="30" t="s">
        <v>89</v>
      </c>
      <c r="G1084" s="30" t="s">
        <v>89</v>
      </c>
      <c r="H1084" s="30" t="s">
        <v>89</v>
      </c>
      <c r="I1084" s="48" t="s">
        <v>108</v>
      </c>
      <c r="J1084" s="188" t="str">
        <f t="shared" si="15"/>
        <v/>
      </c>
      <c r="L1084" s="48" t="s">
        <v>108</v>
      </c>
      <c r="O1084" s="30" t="s">
        <v>89</v>
      </c>
      <c r="Q1084" s="192"/>
      <c r="R1084" s="161" t="str">
        <f>IFERROR(VLOOKUP(Q1084,'PRODUCT TABLE'!$A$2:$B$26,2,FALSE),"-")</f>
        <v>-</v>
      </c>
      <c r="V1084" s="161">
        <f t="shared" si="14"/>
        <v>0</v>
      </c>
      <c r="Y1084" s="30"/>
      <c r="Z1084" s="169">
        <f t="shared" si="2"/>
        <v>0</v>
      </c>
      <c r="AA1084" s="167">
        <f t="shared" si="3"/>
        <v>0</v>
      </c>
      <c r="AB1084" s="161"/>
      <c r="AC1084" s="161">
        <f t="shared" si="4"/>
        <v>0</v>
      </c>
      <c r="AD1084" s="161">
        <f t="shared" si="5"/>
        <v>0</v>
      </c>
      <c r="AE1084" s="161">
        <f t="shared" si="6"/>
        <v>0</v>
      </c>
      <c r="AF1084" s="167">
        <f t="shared" si="7"/>
        <v>0</v>
      </c>
      <c r="AG1084" s="167">
        <f t="shared" si="8"/>
        <v>0</v>
      </c>
      <c r="AH1084" s="158"/>
      <c r="AI1084" s="158"/>
    </row>
    <row r="1085" ht="12.75" customHeight="1">
      <c r="B1085" s="160" t="str">
        <f>iferror(VLOOKUP((LEFT(A1085,6)),CUSTOMER_DETAILS,2,FALSE),"-")</f>
        <v>-</v>
      </c>
      <c r="C1085" s="161" t="s">
        <v>89</v>
      </c>
      <c r="D1085" s="162"/>
      <c r="E1085" s="161" t="s">
        <v>89</v>
      </c>
      <c r="F1085" s="30" t="s">
        <v>89</v>
      </c>
      <c r="G1085" s="30" t="s">
        <v>89</v>
      </c>
      <c r="H1085" s="30" t="s">
        <v>89</v>
      </c>
      <c r="I1085" s="48" t="s">
        <v>108</v>
      </c>
      <c r="J1085" s="188" t="str">
        <f t="shared" si="15"/>
        <v/>
      </c>
      <c r="L1085" s="48" t="s">
        <v>108</v>
      </c>
      <c r="O1085" s="30" t="s">
        <v>89</v>
      </c>
      <c r="Q1085" s="192"/>
      <c r="R1085" s="161" t="str">
        <f>IFERROR(VLOOKUP(Q1085,'PRODUCT TABLE'!$A$2:$B$26,2,FALSE),"-")</f>
        <v>-</v>
      </c>
      <c r="V1085" s="161">
        <f t="shared" si="14"/>
        <v>0</v>
      </c>
      <c r="Y1085" s="30"/>
      <c r="Z1085" s="169">
        <f t="shared" si="2"/>
        <v>0</v>
      </c>
      <c r="AA1085" s="167">
        <f t="shared" si="3"/>
        <v>0</v>
      </c>
      <c r="AB1085" s="161"/>
      <c r="AC1085" s="161">
        <f t="shared" si="4"/>
        <v>0</v>
      </c>
      <c r="AD1085" s="161">
        <f t="shared" si="5"/>
        <v>0</v>
      </c>
      <c r="AE1085" s="161">
        <f t="shared" si="6"/>
        <v>0</v>
      </c>
      <c r="AF1085" s="167">
        <f t="shared" si="7"/>
        <v>0</v>
      </c>
      <c r="AG1085" s="167">
        <f t="shared" si="8"/>
        <v>0</v>
      </c>
      <c r="AH1085" s="158"/>
      <c r="AI1085" s="158"/>
    </row>
    <row r="1086" ht="12.75" customHeight="1">
      <c r="B1086" s="160" t="str">
        <f>iferror(VLOOKUP((LEFT(A1086,6)),CUSTOMER_DETAILS,2,FALSE),"-")</f>
        <v>-</v>
      </c>
      <c r="C1086" s="161" t="s">
        <v>89</v>
      </c>
      <c r="D1086" s="162"/>
      <c r="E1086" s="161" t="s">
        <v>89</v>
      </c>
      <c r="F1086" s="30" t="s">
        <v>89</v>
      </c>
      <c r="G1086" s="30" t="s">
        <v>89</v>
      </c>
      <c r="H1086" s="30" t="s">
        <v>89</v>
      </c>
      <c r="I1086" s="48" t="s">
        <v>108</v>
      </c>
      <c r="J1086" s="188" t="str">
        <f t="shared" si="15"/>
        <v/>
      </c>
      <c r="L1086" s="48" t="s">
        <v>108</v>
      </c>
      <c r="O1086" s="30" t="s">
        <v>89</v>
      </c>
      <c r="Q1086" s="192"/>
      <c r="R1086" s="161" t="str">
        <f>IFERROR(VLOOKUP(Q1086,'PRODUCT TABLE'!$A$2:$B$26,2,FALSE),"-")</f>
        <v>-</v>
      </c>
      <c r="V1086" s="161">
        <f t="shared" si="14"/>
        <v>0</v>
      </c>
      <c r="Y1086" s="30"/>
      <c r="Z1086" s="169">
        <f t="shared" si="2"/>
        <v>0</v>
      </c>
      <c r="AA1086" s="167">
        <f t="shared" si="3"/>
        <v>0</v>
      </c>
      <c r="AB1086" s="161"/>
      <c r="AC1086" s="161">
        <f t="shared" si="4"/>
        <v>0</v>
      </c>
      <c r="AD1086" s="161">
        <f t="shared" si="5"/>
        <v>0</v>
      </c>
      <c r="AE1086" s="161">
        <f t="shared" si="6"/>
        <v>0</v>
      </c>
      <c r="AF1086" s="167">
        <f t="shared" si="7"/>
        <v>0</v>
      </c>
      <c r="AG1086" s="167">
        <f t="shared" si="8"/>
        <v>0</v>
      </c>
      <c r="AH1086" s="158"/>
      <c r="AI1086" s="158"/>
    </row>
    <row r="1087" ht="12.75" customHeight="1">
      <c r="B1087" s="160" t="str">
        <f>iferror(VLOOKUP((LEFT(A1087,6)),CUSTOMER_DETAILS,2,FALSE),"-")</f>
        <v>-</v>
      </c>
      <c r="C1087" s="161" t="s">
        <v>89</v>
      </c>
      <c r="D1087" s="162"/>
      <c r="E1087" s="161" t="s">
        <v>89</v>
      </c>
      <c r="F1087" s="30" t="s">
        <v>89</v>
      </c>
      <c r="G1087" s="30" t="s">
        <v>89</v>
      </c>
      <c r="H1087" s="30" t="s">
        <v>89</v>
      </c>
      <c r="I1087" s="48" t="s">
        <v>108</v>
      </c>
      <c r="J1087" s="188" t="str">
        <f t="shared" si="15"/>
        <v/>
      </c>
      <c r="L1087" s="48" t="s">
        <v>108</v>
      </c>
      <c r="O1087" s="30" t="s">
        <v>89</v>
      </c>
      <c r="Q1087" s="192"/>
      <c r="R1087" s="161" t="str">
        <f>IFERROR(VLOOKUP(Q1087,'PRODUCT TABLE'!$A$2:$B$26,2,FALSE),"-")</f>
        <v>-</v>
      </c>
      <c r="V1087" s="161">
        <f t="shared" si="14"/>
        <v>0</v>
      </c>
      <c r="Y1087" s="30"/>
      <c r="Z1087" s="169">
        <f t="shared" si="2"/>
        <v>0</v>
      </c>
      <c r="AA1087" s="167">
        <f t="shared" si="3"/>
        <v>0</v>
      </c>
      <c r="AB1087" s="161"/>
      <c r="AC1087" s="161">
        <f t="shared" si="4"/>
        <v>0</v>
      </c>
      <c r="AD1087" s="161">
        <f t="shared" si="5"/>
        <v>0</v>
      </c>
      <c r="AE1087" s="161">
        <f t="shared" si="6"/>
        <v>0</v>
      </c>
      <c r="AF1087" s="167">
        <f t="shared" si="7"/>
        <v>0</v>
      </c>
      <c r="AG1087" s="167">
        <f t="shared" si="8"/>
        <v>0</v>
      </c>
      <c r="AH1087" s="158"/>
      <c r="AI1087" s="158"/>
    </row>
    <row r="1088" ht="12.75" customHeight="1">
      <c r="B1088" s="160" t="str">
        <f>iferror(VLOOKUP((LEFT(A1088,6)),CUSTOMER_DETAILS,2,FALSE),"-")</f>
        <v>-</v>
      </c>
      <c r="C1088" s="161" t="s">
        <v>89</v>
      </c>
      <c r="D1088" s="162"/>
      <c r="E1088" s="161" t="s">
        <v>89</v>
      </c>
      <c r="F1088" s="30" t="s">
        <v>89</v>
      </c>
      <c r="G1088" s="30" t="s">
        <v>89</v>
      </c>
      <c r="H1088" s="30" t="s">
        <v>89</v>
      </c>
      <c r="I1088" s="48" t="s">
        <v>108</v>
      </c>
      <c r="J1088" s="188" t="str">
        <f t="shared" si="15"/>
        <v/>
      </c>
      <c r="L1088" s="48" t="s">
        <v>108</v>
      </c>
      <c r="O1088" s="30" t="s">
        <v>89</v>
      </c>
      <c r="Q1088" s="192"/>
      <c r="R1088" s="161" t="str">
        <f>IFERROR(VLOOKUP(Q1088,'PRODUCT TABLE'!$A$2:$B$26,2,FALSE),"-")</f>
        <v>-</v>
      </c>
      <c r="V1088" s="161">
        <f t="shared" si="14"/>
        <v>0</v>
      </c>
      <c r="Y1088" s="30"/>
      <c r="Z1088" s="169">
        <f t="shared" si="2"/>
        <v>0</v>
      </c>
      <c r="AA1088" s="167">
        <f t="shared" si="3"/>
        <v>0</v>
      </c>
      <c r="AB1088" s="161"/>
      <c r="AC1088" s="161">
        <f t="shared" si="4"/>
        <v>0</v>
      </c>
      <c r="AD1088" s="161">
        <f t="shared" si="5"/>
        <v>0</v>
      </c>
      <c r="AE1088" s="161">
        <f t="shared" si="6"/>
        <v>0</v>
      </c>
      <c r="AF1088" s="167">
        <f t="shared" si="7"/>
        <v>0</v>
      </c>
      <c r="AG1088" s="167">
        <f t="shared" si="8"/>
        <v>0</v>
      </c>
      <c r="AH1088" s="158"/>
      <c r="AI1088" s="158"/>
    </row>
    <row r="1089" ht="12.75" customHeight="1">
      <c r="B1089" s="160" t="str">
        <f>iferror(VLOOKUP((LEFT(A1089,6)),CUSTOMER_DETAILS,2,FALSE),"-")</f>
        <v>-</v>
      </c>
      <c r="C1089" s="161" t="s">
        <v>89</v>
      </c>
      <c r="D1089" s="162"/>
      <c r="E1089" s="161" t="s">
        <v>89</v>
      </c>
      <c r="F1089" s="30" t="s">
        <v>89</v>
      </c>
      <c r="G1089" s="30" t="s">
        <v>89</v>
      </c>
      <c r="H1089" s="30" t="s">
        <v>89</v>
      </c>
      <c r="I1089" s="48" t="s">
        <v>108</v>
      </c>
      <c r="J1089" s="188" t="str">
        <f t="shared" si="15"/>
        <v/>
      </c>
      <c r="L1089" s="48" t="s">
        <v>108</v>
      </c>
      <c r="O1089" s="30" t="s">
        <v>89</v>
      </c>
      <c r="Q1089" s="192"/>
      <c r="R1089" s="161" t="str">
        <f>IFERROR(VLOOKUP(Q1089,'PRODUCT TABLE'!$A$2:$B$26,2,FALSE),"-")</f>
        <v>-</v>
      </c>
      <c r="V1089" s="161">
        <f t="shared" si="14"/>
        <v>0</v>
      </c>
      <c r="Y1089" s="30"/>
      <c r="Z1089" s="169">
        <f t="shared" si="2"/>
        <v>0</v>
      </c>
      <c r="AA1089" s="167">
        <f t="shared" si="3"/>
        <v>0</v>
      </c>
      <c r="AB1089" s="161"/>
      <c r="AC1089" s="161">
        <f t="shared" si="4"/>
        <v>0</v>
      </c>
      <c r="AD1089" s="161">
        <f t="shared" si="5"/>
        <v>0</v>
      </c>
      <c r="AE1089" s="161">
        <f t="shared" si="6"/>
        <v>0</v>
      </c>
      <c r="AF1089" s="167">
        <f t="shared" si="7"/>
        <v>0</v>
      </c>
      <c r="AG1089" s="167">
        <f t="shared" si="8"/>
        <v>0</v>
      </c>
      <c r="AH1089" s="158"/>
      <c r="AI1089" s="158"/>
    </row>
    <row r="1090" ht="12.75" customHeight="1">
      <c r="B1090" s="160" t="str">
        <f>iferror(VLOOKUP((LEFT(A1090,6)),CUSTOMER_DETAILS,2,FALSE),"-")</f>
        <v>-</v>
      </c>
      <c r="C1090" s="161" t="s">
        <v>89</v>
      </c>
      <c r="D1090" s="162"/>
      <c r="E1090" s="161" t="s">
        <v>89</v>
      </c>
      <c r="F1090" s="30" t="s">
        <v>89</v>
      </c>
      <c r="G1090" s="30" t="s">
        <v>89</v>
      </c>
      <c r="H1090" s="30" t="s">
        <v>89</v>
      </c>
      <c r="I1090" s="48" t="s">
        <v>108</v>
      </c>
      <c r="J1090" s="188" t="str">
        <f t="shared" si="15"/>
        <v/>
      </c>
      <c r="L1090" s="48" t="s">
        <v>108</v>
      </c>
      <c r="O1090" s="30" t="s">
        <v>89</v>
      </c>
      <c r="Q1090" s="192"/>
      <c r="R1090" s="161" t="str">
        <f>IFERROR(VLOOKUP(Q1090,'PRODUCT TABLE'!$A$2:$B$26,2,FALSE),"-")</f>
        <v>-</v>
      </c>
      <c r="V1090" s="161">
        <f t="shared" si="14"/>
        <v>0</v>
      </c>
      <c r="Y1090" s="30"/>
      <c r="Z1090" s="169">
        <f t="shared" si="2"/>
        <v>0</v>
      </c>
      <c r="AA1090" s="167">
        <f t="shared" si="3"/>
        <v>0</v>
      </c>
      <c r="AB1090" s="161"/>
      <c r="AC1090" s="161">
        <f t="shared" si="4"/>
        <v>0</v>
      </c>
      <c r="AD1090" s="161">
        <f t="shared" si="5"/>
        <v>0</v>
      </c>
      <c r="AE1090" s="161">
        <f t="shared" si="6"/>
        <v>0</v>
      </c>
      <c r="AF1090" s="167">
        <f t="shared" si="7"/>
        <v>0</v>
      </c>
      <c r="AG1090" s="167">
        <f t="shared" si="8"/>
        <v>0</v>
      </c>
      <c r="AH1090" s="158"/>
      <c r="AI1090" s="158"/>
    </row>
    <row r="1091" ht="12.75" customHeight="1">
      <c r="B1091" s="160" t="str">
        <f>iferror(VLOOKUP((LEFT(A1091,6)),CUSTOMER_DETAILS,2,FALSE),"-")</f>
        <v>-</v>
      </c>
      <c r="C1091" s="161" t="s">
        <v>89</v>
      </c>
      <c r="D1091" s="162"/>
      <c r="E1091" s="161" t="s">
        <v>89</v>
      </c>
      <c r="F1091" s="30" t="s">
        <v>89</v>
      </c>
      <c r="G1091" s="30" t="s">
        <v>89</v>
      </c>
      <c r="H1091" s="30" t="s">
        <v>89</v>
      </c>
      <c r="I1091" s="48" t="s">
        <v>108</v>
      </c>
      <c r="J1091" s="188" t="str">
        <f t="shared" si="15"/>
        <v/>
      </c>
      <c r="L1091" s="48" t="s">
        <v>108</v>
      </c>
      <c r="O1091" s="30" t="s">
        <v>89</v>
      </c>
      <c r="Q1091" s="192"/>
      <c r="R1091" s="161" t="str">
        <f>IFERROR(VLOOKUP(Q1091,'PRODUCT TABLE'!$A$2:$B$26,2,FALSE),"-")</f>
        <v>-</v>
      </c>
      <c r="V1091" s="161">
        <f t="shared" si="14"/>
        <v>0</v>
      </c>
      <c r="Y1091" s="30"/>
      <c r="Z1091" s="169">
        <f t="shared" si="2"/>
        <v>0</v>
      </c>
      <c r="AA1091" s="167">
        <f t="shared" si="3"/>
        <v>0</v>
      </c>
      <c r="AB1091" s="161"/>
      <c r="AC1091" s="161">
        <f t="shared" si="4"/>
        <v>0</v>
      </c>
      <c r="AD1091" s="161">
        <f t="shared" si="5"/>
        <v>0</v>
      </c>
      <c r="AE1091" s="161">
        <f t="shared" si="6"/>
        <v>0</v>
      </c>
      <c r="AF1091" s="167">
        <f t="shared" si="7"/>
        <v>0</v>
      </c>
      <c r="AG1091" s="167">
        <f t="shared" si="8"/>
        <v>0</v>
      </c>
      <c r="AH1091" s="158"/>
      <c r="AI1091" s="158"/>
    </row>
    <row r="1092" ht="12.75" customHeight="1">
      <c r="B1092" s="160" t="str">
        <f>iferror(VLOOKUP((LEFT(A1092,6)),CUSTOMER_DETAILS,2,FALSE),"-")</f>
        <v>-</v>
      </c>
      <c r="C1092" s="161" t="s">
        <v>89</v>
      </c>
      <c r="D1092" s="162"/>
      <c r="E1092" s="161" t="s">
        <v>89</v>
      </c>
      <c r="F1092" s="30" t="s">
        <v>89</v>
      </c>
      <c r="G1092" s="30" t="s">
        <v>89</v>
      </c>
      <c r="H1092" s="30" t="s">
        <v>89</v>
      </c>
      <c r="I1092" s="48" t="s">
        <v>108</v>
      </c>
      <c r="J1092" s="188" t="str">
        <f t="shared" si="15"/>
        <v/>
      </c>
      <c r="L1092" s="48" t="s">
        <v>108</v>
      </c>
      <c r="O1092" s="30" t="s">
        <v>89</v>
      </c>
      <c r="Q1092" s="192"/>
      <c r="R1092" s="161" t="str">
        <f>IFERROR(VLOOKUP(Q1092,'PRODUCT TABLE'!$A$2:$B$26,2,FALSE),"-")</f>
        <v>-</v>
      </c>
      <c r="V1092" s="161">
        <f t="shared" si="14"/>
        <v>0</v>
      </c>
      <c r="Y1092" s="30"/>
      <c r="Z1092" s="169">
        <f t="shared" si="2"/>
        <v>0</v>
      </c>
      <c r="AA1092" s="167">
        <f t="shared" si="3"/>
        <v>0</v>
      </c>
      <c r="AB1092" s="161"/>
      <c r="AC1092" s="161">
        <f t="shared" si="4"/>
        <v>0</v>
      </c>
      <c r="AD1092" s="161">
        <f t="shared" si="5"/>
        <v>0</v>
      </c>
      <c r="AE1092" s="161">
        <f t="shared" si="6"/>
        <v>0</v>
      </c>
      <c r="AF1092" s="167">
        <f t="shared" si="7"/>
        <v>0</v>
      </c>
      <c r="AG1092" s="167">
        <f t="shared" si="8"/>
        <v>0</v>
      </c>
      <c r="AH1092" s="158"/>
      <c r="AI1092" s="158"/>
    </row>
    <row r="1093" ht="12.75" customHeight="1">
      <c r="B1093" s="160" t="str">
        <f>iferror(VLOOKUP((LEFT(A1093,6)),CUSTOMER_DETAILS,2,FALSE),"-")</f>
        <v>-</v>
      </c>
      <c r="C1093" s="161" t="s">
        <v>89</v>
      </c>
      <c r="D1093" s="162"/>
      <c r="E1093" s="161" t="s">
        <v>89</v>
      </c>
      <c r="F1093" s="30" t="s">
        <v>89</v>
      </c>
      <c r="G1093" s="30" t="s">
        <v>89</v>
      </c>
      <c r="H1093" s="30" t="s">
        <v>89</v>
      </c>
      <c r="I1093" s="48" t="s">
        <v>108</v>
      </c>
      <c r="J1093" s="188" t="str">
        <f t="shared" si="15"/>
        <v/>
      </c>
      <c r="L1093" s="48" t="s">
        <v>108</v>
      </c>
      <c r="O1093" s="30" t="s">
        <v>89</v>
      </c>
      <c r="Q1093" s="192"/>
      <c r="R1093" s="161" t="str">
        <f>IFERROR(VLOOKUP(Q1093,'PRODUCT TABLE'!$A$2:$B$26,2,FALSE),"-")</f>
        <v>-</v>
      </c>
      <c r="V1093" s="161">
        <f t="shared" si="14"/>
        <v>0</v>
      </c>
      <c r="Y1093" s="30"/>
      <c r="Z1093" s="169">
        <f t="shared" si="2"/>
        <v>0</v>
      </c>
      <c r="AA1093" s="167">
        <f t="shared" si="3"/>
        <v>0</v>
      </c>
      <c r="AB1093" s="161"/>
      <c r="AC1093" s="161">
        <f t="shared" si="4"/>
        <v>0</v>
      </c>
      <c r="AD1093" s="161">
        <f t="shared" si="5"/>
        <v>0</v>
      </c>
      <c r="AE1093" s="161">
        <f t="shared" si="6"/>
        <v>0</v>
      </c>
      <c r="AF1093" s="167">
        <f t="shared" si="7"/>
        <v>0</v>
      </c>
      <c r="AG1093" s="167">
        <f t="shared" si="8"/>
        <v>0</v>
      </c>
      <c r="AH1093" s="158"/>
      <c r="AI1093" s="158"/>
    </row>
    <row r="1094" ht="12.75" customHeight="1">
      <c r="B1094" s="160" t="str">
        <f>iferror(VLOOKUP((LEFT(A1094,6)),CUSTOMER_DETAILS,2,FALSE),"-")</f>
        <v>-</v>
      </c>
      <c r="C1094" s="161" t="s">
        <v>89</v>
      </c>
      <c r="D1094" s="162"/>
      <c r="E1094" s="161" t="s">
        <v>89</v>
      </c>
      <c r="F1094" s="30" t="s">
        <v>89</v>
      </c>
      <c r="G1094" s="30" t="s">
        <v>89</v>
      </c>
      <c r="H1094" s="30" t="s">
        <v>89</v>
      </c>
      <c r="I1094" s="48" t="s">
        <v>108</v>
      </c>
      <c r="J1094" s="188" t="str">
        <f t="shared" si="15"/>
        <v/>
      </c>
      <c r="L1094" s="48" t="s">
        <v>108</v>
      </c>
      <c r="O1094" s="30" t="s">
        <v>89</v>
      </c>
      <c r="Q1094" s="192"/>
      <c r="R1094" s="161" t="str">
        <f>IFERROR(VLOOKUP(Q1094,'PRODUCT TABLE'!$A$2:$B$26,2,FALSE),"-")</f>
        <v>-</v>
      </c>
      <c r="V1094" s="161">
        <f t="shared" si="14"/>
        <v>0</v>
      </c>
      <c r="Y1094" s="30"/>
      <c r="Z1094" s="169">
        <f t="shared" si="2"/>
        <v>0</v>
      </c>
      <c r="AA1094" s="167">
        <f t="shared" si="3"/>
        <v>0</v>
      </c>
      <c r="AB1094" s="161"/>
      <c r="AC1094" s="161">
        <f t="shared" si="4"/>
        <v>0</v>
      </c>
      <c r="AD1094" s="161">
        <f t="shared" si="5"/>
        <v>0</v>
      </c>
      <c r="AE1094" s="161">
        <f t="shared" si="6"/>
        <v>0</v>
      </c>
      <c r="AF1094" s="167">
        <f t="shared" si="7"/>
        <v>0</v>
      </c>
      <c r="AG1094" s="167">
        <f t="shared" si="8"/>
        <v>0</v>
      </c>
      <c r="AH1094" s="158"/>
      <c r="AI1094" s="158"/>
    </row>
    <row r="1095" ht="12.75" customHeight="1">
      <c r="B1095" s="160" t="str">
        <f>iferror(VLOOKUP((LEFT(A1095,6)),CUSTOMER_DETAILS,2,FALSE),"-")</f>
        <v>-</v>
      </c>
      <c r="C1095" s="161" t="s">
        <v>89</v>
      </c>
      <c r="D1095" s="162"/>
      <c r="E1095" s="161" t="s">
        <v>89</v>
      </c>
      <c r="F1095" s="30" t="s">
        <v>89</v>
      </c>
      <c r="G1095" s="30" t="s">
        <v>89</v>
      </c>
      <c r="H1095" s="30" t="s">
        <v>89</v>
      </c>
      <c r="I1095" s="48" t="s">
        <v>108</v>
      </c>
      <c r="J1095" s="188" t="str">
        <f t="shared" si="15"/>
        <v/>
      </c>
      <c r="L1095" s="48" t="s">
        <v>108</v>
      </c>
      <c r="O1095" s="30" t="s">
        <v>89</v>
      </c>
      <c r="Q1095" s="192"/>
      <c r="R1095" s="161" t="str">
        <f>IFERROR(VLOOKUP(Q1095,'PRODUCT TABLE'!$A$2:$B$26,2,FALSE),"-")</f>
        <v>-</v>
      </c>
      <c r="V1095" s="161">
        <f t="shared" si="14"/>
        <v>0</v>
      </c>
      <c r="Y1095" s="30"/>
      <c r="Z1095" s="169">
        <f t="shared" si="2"/>
        <v>0</v>
      </c>
      <c r="AA1095" s="167">
        <f t="shared" si="3"/>
        <v>0</v>
      </c>
      <c r="AB1095" s="161"/>
      <c r="AC1095" s="161">
        <f t="shared" si="4"/>
        <v>0</v>
      </c>
      <c r="AD1095" s="161">
        <f t="shared" si="5"/>
        <v>0</v>
      </c>
      <c r="AE1095" s="161">
        <f t="shared" si="6"/>
        <v>0</v>
      </c>
      <c r="AF1095" s="167">
        <f t="shared" si="7"/>
        <v>0</v>
      </c>
      <c r="AG1095" s="167">
        <f t="shared" si="8"/>
        <v>0</v>
      </c>
      <c r="AH1095" s="158"/>
      <c r="AI1095" s="158"/>
    </row>
    <row r="1096" ht="12.75" customHeight="1">
      <c r="B1096" s="160" t="str">
        <f>iferror(VLOOKUP((LEFT(A1096,6)),CUSTOMER_DETAILS,2,FALSE),"-")</f>
        <v>-</v>
      </c>
      <c r="C1096" s="161" t="s">
        <v>89</v>
      </c>
      <c r="D1096" s="162"/>
      <c r="E1096" s="161" t="s">
        <v>89</v>
      </c>
      <c r="F1096" s="30" t="s">
        <v>89</v>
      </c>
      <c r="G1096" s="30" t="s">
        <v>89</v>
      </c>
      <c r="H1096" s="30" t="s">
        <v>89</v>
      </c>
      <c r="I1096" s="48" t="s">
        <v>108</v>
      </c>
      <c r="J1096" s="188" t="str">
        <f t="shared" si="15"/>
        <v/>
      </c>
      <c r="L1096" s="48" t="s">
        <v>108</v>
      </c>
      <c r="O1096" s="30" t="s">
        <v>89</v>
      </c>
      <c r="Q1096" s="192"/>
      <c r="R1096" s="161" t="str">
        <f>IFERROR(VLOOKUP(Q1096,'PRODUCT TABLE'!$A$2:$B$26,2,FALSE),"-")</f>
        <v>-</v>
      </c>
      <c r="V1096" s="161">
        <f t="shared" si="14"/>
        <v>0</v>
      </c>
      <c r="Y1096" s="30"/>
      <c r="Z1096" s="169">
        <f t="shared" si="2"/>
        <v>0</v>
      </c>
      <c r="AA1096" s="167">
        <f t="shared" si="3"/>
        <v>0</v>
      </c>
      <c r="AB1096" s="161"/>
      <c r="AC1096" s="161">
        <f t="shared" si="4"/>
        <v>0</v>
      </c>
      <c r="AD1096" s="161">
        <f t="shared" si="5"/>
        <v>0</v>
      </c>
      <c r="AE1096" s="161">
        <f t="shared" si="6"/>
        <v>0</v>
      </c>
      <c r="AF1096" s="167">
        <f t="shared" si="7"/>
        <v>0</v>
      </c>
      <c r="AG1096" s="167">
        <f t="shared" si="8"/>
        <v>0</v>
      </c>
      <c r="AH1096" s="158"/>
      <c r="AI1096" s="158"/>
    </row>
    <row r="1097" ht="12.75" customHeight="1">
      <c r="B1097" s="160" t="str">
        <f>iferror(VLOOKUP((LEFT(A1097,6)),CUSTOMER_DETAILS,2,FALSE),"-")</f>
        <v>-</v>
      </c>
      <c r="C1097" s="161" t="s">
        <v>89</v>
      </c>
      <c r="D1097" s="162"/>
      <c r="E1097" s="161" t="s">
        <v>89</v>
      </c>
      <c r="F1097" s="30" t="s">
        <v>89</v>
      </c>
      <c r="G1097" s="30" t="s">
        <v>89</v>
      </c>
      <c r="H1097" s="30" t="s">
        <v>89</v>
      </c>
      <c r="I1097" s="48" t="s">
        <v>108</v>
      </c>
      <c r="J1097" s="188" t="str">
        <f t="shared" si="15"/>
        <v/>
      </c>
      <c r="L1097" s="48" t="s">
        <v>108</v>
      </c>
      <c r="O1097" s="30" t="s">
        <v>89</v>
      </c>
      <c r="Q1097" s="192"/>
      <c r="R1097" s="161" t="str">
        <f>IFERROR(VLOOKUP(Q1097,'PRODUCT TABLE'!$A$2:$B$26,2,FALSE),"-")</f>
        <v>-</v>
      </c>
      <c r="V1097" s="161">
        <f t="shared" si="14"/>
        <v>0</v>
      </c>
      <c r="Y1097" s="30"/>
      <c r="Z1097" s="169">
        <f t="shared" si="2"/>
        <v>0</v>
      </c>
      <c r="AA1097" s="167">
        <f t="shared" si="3"/>
        <v>0</v>
      </c>
      <c r="AB1097" s="161"/>
      <c r="AC1097" s="161">
        <f t="shared" si="4"/>
        <v>0</v>
      </c>
      <c r="AD1097" s="161">
        <f t="shared" si="5"/>
        <v>0</v>
      </c>
      <c r="AE1097" s="161">
        <f t="shared" si="6"/>
        <v>0</v>
      </c>
      <c r="AF1097" s="167">
        <f t="shared" si="7"/>
        <v>0</v>
      </c>
      <c r="AG1097" s="167">
        <f t="shared" si="8"/>
        <v>0</v>
      </c>
      <c r="AH1097" s="158"/>
      <c r="AI1097" s="158"/>
    </row>
    <row r="1098" ht="12.75" customHeight="1">
      <c r="B1098" s="160" t="str">
        <f>iferror(VLOOKUP((LEFT(A1098,6)),CUSTOMER_DETAILS,2,FALSE),"-")</f>
        <v>-</v>
      </c>
      <c r="C1098" s="161" t="s">
        <v>89</v>
      </c>
      <c r="D1098" s="162"/>
      <c r="E1098" s="161" t="s">
        <v>89</v>
      </c>
      <c r="F1098" s="30" t="s">
        <v>89</v>
      </c>
      <c r="G1098" s="30" t="s">
        <v>89</v>
      </c>
      <c r="H1098" s="30" t="s">
        <v>89</v>
      </c>
      <c r="I1098" s="48" t="s">
        <v>108</v>
      </c>
      <c r="J1098" s="188" t="str">
        <f t="shared" si="15"/>
        <v/>
      </c>
      <c r="L1098" s="48" t="s">
        <v>108</v>
      </c>
      <c r="O1098" s="30" t="s">
        <v>89</v>
      </c>
      <c r="Q1098" s="192"/>
      <c r="R1098" s="161" t="str">
        <f>IFERROR(VLOOKUP(Q1098,'PRODUCT TABLE'!$A$2:$B$26,2,FALSE),"-")</f>
        <v>-</v>
      </c>
      <c r="V1098" s="161">
        <f t="shared" si="14"/>
        <v>0</v>
      </c>
      <c r="Y1098" s="30"/>
      <c r="Z1098" s="169">
        <f t="shared" si="2"/>
        <v>0</v>
      </c>
      <c r="AA1098" s="167">
        <f t="shared" si="3"/>
        <v>0</v>
      </c>
      <c r="AB1098" s="161"/>
      <c r="AC1098" s="161">
        <f t="shared" si="4"/>
        <v>0</v>
      </c>
      <c r="AD1098" s="161">
        <f t="shared" si="5"/>
        <v>0</v>
      </c>
      <c r="AE1098" s="161">
        <f t="shared" si="6"/>
        <v>0</v>
      </c>
      <c r="AF1098" s="167">
        <f t="shared" si="7"/>
        <v>0</v>
      </c>
      <c r="AG1098" s="167">
        <f t="shared" si="8"/>
        <v>0</v>
      </c>
      <c r="AH1098" s="158"/>
      <c r="AI1098" s="158"/>
    </row>
    <row r="1099" ht="12.75" customHeight="1">
      <c r="B1099" s="160" t="str">
        <f>iferror(VLOOKUP((LEFT(A1099,6)),CUSTOMER_DETAILS,2,FALSE),"-")</f>
        <v>-</v>
      </c>
      <c r="C1099" s="161" t="s">
        <v>89</v>
      </c>
      <c r="D1099" s="162"/>
      <c r="E1099" s="161" t="s">
        <v>89</v>
      </c>
      <c r="F1099" s="30" t="s">
        <v>89</v>
      </c>
      <c r="G1099" s="30" t="s">
        <v>89</v>
      </c>
      <c r="H1099" s="30" t="s">
        <v>89</v>
      </c>
      <c r="I1099" s="48" t="s">
        <v>108</v>
      </c>
      <c r="J1099" s="188" t="str">
        <f t="shared" si="15"/>
        <v/>
      </c>
      <c r="L1099" s="48" t="s">
        <v>108</v>
      </c>
      <c r="O1099" s="30" t="s">
        <v>89</v>
      </c>
      <c r="Q1099" s="192"/>
      <c r="R1099" s="161" t="str">
        <f>IFERROR(VLOOKUP(Q1099,'PRODUCT TABLE'!$A$2:$B$26,2,FALSE),"-")</f>
        <v>-</v>
      </c>
      <c r="V1099" s="161">
        <f t="shared" si="14"/>
        <v>0</v>
      </c>
      <c r="Y1099" s="30"/>
      <c r="Z1099" s="169">
        <f t="shared" si="2"/>
        <v>0</v>
      </c>
      <c r="AA1099" s="167">
        <f t="shared" si="3"/>
        <v>0</v>
      </c>
      <c r="AB1099" s="161"/>
      <c r="AC1099" s="161">
        <f t="shared" si="4"/>
        <v>0</v>
      </c>
      <c r="AD1099" s="161">
        <f t="shared" si="5"/>
        <v>0</v>
      </c>
      <c r="AE1099" s="161">
        <f t="shared" si="6"/>
        <v>0</v>
      </c>
      <c r="AF1099" s="167">
        <f t="shared" si="7"/>
        <v>0</v>
      </c>
      <c r="AG1099" s="167">
        <f t="shared" si="8"/>
        <v>0</v>
      </c>
      <c r="AH1099" s="158"/>
      <c r="AI1099" s="158"/>
    </row>
    <row r="1100" ht="12.75" customHeight="1">
      <c r="B1100" s="160" t="str">
        <f>iferror(VLOOKUP((LEFT(A1100,6)),CUSTOMER_DETAILS,2,FALSE),"-")</f>
        <v>-</v>
      </c>
      <c r="C1100" s="161" t="s">
        <v>89</v>
      </c>
      <c r="D1100" s="162"/>
      <c r="E1100" s="161" t="s">
        <v>89</v>
      </c>
      <c r="F1100" s="30" t="s">
        <v>89</v>
      </c>
      <c r="G1100" s="30" t="s">
        <v>89</v>
      </c>
      <c r="H1100" s="30" t="s">
        <v>89</v>
      </c>
      <c r="I1100" s="48" t="s">
        <v>108</v>
      </c>
      <c r="J1100" s="188" t="str">
        <f t="shared" si="15"/>
        <v/>
      </c>
      <c r="L1100" s="48" t="s">
        <v>108</v>
      </c>
      <c r="O1100" s="30" t="s">
        <v>89</v>
      </c>
      <c r="Q1100" s="192"/>
      <c r="R1100" s="161" t="str">
        <f>IFERROR(VLOOKUP(Q1100,'PRODUCT TABLE'!$A$2:$B$26,2,FALSE),"-")</f>
        <v>-</v>
      </c>
      <c r="V1100" s="161">
        <f t="shared" si="14"/>
        <v>0</v>
      </c>
      <c r="Y1100" s="30"/>
      <c r="Z1100" s="169">
        <f t="shared" si="2"/>
        <v>0</v>
      </c>
      <c r="AA1100" s="167">
        <f t="shared" si="3"/>
        <v>0</v>
      </c>
      <c r="AB1100" s="161"/>
      <c r="AC1100" s="161">
        <f t="shared" si="4"/>
        <v>0</v>
      </c>
      <c r="AD1100" s="161">
        <f t="shared" si="5"/>
        <v>0</v>
      </c>
      <c r="AE1100" s="161">
        <f t="shared" si="6"/>
        <v>0</v>
      </c>
      <c r="AF1100" s="167">
        <f t="shared" si="7"/>
        <v>0</v>
      </c>
      <c r="AG1100" s="167">
        <f t="shared" si="8"/>
        <v>0</v>
      </c>
      <c r="AH1100" s="158"/>
      <c r="AI1100" s="158"/>
    </row>
    <row r="1101" ht="12.75" customHeight="1">
      <c r="B1101" s="160" t="str">
        <f>iferror(VLOOKUP((LEFT(A1101,6)),CUSTOMER_DETAILS,2,FALSE),"-")</f>
        <v>-</v>
      </c>
      <c r="C1101" s="161" t="s">
        <v>89</v>
      </c>
      <c r="D1101" s="162"/>
      <c r="E1101" s="161" t="s">
        <v>89</v>
      </c>
      <c r="F1101" s="30" t="s">
        <v>89</v>
      </c>
      <c r="G1101" s="30" t="s">
        <v>89</v>
      </c>
      <c r="H1101" s="30" t="s">
        <v>89</v>
      </c>
      <c r="I1101" s="48" t="s">
        <v>108</v>
      </c>
      <c r="J1101" s="188" t="str">
        <f t="shared" si="15"/>
        <v/>
      </c>
      <c r="L1101" s="48" t="s">
        <v>108</v>
      </c>
      <c r="O1101" s="30" t="s">
        <v>89</v>
      </c>
      <c r="Q1101" s="192"/>
      <c r="R1101" s="161" t="str">
        <f>IFERROR(VLOOKUP(Q1101,'PRODUCT TABLE'!$A$2:$B$26,2,FALSE),"-")</f>
        <v>-</v>
      </c>
      <c r="V1101" s="161">
        <f t="shared" si="14"/>
        <v>0</v>
      </c>
      <c r="Y1101" s="30"/>
      <c r="Z1101" s="169">
        <f t="shared" si="2"/>
        <v>0</v>
      </c>
      <c r="AA1101" s="167">
        <f t="shared" si="3"/>
        <v>0</v>
      </c>
      <c r="AB1101" s="161"/>
      <c r="AC1101" s="161">
        <f t="shared" si="4"/>
        <v>0</v>
      </c>
      <c r="AD1101" s="161">
        <f t="shared" si="5"/>
        <v>0</v>
      </c>
      <c r="AE1101" s="161">
        <f t="shared" si="6"/>
        <v>0</v>
      </c>
      <c r="AF1101" s="167">
        <f t="shared" si="7"/>
        <v>0</v>
      </c>
      <c r="AG1101" s="167">
        <f t="shared" si="8"/>
        <v>0</v>
      </c>
      <c r="AH1101" s="158"/>
      <c r="AI1101" s="158"/>
    </row>
    <row r="1102" ht="12.75" customHeight="1">
      <c r="B1102" s="160" t="str">
        <f>iferror(VLOOKUP((LEFT(A1102,6)),CUSTOMER_DETAILS,2,FALSE),"-")</f>
        <v>-</v>
      </c>
      <c r="C1102" s="161" t="s">
        <v>89</v>
      </c>
      <c r="D1102" s="162"/>
      <c r="E1102" s="161" t="s">
        <v>89</v>
      </c>
      <c r="F1102" s="30" t="s">
        <v>89</v>
      </c>
      <c r="G1102" s="30" t="s">
        <v>89</v>
      </c>
      <c r="H1102" s="30" t="s">
        <v>89</v>
      </c>
      <c r="I1102" s="48" t="s">
        <v>108</v>
      </c>
      <c r="J1102" s="188" t="str">
        <f t="shared" si="15"/>
        <v/>
      </c>
      <c r="L1102" s="48" t="s">
        <v>108</v>
      </c>
      <c r="O1102" s="30" t="s">
        <v>89</v>
      </c>
      <c r="Q1102" s="192"/>
      <c r="R1102" s="161" t="str">
        <f>IFERROR(VLOOKUP(Q1102,'PRODUCT TABLE'!$A$2:$B$26,2,FALSE),"-")</f>
        <v>-</v>
      </c>
      <c r="V1102" s="161">
        <f t="shared" si="14"/>
        <v>0</v>
      </c>
      <c r="Y1102" s="30"/>
      <c r="Z1102" s="169">
        <f t="shared" si="2"/>
        <v>0</v>
      </c>
      <c r="AA1102" s="167">
        <f t="shared" si="3"/>
        <v>0</v>
      </c>
      <c r="AB1102" s="161"/>
      <c r="AC1102" s="161">
        <f t="shared" si="4"/>
        <v>0</v>
      </c>
      <c r="AD1102" s="161">
        <f t="shared" si="5"/>
        <v>0</v>
      </c>
      <c r="AE1102" s="161">
        <f t="shared" si="6"/>
        <v>0</v>
      </c>
      <c r="AF1102" s="167">
        <f t="shared" si="7"/>
        <v>0</v>
      </c>
      <c r="AG1102" s="167">
        <f t="shared" si="8"/>
        <v>0</v>
      </c>
      <c r="AH1102" s="158"/>
      <c r="AI1102" s="158"/>
    </row>
    <row r="1103" ht="12.75" customHeight="1">
      <c r="B1103" s="160" t="str">
        <f>iferror(VLOOKUP((LEFT(A1103,6)),CUSTOMER_DETAILS,2,FALSE),"-")</f>
        <v>-</v>
      </c>
      <c r="C1103" s="161" t="s">
        <v>89</v>
      </c>
      <c r="D1103" s="162"/>
      <c r="E1103" s="161" t="s">
        <v>89</v>
      </c>
      <c r="F1103" s="30" t="s">
        <v>89</v>
      </c>
      <c r="G1103" s="30" t="s">
        <v>89</v>
      </c>
      <c r="H1103" s="30" t="s">
        <v>89</v>
      </c>
      <c r="I1103" s="48" t="s">
        <v>108</v>
      </c>
      <c r="J1103" s="188" t="str">
        <f t="shared" si="15"/>
        <v/>
      </c>
      <c r="L1103" s="48" t="s">
        <v>108</v>
      </c>
      <c r="O1103" s="30" t="s">
        <v>89</v>
      </c>
      <c r="Q1103" s="192"/>
      <c r="R1103" s="161" t="str">
        <f>IFERROR(VLOOKUP(Q1103,'PRODUCT TABLE'!$A$2:$B$26,2,FALSE),"-")</f>
        <v>-</v>
      </c>
      <c r="V1103" s="161">
        <f t="shared" si="14"/>
        <v>0</v>
      </c>
      <c r="Y1103" s="30"/>
      <c r="Z1103" s="169">
        <f t="shared" si="2"/>
        <v>0</v>
      </c>
      <c r="AA1103" s="167">
        <f t="shared" si="3"/>
        <v>0</v>
      </c>
      <c r="AB1103" s="161"/>
      <c r="AC1103" s="161">
        <f t="shared" si="4"/>
        <v>0</v>
      </c>
      <c r="AD1103" s="161">
        <f t="shared" si="5"/>
        <v>0</v>
      </c>
      <c r="AE1103" s="161">
        <f t="shared" si="6"/>
        <v>0</v>
      </c>
      <c r="AF1103" s="167">
        <f t="shared" si="7"/>
        <v>0</v>
      </c>
      <c r="AG1103" s="167">
        <f t="shared" si="8"/>
        <v>0</v>
      </c>
      <c r="AH1103" s="158"/>
      <c r="AI1103" s="158"/>
    </row>
    <row r="1104" ht="12.75" customHeight="1">
      <c r="B1104" s="160" t="str">
        <f>iferror(VLOOKUP((LEFT(A1104,6)),CUSTOMER_DETAILS,2,FALSE),"-")</f>
        <v>-</v>
      </c>
      <c r="C1104" s="161" t="s">
        <v>89</v>
      </c>
      <c r="D1104" s="162"/>
      <c r="E1104" s="161" t="s">
        <v>89</v>
      </c>
      <c r="F1104" s="30" t="s">
        <v>89</v>
      </c>
      <c r="G1104" s="30" t="s">
        <v>89</v>
      </c>
      <c r="H1104" s="30" t="s">
        <v>89</v>
      </c>
      <c r="I1104" s="48" t="s">
        <v>108</v>
      </c>
      <c r="J1104" s="188" t="str">
        <f t="shared" si="15"/>
        <v/>
      </c>
      <c r="L1104" s="48" t="s">
        <v>108</v>
      </c>
      <c r="O1104" s="30" t="s">
        <v>89</v>
      </c>
      <c r="Q1104" s="192"/>
      <c r="R1104" s="161" t="str">
        <f>IFERROR(VLOOKUP(Q1104,'PRODUCT TABLE'!$A$2:$B$26,2,FALSE),"-")</f>
        <v>-</v>
      </c>
      <c r="V1104" s="161">
        <f t="shared" si="14"/>
        <v>0</v>
      </c>
      <c r="Y1104" s="30"/>
      <c r="Z1104" s="169">
        <f t="shared" si="2"/>
        <v>0</v>
      </c>
      <c r="AA1104" s="167">
        <f t="shared" si="3"/>
        <v>0</v>
      </c>
      <c r="AB1104" s="161"/>
      <c r="AC1104" s="161">
        <f t="shared" si="4"/>
        <v>0</v>
      </c>
      <c r="AD1104" s="161">
        <f t="shared" si="5"/>
        <v>0</v>
      </c>
      <c r="AE1104" s="161">
        <f t="shared" si="6"/>
        <v>0</v>
      </c>
      <c r="AF1104" s="167">
        <f t="shared" si="7"/>
        <v>0</v>
      </c>
      <c r="AG1104" s="167">
        <f t="shared" si="8"/>
        <v>0</v>
      </c>
      <c r="AH1104" s="158"/>
      <c r="AI1104" s="158"/>
    </row>
    <row r="1105" ht="12.75" customHeight="1">
      <c r="B1105" s="160" t="str">
        <f>iferror(VLOOKUP((LEFT(A1105,6)),CUSTOMER_DETAILS,2,FALSE),"-")</f>
        <v>-</v>
      </c>
      <c r="C1105" s="161" t="s">
        <v>89</v>
      </c>
      <c r="D1105" s="162"/>
      <c r="E1105" s="161" t="s">
        <v>89</v>
      </c>
      <c r="F1105" s="30" t="s">
        <v>89</v>
      </c>
      <c r="G1105" s="30" t="s">
        <v>89</v>
      </c>
      <c r="H1105" s="30" t="s">
        <v>89</v>
      </c>
      <c r="I1105" s="48" t="s">
        <v>108</v>
      </c>
      <c r="J1105" s="188" t="str">
        <f t="shared" si="15"/>
        <v/>
      </c>
      <c r="L1105" s="48" t="s">
        <v>108</v>
      </c>
      <c r="O1105" s="30" t="s">
        <v>89</v>
      </c>
      <c r="Q1105" s="192"/>
      <c r="R1105" s="161" t="str">
        <f>IFERROR(VLOOKUP(Q1105,'PRODUCT TABLE'!$A$2:$B$26,2,FALSE),"-")</f>
        <v>-</v>
      </c>
      <c r="V1105" s="161">
        <f t="shared" si="14"/>
        <v>0</v>
      </c>
      <c r="Y1105" s="30"/>
      <c r="Z1105" s="169">
        <f t="shared" si="2"/>
        <v>0</v>
      </c>
      <c r="AA1105" s="167">
        <f t="shared" si="3"/>
        <v>0</v>
      </c>
      <c r="AB1105" s="161"/>
      <c r="AC1105" s="161">
        <f t="shared" si="4"/>
        <v>0</v>
      </c>
      <c r="AD1105" s="161">
        <f t="shared" si="5"/>
        <v>0</v>
      </c>
      <c r="AE1105" s="161">
        <f t="shared" si="6"/>
        <v>0</v>
      </c>
      <c r="AF1105" s="167">
        <f t="shared" si="7"/>
        <v>0</v>
      </c>
      <c r="AG1105" s="167">
        <f t="shared" si="8"/>
        <v>0</v>
      </c>
      <c r="AH1105" s="158"/>
      <c r="AI1105" s="158"/>
    </row>
    <row r="1106" ht="12.75" customHeight="1">
      <c r="B1106" s="160" t="str">
        <f>iferror(VLOOKUP((LEFT(A1106,6)),CUSTOMER_DETAILS,2,FALSE),"-")</f>
        <v>-</v>
      </c>
      <c r="C1106" s="161" t="s">
        <v>89</v>
      </c>
      <c r="D1106" s="162"/>
      <c r="E1106" s="161" t="s">
        <v>89</v>
      </c>
      <c r="F1106" s="30" t="s">
        <v>89</v>
      </c>
      <c r="G1106" s="30" t="s">
        <v>89</v>
      </c>
      <c r="H1106" s="30" t="s">
        <v>89</v>
      </c>
      <c r="I1106" s="48" t="s">
        <v>108</v>
      </c>
      <c r="J1106" s="188" t="str">
        <f t="shared" si="15"/>
        <v/>
      </c>
      <c r="L1106" s="48" t="s">
        <v>108</v>
      </c>
      <c r="O1106" s="30" t="s">
        <v>89</v>
      </c>
      <c r="Q1106" s="192"/>
      <c r="R1106" s="161" t="str">
        <f>IFERROR(VLOOKUP(Q1106,'PRODUCT TABLE'!$A$2:$B$26,2,FALSE),"-")</f>
        <v>-</v>
      </c>
      <c r="V1106" s="161">
        <f t="shared" si="14"/>
        <v>0</v>
      </c>
      <c r="Y1106" s="30"/>
      <c r="Z1106" s="169">
        <f t="shared" si="2"/>
        <v>0</v>
      </c>
      <c r="AA1106" s="167">
        <f t="shared" si="3"/>
        <v>0</v>
      </c>
      <c r="AB1106" s="161"/>
      <c r="AC1106" s="161">
        <f t="shared" si="4"/>
        <v>0</v>
      </c>
      <c r="AD1106" s="161">
        <f t="shared" si="5"/>
        <v>0</v>
      </c>
      <c r="AE1106" s="161">
        <f t="shared" si="6"/>
        <v>0</v>
      </c>
      <c r="AF1106" s="167">
        <f t="shared" si="7"/>
        <v>0</v>
      </c>
      <c r="AG1106" s="167">
        <f t="shared" si="8"/>
        <v>0</v>
      </c>
      <c r="AH1106" s="158"/>
      <c r="AI1106" s="158"/>
    </row>
    <row r="1107" ht="12.75" customHeight="1">
      <c r="B1107" s="160" t="str">
        <f>iferror(VLOOKUP((LEFT(A1107,6)),CUSTOMER_DETAILS,2,FALSE),"-")</f>
        <v>-</v>
      </c>
      <c r="C1107" s="161" t="s">
        <v>89</v>
      </c>
      <c r="D1107" s="162"/>
      <c r="E1107" s="161" t="s">
        <v>89</v>
      </c>
      <c r="F1107" s="30" t="s">
        <v>89</v>
      </c>
      <c r="G1107" s="30" t="s">
        <v>89</v>
      </c>
      <c r="H1107" s="30" t="s">
        <v>89</v>
      </c>
      <c r="I1107" s="48" t="s">
        <v>108</v>
      </c>
      <c r="J1107" s="188" t="str">
        <f t="shared" si="15"/>
        <v/>
      </c>
      <c r="L1107" s="48" t="s">
        <v>108</v>
      </c>
      <c r="O1107" s="30" t="s">
        <v>89</v>
      </c>
      <c r="Q1107" s="192"/>
      <c r="R1107" s="161" t="str">
        <f>IFERROR(VLOOKUP(Q1107,'PRODUCT TABLE'!$A$2:$B$26,2,FALSE),"-")</f>
        <v>-</v>
      </c>
      <c r="V1107" s="161">
        <f t="shared" si="14"/>
        <v>0</v>
      </c>
      <c r="Y1107" s="30"/>
      <c r="Z1107" s="169">
        <f t="shared" si="2"/>
        <v>0</v>
      </c>
      <c r="AA1107" s="167">
        <f t="shared" si="3"/>
        <v>0</v>
      </c>
      <c r="AB1107" s="161"/>
      <c r="AC1107" s="161">
        <f t="shared" si="4"/>
        <v>0</v>
      </c>
      <c r="AD1107" s="161">
        <f t="shared" si="5"/>
        <v>0</v>
      </c>
      <c r="AE1107" s="161">
        <f t="shared" si="6"/>
        <v>0</v>
      </c>
      <c r="AF1107" s="167">
        <f t="shared" si="7"/>
        <v>0</v>
      </c>
      <c r="AG1107" s="167">
        <f t="shared" si="8"/>
        <v>0</v>
      </c>
      <c r="AH1107" s="158"/>
      <c r="AI1107" s="158"/>
    </row>
    <row r="1108" ht="12.75" customHeight="1">
      <c r="B1108" s="160" t="str">
        <f>iferror(VLOOKUP((LEFT(A1108,6)),CUSTOMER_DETAILS,2,FALSE),"-")</f>
        <v>-</v>
      </c>
      <c r="C1108" s="161" t="s">
        <v>89</v>
      </c>
      <c r="D1108" s="162"/>
      <c r="E1108" s="161" t="s">
        <v>89</v>
      </c>
      <c r="F1108" s="30" t="s">
        <v>89</v>
      </c>
      <c r="G1108" s="30" t="s">
        <v>89</v>
      </c>
      <c r="H1108" s="30" t="s">
        <v>89</v>
      </c>
      <c r="I1108" s="48" t="s">
        <v>108</v>
      </c>
      <c r="J1108" s="188" t="str">
        <f t="shared" si="15"/>
        <v/>
      </c>
      <c r="L1108" s="48" t="s">
        <v>108</v>
      </c>
      <c r="O1108" s="30" t="s">
        <v>89</v>
      </c>
      <c r="Q1108" s="192"/>
      <c r="R1108" s="161" t="str">
        <f>IFERROR(VLOOKUP(Q1108,'PRODUCT TABLE'!$A$2:$B$26,2,FALSE),"-")</f>
        <v>-</v>
      </c>
      <c r="V1108" s="161">
        <f t="shared" si="14"/>
        <v>0</v>
      </c>
      <c r="Y1108" s="30"/>
      <c r="Z1108" s="169">
        <f t="shared" si="2"/>
        <v>0</v>
      </c>
      <c r="AA1108" s="167">
        <f t="shared" si="3"/>
        <v>0</v>
      </c>
      <c r="AB1108" s="161"/>
      <c r="AC1108" s="161">
        <f t="shared" si="4"/>
        <v>0</v>
      </c>
      <c r="AD1108" s="161">
        <f t="shared" si="5"/>
        <v>0</v>
      </c>
      <c r="AE1108" s="161">
        <f t="shared" si="6"/>
        <v>0</v>
      </c>
      <c r="AF1108" s="167">
        <f t="shared" si="7"/>
        <v>0</v>
      </c>
      <c r="AG1108" s="167">
        <f t="shared" si="8"/>
        <v>0</v>
      </c>
      <c r="AH1108" s="158"/>
      <c r="AI1108" s="158"/>
    </row>
    <row r="1109" ht="12.75" customHeight="1">
      <c r="B1109" s="160" t="str">
        <f>iferror(VLOOKUP((LEFT(A1109,6)),CUSTOMER_DETAILS,2,FALSE),"-")</f>
        <v>-</v>
      </c>
      <c r="C1109" s="161" t="s">
        <v>89</v>
      </c>
      <c r="D1109" s="162"/>
      <c r="E1109" s="161" t="s">
        <v>89</v>
      </c>
      <c r="F1109" s="30" t="s">
        <v>89</v>
      </c>
      <c r="G1109" s="30" t="s">
        <v>89</v>
      </c>
      <c r="H1109" s="30" t="s">
        <v>89</v>
      </c>
      <c r="I1109" s="48" t="s">
        <v>108</v>
      </c>
      <c r="J1109" s="188" t="str">
        <f t="shared" si="15"/>
        <v/>
      </c>
      <c r="L1109" s="48" t="s">
        <v>108</v>
      </c>
      <c r="O1109" s="30" t="s">
        <v>89</v>
      </c>
      <c r="Q1109" s="192"/>
      <c r="R1109" s="161" t="str">
        <f>IFERROR(VLOOKUP(Q1109,'PRODUCT TABLE'!$A$2:$B$26,2,FALSE),"-")</f>
        <v>-</v>
      </c>
      <c r="V1109" s="161">
        <f t="shared" si="14"/>
        <v>0</v>
      </c>
      <c r="Y1109" s="30"/>
      <c r="Z1109" s="169">
        <f t="shared" si="2"/>
        <v>0</v>
      </c>
      <c r="AA1109" s="167">
        <f t="shared" si="3"/>
        <v>0</v>
      </c>
      <c r="AB1109" s="161"/>
      <c r="AC1109" s="161">
        <f t="shared" si="4"/>
        <v>0</v>
      </c>
      <c r="AD1109" s="161">
        <f t="shared" si="5"/>
        <v>0</v>
      </c>
      <c r="AE1109" s="161">
        <f t="shared" si="6"/>
        <v>0</v>
      </c>
      <c r="AF1109" s="167">
        <f t="shared" si="7"/>
        <v>0</v>
      </c>
      <c r="AG1109" s="167">
        <f t="shared" si="8"/>
        <v>0</v>
      </c>
      <c r="AH1109" s="158"/>
      <c r="AI1109" s="158"/>
    </row>
    <row r="1110" ht="12.75" customHeight="1">
      <c r="B1110" s="160" t="str">
        <f>iferror(VLOOKUP((LEFT(A1110,6)),CUSTOMER_DETAILS,2,FALSE),"-")</f>
        <v>-</v>
      </c>
      <c r="C1110" s="161" t="s">
        <v>89</v>
      </c>
      <c r="D1110" s="162"/>
      <c r="E1110" s="161" t="s">
        <v>89</v>
      </c>
      <c r="F1110" s="30" t="s">
        <v>89</v>
      </c>
      <c r="G1110" s="30" t="s">
        <v>89</v>
      </c>
      <c r="H1110" s="30" t="s">
        <v>89</v>
      </c>
      <c r="I1110" s="48" t="s">
        <v>108</v>
      </c>
      <c r="J1110" s="188" t="str">
        <f t="shared" si="15"/>
        <v/>
      </c>
      <c r="L1110" s="48" t="s">
        <v>108</v>
      </c>
      <c r="O1110" s="30" t="s">
        <v>89</v>
      </c>
      <c r="Q1110" s="192"/>
      <c r="R1110" s="161" t="str">
        <f>IFERROR(VLOOKUP(Q1110,'PRODUCT TABLE'!$A$2:$B$26,2,FALSE),"-")</f>
        <v>-</v>
      </c>
      <c r="V1110" s="161">
        <f t="shared" si="14"/>
        <v>0</v>
      </c>
      <c r="Y1110" s="30"/>
      <c r="Z1110" s="169">
        <f t="shared" si="2"/>
        <v>0</v>
      </c>
      <c r="AA1110" s="167">
        <f t="shared" si="3"/>
        <v>0</v>
      </c>
      <c r="AB1110" s="161"/>
      <c r="AC1110" s="161">
        <f t="shared" si="4"/>
        <v>0</v>
      </c>
      <c r="AD1110" s="161">
        <f t="shared" si="5"/>
        <v>0</v>
      </c>
      <c r="AE1110" s="161">
        <f t="shared" si="6"/>
        <v>0</v>
      </c>
      <c r="AF1110" s="167">
        <f t="shared" si="7"/>
        <v>0</v>
      </c>
      <c r="AG1110" s="167">
        <f t="shared" si="8"/>
        <v>0</v>
      </c>
      <c r="AH1110" s="158"/>
      <c r="AI1110" s="158"/>
    </row>
    <row r="1111" ht="12.75" customHeight="1">
      <c r="B1111" s="160" t="str">
        <f>iferror(VLOOKUP((LEFT(A1111,6)),CUSTOMER_DETAILS,2,FALSE),"-")</f>
        <v>-</v>
      </c>
      <c r="C1111" s="161" t="s">
        <v>89</v>
      </c>
      <c r="D1111" s="162"/>
      <c r="E1111" s="161" t="s">
        <v>89</v>
      </c>
      <c r="F1111" s="30" t="s">
        <v>89</v>
      </c>
      <c r="G1111" s="30" t="s">
        <v>89</v>
      </c>
      <c r="H1111" s="30" t="s">
        <v>89</v>
      </c>
      <c r="I1111" s="48" t="s">
        <v>108</v>
      </c>
      <c r="J1111" s="188" t="str">
        <f t="shared" si="15"/>
        <v/>
      </c>
      <c r="L1111" s="48" t="s">
        <v>108</v>
      </c>
      <c r="O1111" s="30" t="s">
        <v>89</v>
      </c>
      <c r="Q1111" s="192"/>
      <c r="R1111" s="161" t="str">
        <f>IFERROR(VLOOKUP(Q1111,'PRODUCT TABLE'!$A$2:$B$26,2,FALSE),"-")</f>
        <v>-</v>
      </c>
      <c r="V1111" s="161">
        <f t="shared" si="14"/>
        <v>0</v>
      </c>
      <c r="Y1111" s="30"/>
      <c r="Z1111" s="169">
        <f t="shared" si="2"/>
        <v>0</v>
      </c>
      <c r="AA1111" s="167">
        <f t="shared" si="3"/>
        <v>0</v>
      </c>
      <c r="AB1111" s="161"/>
      <c r="AC1111" s="161">
        <f t="shared" si="4"/>
        <v>0</v>
      </c>
      <c r="AD1111" s="161">
        <f t="shared" si="5"/>
        <v>0</v>
      </c>
      <c r="AE1111" s="161">
        <f t="shared" si="6"/>
        <v>0</v>
      </c>
      <c r="AF1111" s="167">
        <f t="shared" si="7"/>
        <v>0</v>
      </c>
      <c r="AG1111" s="167">
        <f t="shared" si="8"/>
        <v>0</v>
      </c>
      <c r="AH1111" s="158"/>
      <c r="AI1111" s="158"/>
    </row>
    <row r="1112" ht="12.75" customHeight="1">
      <c r="B1112" s="160" t="str">
        <f>iferror(VLOOKUP((LEFT(A1112,6)),CUSTOMER_DETAILS,2,FALSE),"-")</f>
        <v>-</v>
      </c>
      <c r="C1112" s="161" t="s">
        <v>89</v>
      </c>
      <c r="D1112" s="162"/>
      <c r="E1112" s="161" t="s">
        <v>89</v>
      </c>
      <c r="F1112" s="30" t="s">
        <v>89</v>
      </c>
      <c r="G1112" s="30" t="s">
        <v>89</v>
      </c>
      <c r="H1112" s="30" t="s">
        <v>89</v>
      </c>
      <c r="I1112" s="48" t="s">
        <v>108</v>
      </c>
      <c r="J1112" s="188" t="str">
        <f t="shared" si="15"/>
        <v/>
      </c>
      <c r="L1112" s="48" t="s">
        <v>108</v>
      </c>
      <c r="O1112" s="30" t="s">
        <v>89</v>
      </c>
      <c r="Q1112" s="192"/>
      <c r="R1112" s="161" t="str">
        <f>IFERROR(VLOOKUP(Q1112,'PRODUCT TABLE'!$A$2:$B$26,2,FALSE),"-")</f>
        <v>-</v>
      </c>
      <c r="V1112" s="161">
        <f t="shared" si="14"/>
        <v>0</v>
      </c>
      <c r="Y1112" s="30"/>
      <c r="Z1112" s="169">
        <f t="shared" si="2"/>
        <v>0</v>
      </c>
      <c r="AA1112" s="167">
        <f t="shared" si="3"/>
        <v>0</v>
      </c>
      <c r="AB1112" s="161"/>
      <c r="AC1112" s="161">
        <f t="shared" si="4"/>
        <v>0</v>
      </c>
      <c r="AD1112" s="161">
        <f t="shared" si="5"/>
        <v>0</v>
      </c>
      <c r="AE1112" s="161">
        <f t="shared" si="6"/>
        <v>0</v>
      </c>
      <c r="AF1112" s="167">
        <f t="shared" si="7"/>
        <v>0</v>
      </c>
      <c r="AG1112" s="167">
        <f t="shared" si="8"/>
        <v>0</v>
      </c>
      <c r="AH1112" s="158"/>
      <c r="AI1112" s="158"/>
    </row>
    <row r="1113" ht="12.75" customHeight="1">
      <c r="B1113" s="160" t="str">
        <f>iferror(VLOOKUP((LEFT(A1113,6)),CUSTOMER_DETAILS,2,FALSE),"-")</f>
        <v>-</v>
      </c>
      <c r="C1113" s="161" t="s">
        <v>89</v>
      </c>
      <c r="D1113" s="162"/>
      <c r="E1113" s="161" t="s">
        <v>89</v>
      </c>
      <c r="F1113" s="30" t="s">
        <v>89</v>
      </c>
      <c r="G1113" s="30" t="s">
        <v>89</v>
      </c>
      <c r="H1113" s="30" t="s">
        <v>89</v>
      </c>
      <c r="I1113" s="48" t="s">
        <v>108</v>
      </c>
      <c r="J1113" s="188" t="str">
        <f t="shared" si="15"/>
        <v/>
      </c>
      <c r="L1113" s="48" t="s">
        <v>108</v>
      </c>
      <c r="O1113" s="30" t="s">
        <v>89</v>
      </c>
      <c r="Q1113" s="192"/>
      <c r="R1113" s="161" t="str">
        <f>IFERROR(VLOOKUP(Q1113,'PRODUCT TABLE'!$A$2:$B$26,2,FALSE),"-")</f>
        <v>-</v>
      </c>
      <c r="V1113" s="161">
        <f t="shared" si="14"/>
        <v>0</v>
      </c>
      <c r="Y1113" s="30"/>
      <c r="Z1113" s="169">
        <f t="shared" si="2"/>
        <v>0</v>
      </c>
      <c r="AA1113" s="167">
        <f t="shared" si="3"/>
        <v>0</v>
      </c>
      <c r="AB1113" s="161"/>
      <c r="AC1113" s="161">
        <f t="shared" si="4"/>
        <v>0</v>
      </c>
      <c r="AD1113" s="161">
        <f t="shared" si="5"/>
        <v>0</v>
      </c>
      <c r="AE1113" s="161">
        <f t="shared" si="6"/>
        <v>0</v>
      </c>
      <c r="AF1113" s="167">
        <f t="shared" si="7"/>
        <v>0</v>
      </c>
      <c r="AG1113" s="167">
        <f t="shared" si="8"/>
        <v>0</v>
      </c>
      <c r="AH1113" s="158"/>
      <c r="AI1113" s="158"/>
    </row>
    <row r="1114" ht="12.75" customHeight="1">
      <c r="B1114" s="160" t="str">
        <f>iferror(VLOOKUP((LEFT(A1114,6)),CUSTOMER_DETAILS,2,FALSE),"-")</f>
        <v>-</v>
      </c>
      <c r="C1114" s="161" t="s">
        <v>89</v>
      </c>
      <c r="D1114" s="162"/>
      <c r="E1114" s="161" t="s">
        <v>89</v>
      </c>
      <c r="F1114" s="30" t="s">
        <v>89</v>
      </c>
      <c r="G1114" s="30" t="s">
        <v>89</v>
      </c>
      <c r="H1114" s="30" t="s">
        <v>89</v>
      </c>
      <c r="I1114" s="48" t="s">
        <v>108</v>
      </c>
      <c r="J1114" s="188" t="str">
        <f t="shared" si="15"/>
        <v/>
      </c>
      <c r="L1114" s="48" t="s">
        <v>108</v>
      </c>
      <c r="O1114" s="30" t="s">
        <v>89</v>
      </c>
      <c r="Q1114" s="192"/>
      <c r="R1114" s="161" t="str">
        <f>IFERROR(VLOOKUP(Q1114,'PRODUCT TABLE'!$A$2:$B$26,2,FALSE),"-")</f>
        <v>-</v>
      </c>
      <c r="V1114" s="161">
        <f t="shared" si="14"/>
        <v>0</v>
      </c>
      <c r="Y1114" s="30"/>
      <c r="Z1114" s="169">
        <f t="shared" si="2"/>
        <v>0</v>
      </c>
      <c r="AA1114" s="167">
        <f t="shared" si="3"/>
        <v>0</v>
      </c>
      <c r="AB1114" s="161"/>
      <c r="AC1114" s="161">
        <f t="shared" si="4"/>
        <v>0</v>
      </c>
      <c r="AD1114" s="161">
        <f t="shared" si="5"/>
        <v>0</v>
      </c>
      <c r="AE1114" s="161">
        <f t="shared" si="6"/>
        <v>0</v>
      </c>
      <c r="AF1114" s="167">
        <f t="shared" si="7"/>
        <v>0</v>
      </c>
      <c r="AG1114" s="167">
        <f t="shared" si="8"/>
        <v>0</v>
      </c>
      <c r="AH1114" s="158"/>
      <c r="AI1114" s="158"/>
    </row>
    <row r="1115" ht="12.75" customHeight="1">
      <c r="B1115" s="160" t="str">
        <f>iferror(VLOOKUP((LEFT(A1115,6)),CUSTOMER_DETAILS,2,FALSE),"-")</f>
        <v>-</v>
      </c>
      <c r="C1115" s="161" t="s">
        <v>89</v>
      </c>
      <c r="D1115" s="162"/>
      <c r="E1115" s="161" t="s">
        <v>89</v>
      </c>
      <c r="F1115" s="30" t="s">
        <v>89</v>
      </c>
      <c r="G1115" s="30" t="s">
        <v>89</v>
      </c>
      <c r="H1115" s="30" t="s">
        <v>89</v>
      </c>
      <c r="I1115" s="48" t="s">
        <v>108</v>
      </c>
      <c r="J1115" s="188" t="str">
        <f t="shared" si="15"/>
        <v/>
      </c>
      <c r="L1115" s="48" t="s">
        <v>108</v>
      </c>
      <c r="O1115" s="30" t="s">
        <v>89</v>
      </c>
      <c r="Q1115" s="192"/>
      <c r="R1115" s="161" t="str">
        <f>IFERROR(VLOOKUP(Q1115,'PRODUCT TABLE'!$A$2:$B$26,2,FALSE),"-")</f>
        <v>-</v>
      </c>
      <c r="V1115" s="161">
        <f t="shared" si="14"/>
        <v>0</v>
      </c>
      <c r="Y1115" s="30"/>
      <c r="Z1115" s="169">
        <f t="shared" si="2"/>
        <v>0</v>
      </c>
      <c r="AA1115" s="167">
        <f t="shared" si="3"/>
        <v>0</v>
      </c>
      <c r="AB1115" s="161"/>
      <c r="AC1115" s="161">
        <f t="shared" si="4"/>
        <v>0</v>
      </c>
      <c r="AD1115" s="161">
        <f t="shared" si="5"/>
        <v>0</v>
      </c>
      <c r="AE1115" s="161">
        <f t="shared" si="6"/>
        <v>0</v>
      </c>
      <c r="AF1115" s="167">
        <f t="shared" si="7"/>
        <v>0</v>
      </c>
      <c r="AG1115" s="167">
        <f t="shared" si="8"/>
        <v>0</v>
      </c>
      <c r="AH1115" s="158"/>
      <c r="AI1115" s="158"/>
    </row>
    <row r="1116" ht="12.75" customHeight="1">
      <c r="B1116" s="160" t="str">
        <f>iferror(VLOOKUP((LEFT(A1116,6)),CUSTOMER_DETAILS,2,FALSE),"-")</f>
        <v>-</v>
      </c>
      <c r="C1116" s="161" t="s">
        <v>89</v>
      </c>
      <c r="D1116" s="162"/>
      <c r="E1116" s="161" t="s">
        <v>89</v>
      </c>
      <c r="F1116" s="30" t="s">
        <v>89</v>
      </c>
      <c r="G1116" s="30" t="s">
        <v>89</v>
      </c>
      <c r="H1116" s="30" t="s">
        <v>89</v>
      </c>
      <c r="I1116" s="48" t="s">
        <v>108</v>
      </c>
      <c r="J1116" s="188" t="str">
        <f t="shared" si="15"/>
        <v/>
      </c>
      <c r="L1116" s="48" t="s">
        <v>108</v>
      </c>
      <c r="O1116" s="30" t="s">
        <v>89</v>
      </c>
      <c r="Q1116" s="192"/>
      <c r="R1116" s="161" t="str">
        <f>IFERROR(VLOOKUP(Q1116,'PRODUCT TABLE'!$A$2:$B$26,2,FALSE),"-")</f>
        <v>-</v>
      </c>
      <c r="V1116" s="161">
        <f t="shared" si="14"/>
        <v>0</v>
      </c>
      <c r="Y1116" s="30"/>
      <c r="Z1116" s="169">
        <f t="shared" si="2"/>
        <v>0</v>
      </c>
      <c r="AA1116" s="167">
        <f t="shared" si="3"/>
        <v>0</v>
      </c>
      <c r="AB1116" s="161"/>
      <c r="AC1116" s="161">
        <f t="shared" si="4"/>
        <v>0</v>
      </c>
      <c r="AD1116" s="161">
        <f t="shared" si="5"/>
        <v>0</v>
      </c>
      <c r="AE1116" s="161">
        <f t="shared" si="6"/>
        <v>0</v>
      </c>
      <c r="AF1116" s="167">
        <f t="shared" si="7"/>
        <v>0</v>
      </c>
      <c r="AG1116" s="167">
        <f t="shared" si="8"/>
        <v>0</v>
      </c>
      <c r="AH1116" s="158"/>
      <c r="AI1116" s="158"/>
    </row>
    <row r="1117" ht="12.75" customHeight="1">
      <c r="B1117" s="160" t="str">
        <f>iferror(VLOOKUP((LEFT(A1117,6)),CUSTOMER_DETAILS,2,FALSE),"-")</f>
        <v>-</v>
      </c>
      <c r="C1117" s="161" t="s">
        <v>89</v>
      </c>
      <c r="D1117" s="162"/>
      <c r="E1117" s="161" t="s">
        <v>89</v>
      </c>
      <c r="F1117" s="30" t="s">
        <v>89</v>
      </c>
      <c r="G1117" s="30" t="s">
        <v>89</v>
      </c>
      <c r="H1117" s="30" t="s">
        <v>89</v>
      </c>
      <c r="I1117" s="48" t="s">
        <v>108</v>
      </c>
      <c r="J1117" s="188" t="str">
        <f t="shared" si="15"/>
        <v/>
      </c>
      <c r="L1117" s="48" t="s">
        <v>108</v>
      </c>
      <c r="O1117" s="30" t="s">
        <v>89</v>
      </c>
      <c r="Q1117" s="192"/>
      <c r="R1117" s="161" t="str">
        <f>IFERROR(VLOOKUP(Q1117,'PRODUCT TABLE'!$A$2:$B$26,2,FALSE),"-")</f>
        <v>-</v>
      </c>
      <c r="V1117" s="161">
        <f t="shared" si="14"/>
        <v>0</v>
      </c>
      <c r="Y1117" s="30"/>
      <c r="Z1117" s="169">
        <f t="shared" si="2"/>
        <v>0</v>
      </c>
      <c r="AA1117" s="167">
        <f t="shared" si="3"/>
        <v>0</v>
      </c>
      <c r="AB1117" s="161"/>
      <c r="AC1117" s="161">
        <f t="shared" si="4"/>
        <v>0</v>
      </c>
      <c r="AD1117" s="161">
        <f t="shared" si="5"/>
        <v>0</v>
      </c>
      <c r="AE1117" s="161">
        <f t="shared" si="6"/>
        <v>0</v>
      </c>
      <c r="AF1117" s="167">
        <f t="shared" si="7"/>
        <v>0</v>
      </c>
      <c r="AG1117" s="167">
        <f t="shared" si="8"/>
        <v>0</v>
      </c>
      <c r="AH1117" s="158"/>
      <c r="AI1117" s="158"/>
    </row>
    <row r="1118" ht="12.75" customHeight="1">
      <c r="B1118" s="160" t="str">
        <f>iferror(VLOOKUP((LEFT(A1118,6)),CUSTOMER_DETAILS,2,FALSE),"-")</f>
        <v>-</v>
      </c>
      <c r="C1118" s="161" t="s">
        <v>89</v>
      </c>
      <c r="D1118" s="162"/>
      <c r="E1118" s="161" t="s">
        <v>89</v>
      </c>
      <c r="F1118" s="30" t="s">
        <v>89</v>
      </c>
      <c r="G1118" s="30" t="s">
        <v>89</v>
      </c>
      <c r="H1118" s="30" t="s">
        <v>89</v>
      </c>
      <c r="I1118" s="48" t="s">
        <v>108</v>
      </c>
      <c r="J1118" s="188" t="str">
        <f t="shared" si="15"/>
        <v/>
      </c>
      <c r="L1118" s="48" t="s">
        <v>108</v>
      </c>
      <c r="O1118" s="30" t="s">
        <v>89</v>
      </c>
      <c r="Q1118" s="192"/>
      <c r="R1118" s="161" t="str">
        <f>IFERROR(VLOOKUP(Q1118,'PRODUCT TABLE'!$A$2:$B$26,2,FALSE),"-")</f>
        <v>-</v>
      </c>
      <c r="V1118" s="161">
        <f t="shared" si="14"/>
        <v>0</v>
      </c>
      <c r="Y1118" s="30"/>
      <c r="Z1118" s="169">
        <f t="shared" si="2"/>
        <v>0</v>
      </c>
      <c r="AA1118" s="167">
        <f t="shared" si="3"/>
        <v>0</v>
      </c>
      <c r="AB1118" s="161"/>
      <c r="AC1118" s="161">
        <f t="shared" si="4"/>
        <v>0</v>
      </c>
      <c r="AD1118" s="161">
        <f t="shared" si="5"/>
        <v>0</v>
      </c>
      <c r="AE1118" s="161">
        <f t="shared" si="6"/>
        <v>0</v>
      </c>
      <c r="AF1118" s="167">
        <f t="shared" si="7"/>
        <v>0</v>
      </c>
      <c r="AG1118" s="167">
        <f t="shared" si="8"/>
        <v>0</v>
      </c>
      <c r="AH1118" s="158"/>
      <c r="AI1118" s="158"/>
    </row>
    <row r="1119" ht="12.75" customHeight="1">
      <c r="B1119" s="160" t="str">
        <f>iferror(VLOOKUP((LEFT(A1119,6)),CUSTOMER_DETAILS,2,FALSE),"-")</f>
        <v>-</v>
      </c>
      <c r="C1119" s="161" t="s">
        <v>89</v>
      </c>
      <c r="D1119" s="162"/>
      <c r="E1119" s="161" t="s">
        <v>89</v>
      </c>
      <c r="F1119" s="30" t="s">
        <v>89</v>
      </c>
      <c r="G1119" s="30" t="s">
        <v>89</v>
      </c>
      <c r="H1119" s="30" t="s">
        <v>89</v>
      </c>
      <c r="I1119" s="48" t="s">
        <v>108</v>
      </c>
      <c r="J1119" s="188" t="str">
        <f t="shared" si="15"/>
        <v/>
      </c>
      <c r="L1119" s="48" t="s">
        <v>108</v>
      </c>
      <c r="O1119" s="30" t="s">
        <v>89</v>
      </c>
      <c r="Q1119" s="192"/>
      <c r="R1119" s="161" t="str">
        <f>IFERROR(VLOOKUP(Q1119,'PRODUCT TABLE'!$A$2:$B$26,2,FALSE),"-")</f>
        <v>-</v>
      </c>
      <c r="V1119" s="161">
        <f t="shared" si="14"/>
        <v>0</v>
      </c>
      <c r="Y1119" s="30"/>
      <c r="Z1119" s="169">
        <f t="shared" si="2"/>
        <v>0</v>
      </c>
      <c r="AA1119" s="167">
        <f t="shared" si="3"/>
        <v>0</v>
      </c>
      <c r="AB1119" s="161"/>
      <c r="AC1119" s="161">
        <f t="shared" si="4"/>
        <v>0</v>
      </c>
      <c r="AD1119" s="161">
        <f t="shared" si="5"/>
        <v>0</v>
      </c>
      <c r="AE1119" s="161">
        <f t="shared" si="6"/>
        <v>0</v>
      </c>
      <c r="AF1119" s="167">
        <f t="shared" si="7"/>
        <v>0</v>
      </c>
      <c r="AG1119" s="167">
        <f t="shared" si="8"/>
        <v>0</v>
      </c>
      <c r="AH1119" s="158"/>
      <c r="AI1119" s="158"/>
    </row>
    <row r="1120" ht="12.75" customHeight="1">
      <c r="B1120" s="160" t="str">
        <f>iferror(VLOOKUP((LEFT(A1120,6)),CUSTOMER_DETAILS,2,FALSE),"-")</f>
        <v>-</v>
      </c>
      <c r="C1120" s="161" t="s">
        <v>89</v>
      </c>
      <c r="D1120" s="162"/>
      <c r="E1120" s="161" t="s">
        <v>89</v>
      </c>
      <c r="F1120" s="30" t="s">
        <v>89</v>
      </c>
      <c r="G1120" s="30" t="s">
        <v>89</v>
      </c>
      <c r="H1120" s="30" t="s">
        <v>89</v>
      </c>
      <c r="I1120" s="48" t="s">
        <v>108</v>
      </c>
      <c r="J1120" s="188" t="str">
        <f t="shared" si="15"/>
        <v/>
      </c>
      <c r="L1120" s="48" t="s">
        <v>108</v>
      </c>
      <c r="O1120" s="30" t="s">
        <v>89</v>
      </c>
      <c r="Q1120" s="192"/>
      <c r="R1120" s="161" t="str">
        <f>IFERROR(VLOOKUP(Q1120,'PRODUCT TABLE'!$A$2:$B$26,2,FALSE),"-")</f>
        <v>-</v>
      </c>
      <c r="V1120" s="161">
        <f t="shared" si="14"/>
        <v>0</v>
      </c>
      <c r="Y1120" s="30"/>
      <c r="Z1120" s="169">
        <f t="shared" si="2"/>
        <v>0</v>
      </c>
      <c r="AA1120" s="167">
        <f t="shared" si="3"/>
        <v>0</v>
      </c>
      <c r="AB1120" s="161"/>
      <c r="AC1120" s="161">
        <f t="shared" si="4"/>
        <v>0</v>
      </c>
      <c r="AD1120" s="161">
        <f t="shared" si="5"/>
        <v>0</v>
      </c>
      <c r="AE1120" s="161">
        <f t="shared" si="6"/>
        <v>0</v>
      </c>
      <c r="AF1120" s="167">
        <f t="shared" si="7"/>
        <v>0</v>
      </c>
      <c r="AG1120" s="167">
        <f t="shared" si="8"/>
        <v>0</v>
      </c>
      <c r="AH1120" s="158"/>
      <c r="AI1120" s="158"/>
    </row>
    <row r="1121" ht="12.75" customHeight="1">
      <c r="B1121" s="160" t="str">
        <f>iferror(VLOOKUP((LEFT(A1121,6)),CUSTOMER_DETAILS,2,FALSE),"-")</f>
        <v>-</v>
      </c>
      <c r="C1121" s="161" t="s">
        <v>89</v>
      </c>
      <c r="D1121" s="162"/>
      <c r="E1121" s="161" t="s">
        <v>89</v>
      </c>
      <c r="F1121" s="30" t="s">
        <v>89</v>
      </c>
      <c r="G1121" s="30" t="s">
        <v>89</v>
      </c>
      <c r="H1121" s="30" t="s">
        <v>89</v>
      </c>
      <c r="I1121" s="48" t="s">
        <v>108</v>
      </c>
      <c r="J1121" s="188" t="str">
        <f t="shared" si="15"/>
        <v/>
      </c>
      <c r="L1121" s="48" t="s">
        <v>108</v>
      </c>
      <c r="O1121" s="30" t="s">
        <v>89</v>
      </c>
      <c r="Q1121" s="192"/>
      <c r="R1121" s="161" t="str">
        <f>IFERROR(VLOOKUP(Q1121,'PRODUCT TABLE'!$A$2:$B$26,2,FALSE),"-")</f>
        <v>-</v>
      </c>
      <c r="V1121" s="161">
        <f t="shared" si="14"/>
        <v>0</v>
      </c>
      <c r="Y1121" s="30"/>
      <c r="Z1121" s="169">
        <f t="shared" si="2"/>
        <v>0</v>
      </c>
      <c r="AA1121" s="167">
        <f t="shared" si="3"/>
        <v>0</v>
      </c>
      <c r="AB1121" s="161"/>
      <c r="AC1121" s="161">
        <f t="shared" si="4"/>
        <v>0</v>
      </c>
      <c r="AD1121" s="161">
        <f t="shared" si="5"/>
        <v>0</v>
      </c>
      <c r="AE1121" s="161">
        <f t="shared" si="6"/>
        <v>0</v>
      </c>
      <c r="AF1121" s="167">
        <f t="shared" si="7"/>
        <v>0</v>
      </c>
      <c r="AG1121" s="167">
        <f t="shared" si="8"/>
        <v>0</v>
      </c>
      <c r="AH1121" s="158"/>
      <c r="AI1121" s="158"/>
    </row>
    <row r="1122" ht="12.75" customHeight="1">
      <c r="B1122" s="160" t="str">
        <f>iferror(VLOOKUP((LEFT(A1122,6)),CUSTOMER_DETAILS,2,FALSE),"-")</f>
        <v>-</v>
      </c>
      <c r="C1122" s="161" t="s">
        <v>89</v>
      </c>
      <c r="D1122" s="162"/>
      <c r="E1122" s="161" t="s">
        <v>89</v>
      </c>
      <c r="F1122" s="30" t="s">
        <v>89</v>
      </c>
      <c r="G1122" s="30" t="s">
        <v>89</v>
      </c>
      <c r="H1122" s="30" t="s">
        <v>89</v>
      </c>
      <c r="I1122" s="48" t="s">
        <v>108</v>
      </c>
      <c r="J1122" s="188" t="str">
        <f t="shared" si="15"/>
        <v/>
      </c>
      <c r="L1122" s="48" t="s">
        <v>108</v>
      </c>
      <c r="O1122" s="30" t="s">
        <v>89</v>
      </c>
      <c r="Q1122" s="192"/>
      <c r="R1122" s="161" t="str">
        <f>IFERROR(VLOOKUP(Q1122,'PRODUCT TABLE'!$A$2:$B$26,2,FALSE),"-")</f>
        <v>-</v>
      </c>
      <c r="V1122" s="161">
        <f t="shared" si="14"/>
        <v>0</v>
      </c>
      <c r="Y1122" s="30"/>
      <c r="Z1122" s="169">
        <f t="shared" si="2"/>
        <v>0</v>
      </c>
      <c r="AA1122" s="167">
        <f t="shared" si="3"/>
        <v>0</v>
      </c>
      <c r="AB1122" s="161"/>
      <c r="AC1122" s="161">
        <f t="shared" si="4"/>
        <v>0</v>
      </c>
      <c r="AD1122" s="161">
        <f t="shared" si="5"/>
        <v>0</v>
      </c>
      <c r="AE1122" s="161">
        <f t="shared" si="6"/>
        <v>0</v>
      </c>
      <c r="AF1122" s="167">
        <f t="shared" si="7"/>
        <v>0</v>
      </c>
      <c r="AG1122" s="167">
        <f t="shared" si="8"/>
        <v>0</v>
      </c>
      <c r="AH1122" s="158"/>
      <c r="AI1122" s="158"/>
    </row>
    <row r="1123" ht="12.75" customHeight="1">
      <c r="B1123" s="160" t="str">
        <f>iferror(VLOOKUP((LEFT(A1123,6)),CUSTOMER_DETAILS,2,FALSE),"-")</f>
        <v>-</v>
      </c>
      <c r="C1123" s="161" t="s">
        <v>89</v>
      </c>
      <c r="D1123" s="162"/>
      <c r="E1123" s="161" t="s">
        <v>89</v>
      </c>
      <c r="F1123" s="30" t="s">
        <v>89</v>
      </c>
      <c r="G1123" s="30" t="s">
        <v>89</v>
      </c>
      <c r="H1123" s="30" t="s">
        <v>89</v>
      </c>
      <c r="I1123" s="48" t="s">
        <v>108</v>
      </c>
      <c r="J1123" s="188" t="str">
        <f t="shared" si="15"/>
        <v/>
      </c>
      <c r="L1123" s="48" t="s">
        <v>108</v>
      </c>
      <c r="O1123" s="30" t="s">
        <v>89</v>
      </c>
      <c r="Q1123" s="192"/>
      <c r="R1123" s="161" t="str">
        <f>IFERROR(VLOOKUP(Q1123,'PRODUCT TABLE'!$A$2:$B$26,2,FALSE),"-")</f>
        <v>-</v>
      </c>
      <c r="V1123" s="161">
        <f t="shared" si="14"/>
        <v>0</v>
      </c>
      <c r="Y1123" s="30"/>
      <c r="Z1123" s="169">
        <f t="shared" si="2"/>
        <v>0</v>
      </c>
      <c r="AA1123" s="167">
        <f t="shared" si="3"/>
        <v>0</v>
      </c>
      <c r="AB1123" s="161"/>
      <c r="AC1123" s="161">
        <f t="shared" si="4"/>
        <v>0</v>
      </c>
      <c r="AD1123" s="161">
        <f t="shared" si="5"/>
        <v>0</v>
      </c>
      <c r="AE1123" s="161">
        <f t="shared" si="6"/>
        <v>0</v>
      </c>
      <c r="AF1123" s="167">
        <f t="shared" si="7"/>
        <v>0</v>
      </c>
      <c r="AG1123" s="167">
        <f t="shared" si="8"/>
        <v>0</v>
      </c>
      <c r="AH1123" s="158"/>
      <c r="AI1123" s="158"/>
    </row>
    <row r="1124" ht="12.75" customHeight="1">
      <c r="B1124" s="160" t="str">
        <f>iferror(VLOOKUP((LEFT(A1124,6)),CUSTOMER_DETAILS,2,FALSE),"-")</f>
        <v>-</v>
      </c>
      <c r="C1124" s="161" t="s">
        <v>89</v>
      </c>
      <c r="D1124" s="162"/>
      <c r="E1124" s="161" t="s">
        <v>89</v>
      </c>
      <c r="F1124" s="30" t="s">
        <v>89</v>
      </c>
      <c r="G1124" s="30" t="s">
        <v>89</v>
      </c>
      <c r="H1124" s="30" t="s">
        <v>89</v>
      </c>
      <c r="I1124" s="48" t="s">
        <v>108</v>
      </c>
      <c r="J1124" s="188" t="str">
        <f t="shared" si="15"/>
        <v/>
      </c>
      <c r="L1124" s="48" t="s">
        <v>108</v>
      </c>
      <c r="O1124" s="30" t="s">
        <v>89</v>
      </c>
      <c r="Q1124" s="192"/>
      <c r="R1124" s="161" t="str">
        <f>IFERROR(VLOOKUP(Q1124,'PRODUCT TABLE'!$A$2:$B$26,2,FALSE),"-")</f>
        <v>-</v>
      </c>
      <c r="V1124" s="161">
        <f t="shared" si="14"/>
        <v>0</v>
      </c>
      <c r="Y1124" s="30"/>
      <c r="Z1124" s="169">
        <f t="shared" si="2"/>
        <v>0</v>
      </c>
      <c r="AA1124" s="167">
        <f t="shared" si="3"/>
        <v>0</v>
      </c>
      <c r="AB1124" s="161"/>
      <c r="AC1124" s="161">
        <f t="shared" si="4"/>
        <v>0</v>
      </c>
      <c r="AD1124" s="161">
        <f t="shared" si="5"/>
        <v>0</v>
      </c>
      <c r="AE1124" s="161">
        <f t="shared" si="6"/>
        <v>0</v>
      </c>
      <c r="AF1124" s="167">
        <f t="shared" si="7"/>
        <v>0</v>
      </c>
      <c r="AG1124" s="167">
        <f t="shared" si="8"/>
        <v>0</v>
      </c>
      <c r="AH1124" s="158"/>
      <c r="AI1124" s="158"/>
    </row>
    <row r="1125" ht="12.75" customHeight="1">
      <c r="B1125" s="160" t="str">
        <f>iferror(VLOOKUP((LEFT(A1125,6)),CUSTOMER_DETAILS,2,FALSE),"-")</f>
        <v>-</v>
      </c>
      <c r="C1125" s="161" t="s">
        <v>89</v>
      </c>
      <c r="D1125" s="162"/>
      <c r="E1125" s="161" t="s">
        <v>89</v>
      </c>
      <c r="F1125" s="30" t="s">
        <v>89</v>
      </c>
      <c r="G1125" s="30" t="s">
        <v>89</v>
      </c>
      <c r="H1125" s="30" t="s">
        <v>89</v>
      </c>
      <c r="I1125" s="48" t="s">
        <v>108</v>
      </c>
      <c r="J1125" s="188" t="str">
        <f t="shared" si="15"/>
        <v/>
      </c>
      <c r="L1125" s="48" t="s">
        <v>108</v>
      </c>
      <c r="O1125" s="30" t="s">
        <v>89</v>
      </c>
      <c r="Q1125" s="192"/>
      <c r="R1125" s="161" t="str">
        <f>IFERROR(VLOOKUP(Q1125,'PRODUCT TABLE'!$A$2:$B$26,2,FALSE),"-")</f>
        <v>-</v>
      </c>
      <c r="V1125" s="161">
        <f t="shared" si="14"/>
        <v>0</v>
      </c>
      <c r="Y1125" s="30"/>
      <c r="Z1125" s="169">
        <f t="shared" si="2"/>
        <v>0</v>
      </c>
      <c r="AA1125" s="167">
        <f t="shared" si="3"/>
        <v>0</v>
      </c>
      <c r="AB1125" s="161"/>
      <c r="AC1125" s="161">
        <f t="shared" si="4"/>
        <v>0</v>
      </c>
      <c r="AD1125" s="161">
        <f t="shared" si="5"/>
        <v>0</v>
      </c>
      <c r="AE1125" s="161">
        <f t="shared" si="6"/>
        <v>0</v>
      </c>
      <c r="AF1125" s="167">
        <f t="shared" si="7"/>
        <v>0</v>
      </c>
      <c r="AG1125" s="167">
        <f t="shared" si="8"/>
        <v>0</v>
      </c>
      <c r="AH1125" s="158"/>
      <c r="AI1125" s="158"/>
    </row>
    <row r="1126" ht="12.75" customHeight="1">
      <c r="B1126" s="160" t="str">
        <f>iferror(VLOOKUP((LEFT(A1126,6)),CUSTOMER_DETAILS,2,FALSE),"-")</f>
        <v>-</v>
      </c>
      <c r="C1126" s="161" t="s">
        <v>89</v>
      </c>
      <c r="D1126" s="162"/>
      <c r="E1126" s="161" t="s">
        <v>89</v>
      </c>
      <c r="F1126" s="30" t="s">
        <v>89</v>
      </c>
      <c r="G1126" s="30" t="s">
        <v>89</v>
      </c>
      <c r="H1126" s="30" t="s">
        <v>89</v>
      </c>
      <c r="I1126" s="48" t="s">
        <v>108</v>
      </c>
      <c r="J1126" s="188" t="str">
        <f t="shared" si="15"/>
        <v/>
      </c>
      <c r="L1126" s="48" t="s">
        <v>108</v>
      </c>
      <c r="O1126" s="30" t="s">
        <v>89</v>
      </c>
      <c r="Q1126" s="192"/>
      <c r="R1126" s="161" t="str">
        <f>IFERROR(VLOOKUP(Q1126,'PRODUCT TABLE'!$A$2:$B$26,2,FALSE),"-")</f>
        <v>-</v>
      </c>
      <c r="V1126" s="161">
        <f t="shared" si="14"/>
        <v>0</v>
      </c>
      <c r="Y1126" s="30"/>
      <c r="Z1126" s="169">
        <f t="shared" si="2"/>
        <v>0</v>
      </c>
      <c r="AA1126" s="167">
        <f t="shared" si="3"/>
        <v>0</v>
      </c>
      <c r="AB1126" s="161"/>
      <c r="AC1126" s="161">
        <f t="shared" si="4"/>
        <v>0</v>
      </c>
      <c r="AD1126" s="161">
        <f t="shared" si="5"/>
        <v>0</v>
      </c>
      <c r="AE1126" s="161">
        <f t="shared" si="6"/>
        <v>0</v>
      </c>
      <c r="AF1126" s="167">
        <f t="shared" si="7"/>
        <v>0</v>
      </c>
      <c r="AG1126" s="167">
        <f t="shared" si="8"/>
        <v>0</v>
      </c>
      <c r="AH1126" s="158"/>
      <c r="AI1126" s="158"/>
    </row>
    <row r="1127" ht="12.75" customHeight="1">
      <c r="B1127" s="160" t="str">
        <f>iferror(VLOOKUP((LEFT(A1127,6)),CUSTOMER_DETAILS,2,FALSE),"-")</f>
        <v>-</v>
      </c>
      <c r="C1127" s="161" t="s">
        <v>89</v>
      </c>
      <c r="D1127" s="162"/>
      <c r="E1127" s="161" t="s">
        <v>89</v>
      </c>
      <c r="F1127" s="30" t="s">
        <v>89</v>
      </c>
      <c r="G1127" s="30" t="s">
        <v>89</v>
      </c>
      <c r="H1127" s="30" t="s">
        <v>89</v>
      </c>
      <c r="I1127" s="48" t="s">
        <v>108</v>
      </c>
      <c r="J1127" s="188" t="str">
        <f t="shared" si="15"/>
        <v/>
      </c>
      <c r="L1127" s="48" t="s">
        <v>108</v>
      </c>
      <c r="O1127" s="30" t="s">
        <v>89</v>
      </c>
      <c r="Q1127" s="192"/>
      <c r="R1127" s="161" t="str">
        <f>IFERROR(VLOOKUP(Q1127,'PRODUCT TABLE'!$A$2:$B$26,2,FALSE),"-")</f>
        <v>-</v>
      </c>
      <c r="V1127" s="161">
        <f t="shared" si="14"/>
        <v>0</v>
      </c>
      <c r="Y1127" s="30"/>
      <c r="Z1127" s="169">
        <f t="shared" si="2"/>
        <v>0</v>
      </c>
      <c r="AA1127" s="167">
        <f t="shared" si="3"/>
        <v>0</v>
      </c>
      <c r="AB1127" s="161"/>
      <c r="AC1127" s="161">
        <f t="shared" si="4"/>
        <v>0</v>
      </c>
      <c r="AD1127" s="161">
        <f t="shared" si="5"/>
        <v>0</v>
      </c>
      <c r="AE1127" s="161">
        <f t="shared" si="6"/>
        <v>0</v>
      </c>
      <c r="AF1127" s="167">
        <f t="shared" si="7"/>
        <v>0</v>
      </c>
      <c r="AG1127" s="167">
        <f t="shared" si="8"/>
        <v>0</v>
      </c>
      <c r="AH1127" s="158"/>
      <c r="AI1127" s="158"/>
    </row>
    <row r="1128" ht="12.75" customHeight="1">
      <c r="B1128" s="160" t="str">
        <f>iferror(VLOOKUP((LEFT(A1128,6)),CUSTOMER_DETAILS,2,FALSE),"-")</f>
        <v>-</v>
      </c>
      <c r="C1128" s="161" t="s">
        <v>89</v>
      </c>
      <c r="D1128" s="162"/>
      <c r="E1128" s="161" t="s">
        <v>89</v>
      </c>
      <c r="F1128" s="30" t="s">
        <v>89</v>
      </c>
      <c r="G1128" s="30" t="s">
        <v>89</v>
      </c>
      <c r="H1128" s="30" t="s">
        <v>89</v>
      </c>
      <c r="I1128" s="48" t="s">
        <v>108</v>
      </c>
      <c r="J1128" s="188" t="str">
        <f t="shared" si="15"/>
        <v/>
      </c>
      <c r="L1128" s="48" t="s">
        <v>108</v>
      </c>
      <c r="O1128" s="30" t="s">
        <v>89</v>
      </c>
      <c r="Q1128" s="192"/>
      <c r="R1128" s="161" t="str">
        <f>IFERROR(VLOOKUP(Q1128,'PRODUCT TABLE'!$A$2:$B$26,2,FALSE),"-")</f>
        <v>-</v>
      </c>
      <c r="V1128" s="161">
        <f t="shared" si="14"/>
        <v>0</v>
      </c>
      <c r="Y1128" s="30"/>
      <c r="Z1128" s="169">
        <f t="shared" si="2"/>
        <v>0</v>
      </c>
      <c r="AA1128" s="167">
        <f t="shared" si="3"/>
        <v>0</v>
      </c>
      <c r="AB1128" s="161"/>
      <c r="AC1128" s="161">
        <f t="shared" si="4"/>
        <v>0</v>
      </c>
      <c r="AD1128" s="161">
        <f t="shared" si="5"/>
        <v>0</v>
      </c>
      <c r="AE1128" s="161">
        <f t="shared" si="6"/>
        <v>0</v>
      </c>
      <c r="AF1128" s="167">
        <f t="shared" si="7"/>
        <v>0</v>
      </c>
      <c r="AG1128" s="167">
        <f t="shared" si="8"/>
        <v>0</v>
      </c>
      <c r="AH1128" s="158"/>
      <c r="AI1128" s="158"/>
    </row>
    <row r="1129" ht="12.75" customHeight="1">
      <c r="B1129" s="160" t="str">
        <f>iferror(VLOOKUP((LEFT(A1129,6)),CUSTOMER_DETAILS,2,FALSE),"-")</f>
        <v>-</v>
      </c>
      <c r="C1129" s="161" t="s">
        <v>89</v>
      </c>
      <c r="D1129" s="162"/>
      <c r="E1129" s="161" t="s">
        <v>89</v>
      </c>
      <c r="F1129" s="30" t="s">
        <v>89</v>
      </c>
      <c r="G1129" s="30" t="s">
        <v>89</v>
      </c>
      <c r="H1129" s="30" t="s">
        <v>89</v>
      </c>
      <c r="I1129" s="48" t="s">
        <v>108</v>
      </c>
      <c r="J1129" s="188" t="str">
        <f t="shared" si="15"/>
        <v/>
      </c>
      <c r="L1129" s="48" t="s">
        <v>108</v>
      </c>
      <c r="O1129" s="30" t="s">
        <v>89</v>
      </c>
      <c r="Q1129" s="192"/>
      <c r="R1129" s="161" t="str">
        <f>IFERROR(VLOOKUP(Q1129,'PRODUCT TABLE'!$A$2:$B$26,2,FALSE),"-")</f>
        <v>-</v>
      </c>
      <c r="V1129" s="161">
        <f t="shared" si="14"/>
        <v>0</v>
      </c>
      <c r="Y1129" s="30"/>
      <c r="Z1129" s="169">
        <f t="shared" si="2"/>
        <v>0</v>
      </c>
      <c r="AA1129" s="167">
        <f t="shared" si="3"/>
        <v>0</v>
      </c>
      <c r="AB1129" s="161"/>
      <c r="AC1129" s="161">
        <f t="shared" si="4"/>
        <v>0</v>
      </c>
      <c r="AD1129" s="161">
        <f t="shared" si="5"/>
        <v>0</v>
      </c>
      <c r="AE1129" s="161">
        <f t="shared" si="6"/>
        <v>0</v>
      </c>
      <c r="AF1129" s="167">
        <f t="shared" si="7"/>
        <v>0</v>
      </c>
      <c r="AG1129" s="167">
        <f t="shared" si="8"/>
        <v>0</v>
      </c>
      <c r="AH1129" s="158"/>
      <c r="AI1129" s="158"/>
    </row>
    <row r="1130" ht="12.75" customHeight="1">
      <c r="B1130" s="160" t="str">
        <f>iferror(VLOOKUP((LEFT(A1130,6)),CUSTOMER_DETAILS,2,FALSE),"-")</f>
        <v>-</v>
      </c>
      <c r="C1130" s="161" t="s">
        <v>89</v>
      </c>
      <c r="D1130" s="162"/>
      <c r="E1130" s="161" t="s">
        <v>89</v>
      </c>
      <c r="F1130" s="30" t="s">
        <v>89</v>
      </c>
      <c r="G1130" s="30" t="s">
        <v>89</v>
      </c>
      <c r="H1130" s="30" t="s">
        <v>89</v>
      </c>
      <c r="I1130" s="48" t="s">
        <v>108</v>
      </c>
      <c r="J1130" s="188" t="str">
        <f t="shared" si="15"/>
        <v/>
      </c>
      <c r="L1130" s="48" t="s">
        <v>108</v>
      </c>
      <c r="O1130" s="30" t="s">
        <v>89</v>
      </c>
      <c r="Q1130" s="192"/>
      <c r="R1130" s="161" t="str">
        <f>IFERROR(VLOOKUP(Q1130,'PRODUCT TABLE'!$A$2:$B$26,2,FALSE),"-")</f>
        <v>-</v>
      </c>
      <c r="V1130" s="161">
        <f t="shared" si="14"/>
        <v>0</v>
      </c>
      <c r="Y1130" s="30"/>
      <c r="Z1130" s="169">
        <f t="shared" si="2"/>
        <v>0</v>
      </c>
      <c r="AA1130" s="167">
        <f t="shared" si="3"/>
        <v>0</v>
      </c>
      <c r="AB1130" s="161"/>
      <c r="AC1130" s="161">
        <f t="shared" si="4"/>
        <v>0</v>
      </c>
      <c r="AD1130" s="161">
        <f t="shared" si="5"/>
        <v>0</v>
      </c>
      <c r="AE1130" s="161">
        <f t="shared" si="6"/>
        <v>0</v>
      </c>
      <c r="AF1130" s="167">
        <f t="shared" si="7"/>
        <v>0</v>
      </c>
      <c r="AG1130" s="167">
        <f t="shared" si="8"/>
        <v>0</v>
      </c>
      <c r="AH1130" s="158"/>
      <c r="AI1130" s="158"/>
    </row>
    <row r="1131" ht="12.75" customHeight="1">
      <c r="B1131" s="160" t="str">
        <f>iferror(VLOOKUP((LEFT(A1131,6)),CUSTOMER_DETAILS,2,FALSE),"-")</f>
        <v>-</v>
      </c>
      <c r="C1131" s="161" t="s">
        <v>89</v>
      </c>
      <c r="D1131" s="162"/>
      <c r="E1131" s="161" t="s">
        <v>89</v>
      </c>
      <c r="F1131" s="30" t="s">
        <v>89</v>
      </c>
      <c r="G1131" s="30" t="s">
        <v>89</v>
      </c>
      <c r="H1131" s="30" t="s">
        <v>89</v>
      </c>
      <c r="I1131" s="48" t="s">
        <v>108</v>
      </c>
      <c r="J1131" s="188" t="str">
        <f t="shared" si="15"/>
        <v/>
      </c>
      <c r="L1131" s="48" t="s">
        <v>108</v>
      </c>
      <c r="O1131" s="30" t="s">
        <v>89</v>
      </c>
      <c r="Q1131" s="192"/>
      <c r="R1131" s="161" t="str">
        <f>IFERROR(VLOOKUP(Q1131,'PRODUCT TABLE'!$A$2:$B$26,2,FALSE),"-")</f>
        <v>-</v>
      </c>
      <c r="V1131" s="161">
        <f t="shared" si="14"/>
        <v>0</v>
      </c>
      <c r="Y1131" s="30"/>
      <c r="Z1131" s="169">
        <f t="shared" si="2"/>
        <v>0</v>
      </c>
      <c r="AA1131" s="167">
        <f t="shared" si="3"/>
        <v>0</v>
      </c>
      <c r="AB1131" s="161"/>
      <c r="AC1131" s="161">
        <f t="shared" si="4"/>
        <v>0</v>
      </c>
      <c r="AD1131" s="161">
        <f t="shared" si="5"/>
        <v>0</v>
      </c>
      <c r="AE1131" s="161">
        <f t="shared" si="6"/>
        <v>0</v>
      </c>
      <c r="AF1131" s="167">
        <f t="shared" si="7"/>
        <v>0</v>
      </c>
      <c r="AG1131" s="167">
        <f t="shared" si="8"/>
        <v>0</v>
      </c>
      <c r="AH1131" s="158"/>
      <c r="AI1131" s="158"/>
    </row>
    <row r="1132" ht="12.75" customHeight="1">
      <c r="B1132" s="160" t="str">
        <f>iferror(VLOOKUP((LEFT(A1132,6)),CUSTOMER_DETAILS,2,FALSE),"-")</f>
        <v>-</v>
      </c>
      <c r="C1132" s="161" t="s">
        <v>89</v>
      </c>
      <c r="D1132" s="162"/>
      <c r="E1132" s="161" t="s">
        <v>89</v>
      </c>
      <c r="F1132" s="30" t="s">
        <v>89</v>
      </c>
      <c r="G1132" s="30" t="s">
        <v>89</v>
      </c>
      <c r="H1132" s="30" t="s">
        <v>89</v>
      </c>
      <c r="I1132" s="48" t="s">
        <v>108</v>
      </c>
      <c r="J1132" s="188" t="str">
        <f t="shared" si="15"/>
        <v/>
      </c>
      <c r="L1132" s="48" t="s">
        <v>108</v>
      </c>
      <c r="O1132" s="30" t="s">
        <v>89</v>
      </c>
      <c r="Q1132" s="192"/>
      <c r="R1132" s="161" t="str">
        <f>IFERROR(VLOOKUP(Q1132,'PRODUCT TABLE'!$A$2:$B$26,2,FALSE),"-")</f>
        <v>-</v>
      </c>
      <c r="V1132" s="161">
        <f t="shared" si="14"/>
        <v>0</v>
      </c>
      <c r="Y1132" s="30"/>
      <c r="Z1132" s="169">
        <f t="shared" si="2"/>
        <v>0</v>
      </c>
      <c r="AA1132" s="167">
        <f t="shared" si="3"/>
        <v>0</v>
      </c>
      <c r="AB1132" s="161"/>
      <c r="AC1132" s="161">
        <f t="shared" si="4"/>
        <v>0</v>
      </c>
      <c r="AD1132" s="161">
        <f t="shared" si="5"/>
        <v>0</v>
      </c>
      <c r="AE1132" s="161">
        <f t="shared" si="6"/>
        <v>0</v>
      </c>
      <c r="AF1132" s="167">
        <f t="shared" si="7"/>
        <v>0</v>
      </c>
      <c r="AG1132" s="167">
        <f t="shared" si="8"/>
        <v>0</v>
      </c>
      <c r="AH1132" s="158"/>
      <c r="AI1132" s="158"/>
    </row>
    <row r="1133" ht="12.75" customHeight="1">
      <c r="B1133" s="160" t="str">
        <f>iferror(VLOOKUP((LEFT(A1133,6)),CUSTOMER_DETAILS,2,FALSE),"-")</f>
        <v>-</v>
      </c>
      <c r="C1133" s="161" t="s">
        <v>89</v>
      </c>
      <c r="D1133" s="162"/>
      <c r="E1133" s="161" t="s">
        <v>89</v>
      </c>
      <c r="F1133" s="30" t="s">
        <v>89</v>
      </c>
      <c r="G1133" s="30" t="s">
        <v>89</v>
      </c>
      <c r="H1133" s="30" t="s">
        <v>89</v>
      </c>
      <c r="I1133" s="48" t="s">
        <v>108</v>
      </c>
      <c r="J1133" s="188" t="str">
        <f t="shared" si="15"/>
        <v/>
      </c>
      <c r="L1133" s="48" t="s">
        <v>108</v>
      </c>
      <c r="O1133" s="30" t="s">
        <v>89</v>
      </c>
      <c r="Q1133" s="192"/>
      <c r="R1133" s="161" t="str">
        <f>IFERROR(VLOOKUP(Q1133,'PRODUCT TABLE'!$A$2:$B$26,2,FALSE),"-")</f>
        <v>-</v>
      </c>
      <c r="V1133" s="161">
        <f t="shared" si="14"/>
        <v>0</v>
      </c>
      <c r="Y1133" s="30"/>
      <c r="Z1133" s="169">
        <f t="shared" si="2"/>
        <v>0</v>
      </c>
      <c r="AA1133" s="167">
        <f t="shared" si="3"/>
        <v>0</v>
      </c>
      <c r="AB1133" s="161"/>
      <c r="AC1133" s="161">
        <f t="shared" si="4"/>
        <v>0</v>
      </c>
      <c r="AD1133" s="161">
        <f t="shared" si="5"/>
        <v>0</v>
      </c>
      <c r="AE1133" s="161">
        <f t="shared" si="6"/>
        <v>0</v>
      </c>
      <c r="AF1133" s="167">
        <f t="shared" si="7"/>
        <v>0</v>
      </c>
      <c r="AG1133" s="167">
        <f t="shared" si="8"/>
        <v>0</v>
      </c>
      <c r="AH1133" s="158"/>
      <c r="AI1133" s="158"/>
    </row>
    <row r="1134" ht="12.75" customHeight="1">
      <c r="B1134" s="160" t="str">
        <f>iferror(VLOOKUP((LEFT(A1134,6)),CUSTOMER_DETAILS,2,FALSE),"-")</f>
        <v>-</v>
      </c>
      <c r="C1134" s="161" t="s">
        <v>89</v>
      </c>
      <c r="D1134" s="162"/>
      <c r="E1134" s="161" t="s">
        <v>89</v>
      </c>
      <c r="F1134" s="30" t="s">
        <v>89</v>
      </c>
      <c r="G1134" s="30" t="s">
        <v>89</v>
      </c>
      <c r="H1134" s="30" t="s">
        <v>89</v>
      </c>
      <c r="I1134" s="48" t="s">
        <v>108</v>
      </c>
      <c r="J1134" s="188" t="str">
        <f t="shared" si="15"/>
        <v/>
      </c>
      <c r="L1134" s="48" t="s">
        <v>108</v>
      </c>
      <c r="O1134" s="30" t="s">
        <v>89</v>
      </c>
      <c r="Q1134" s="192"/>
      <c r="R1134" s="161" t="str">
        <f>IFERROR(VLOOKUP(Q1134,'PRODUCT TABLE'!$A$2:$B$26,2,FALSE),"-")</f>
        <v>-</v>
      </c>
      <c r="V1134" s="161">
        <f t="shared" si="14"/>
        <v>0</v>
      </c>
      <c r="Y1134" s="30"/>
      <c r="Z1134" s="169">
        <f t="shared" si="2"/>
        <v>0</v>
      </c>
      <c r="AA1134" s="167">
        <f t="shared" si="3"/>
        <v>0</v>
      </c>
      <c r="AB1134" s="161"/>
      <c r="AC1134" s="161">
        <f t="shared" si="4"/>
        <v>0</v>
      </c>
      <c r="AD1134" s="161">
        <f t="shared" si="5"/>
        <v>0</v>
      </c>
      <c r="AE1134" s="161">
        <f t="shared" si="6"/>
        <v>0</v>
      </c>
      <c r="AF1134" s="167">
        <f t="shared" si="7"/>
        <v>0</v>
      </c>
      <c r="AG1134" s="167">
        <f t="shared" si="8"/>
        <v>0</v>
      </c>
      <c r="AH1134" s="158"/>
      <c r="AI1134" s="158"/>
    </row>
    <row r="1135" ht="12.75" customHeight="1">
      <c r="B1135" s="160" t="str">
        <f>iferror(VLOOKUP((LEFT(A1135,6)),CUSTOMER_DETAILS,2,FALSE),"-")</f>
        <v>-</v>
      </c>
      <c r="C1135" s="161" t="s">
        <v>89</v>
      </c>
      <c r="D1135" s="162"/>
      <c r="E1135" s="161" t="s">
        <v>89</v>
      </c>
      <c r="F1135" s="30" t="s">
        <v>89</v>
      </c>
      <c r="G1135" s="30" t="s">
        <v>89</v>
      </c>
      <c r="H1135" s="30" t="s">
        <v>89</v>
      </c>
      <c r="I1135" s="48" t="s">
        <v>108</v>
      </c>
      <c r="J1135" s="188" t="str">
        <f t="shared" si="15"/>
        <v/>
      </c>
      <c r="L1135" s="48" t="s">
        <v>108</v>
      </c>
      <c r="O1135" s="30" t="s">
        <v>89</v>
      </c>
      <c r="Q1135" s="192"/>
      <c r="R1135" s="161" t="str">
        <f>IFERROR(VLOOKUP(Q1135,'PRODUCT TABLE'!$A$2:$B$26,2,FALSE),"-")</f>
        <v>-</v>
      </c>
      <c r="V1135" s="161">
        <f t="shared" si="14"/>
        <v>0</v>
      </c>
      <c r="Y1135" s="30"/>
      <c r="Z1135" s="169">
        <f t="shared" si="2"/>
        <v>0</v>
      </c>
      <c r="AA1135" s="167">
        <f t="shared" si="3"/>
        <v>0</v>
      </c>
      <c r="AB1135" s="161"/>
      <c r="AC1135" s="161">
        <f t="shared" si="4"/>
        <v>0</v>
      </c>
      <c r="AD1135" s="161">
        <f t="shared" si="5"/>
        <v>0</v>
      </c>
      <c r="AE1135" s="161">
        <f t="shared" si="6"/>
        <v>0</v>
      </c>
      <c r="AF1135" s="167">
        <f t="shared" si="7"/>
        <v>0</v>
      </c>
      <c r="AG1135" s="167">
        <f t="shared" si="8"/>
        <v>0</v>
      </c>
      <c r="AH1135" s="158"/>
      <c r="AI1135" s="158"/>
    </row>
    <row r="1136" ht="12.75" customHeight="1">
      <c r="B1136" s="160" t="str">
        <f>iferror(VLOOKUP((LEFT(A1136,6)),CUSTOMER_DETAILS,2,FALSE),"-")</f>
        <v>-</v>
      </c>
      <c r="C1136" s="161" t="s">
        <v>89</v>
      </c>
      <c r="D1136" s="162"/>
      <c r="E1136" s="161" t="s">
        <v>89</v>
      </c>
      <c r="F1136" s="30" t="s">
        <v>89</v>
      </c>
      <c r="G1136" s="30" t="s">
        <v>89</v>
      </c>
      <c r="H1136" s="30" t="s">
        <v>89</v>
      </c>
      <c r="I1136" s="48" t="s">
        <v>108</v>
      </c>
      <c r="J1136" s="188" t="str">
        <f t="shared" si="15"/>
        <v/>
      </c>
      <c r="L1136" s="48" t="s">
        <v>108</v>
      </c>
      <c r="O1136" s="30" t="s">
        <v>89</v>
      </c>
      <c r="Q1136" s="192"/>
      <c r="R1136" s="161" t="str">
        <f>IFERROR(VLOOKUP(Q1136,'PRODUCT TABLE'!$A$2:$B$26,2,FALSE),"-")</f>
        <v>-</v>
      </c>
      <c r="V1136" s="161">
        <f t="shared" si="14"/>
        <v>0</v>
      </c>
      <c r="Y1136" s="30"/>
      <c r="Z1136" s="169">
        <f t="shared" si="2"/>
        <v>0</v>
      </c>
      <c r="AA1136" s="167">
        <f t="shared" si="3"/>
        <v>0</v>
      </c>
      <c r="AB1136" s="161"/>
      <c r="AC1136" s="161">
        <f t="shared" si="4"/>
        <v>0</v>
      </c>
      <c r="AD1136" s="161">
        <f t="shared" si="5"/>
        <v>0</v>
      </c>
      <c r="AE1136" s="161">
        <f t="shared" si="6"/>
        <v>0</v>
      </c>
      <c r="AF1136" s="167">
        <f t="shared" si="7"/>
        <v>0</v>
      </c>
      <c r="AG1136" s="167">
        <f t="shared" si="8"/>
        <v>0</v>
      </c>
      <c r="AH1136" s="158"/>
      <c r="AI1136" s="158"/>
    </row>
    <row r="1137" ht="12.75" customHeight="1">
      <c r="B1137" s="160" t="str">
        <f>iferror(VLOOKUP((LEFT(A1137,6)),CUSTOMER_DETAILS,2,FALSE),"-")</f>
        <v>-</v>
      </c>
      <c r="C1137" s="161" t="s">
        <v>89</v>
      </c>
      <c r="D1137" s="162"/>
      <c r="E1137" s="161" t="s">
        <v>89</v>
      </c>
      <c r="F1137" s="30" t="s">
        <v>89</v>
      </c>
      <c r="G1137" s="30" t="s">
        <v>89</v>
      </c>
      <c r="H1137" s="30" t="s">
        <v>89</v>
      </c>
      <c r="I1137" s="48" t="s">
        <v>108</v>
      </c>
      <c r="J1137" s="188" t="str">
        <f t="shared" si="15"/>
        <v/>
      </c>
      <c r="L1137" s="48" t="s">
        <v>108</v>
      </c>
      <c r="O1137" s="30" t="s">
        <v>89</v>
      </c>
      <c r="Q1137" s="192"/>
      <c r="R1137" s="161" t="str">
        <f>IFERROR(VLOOKUP(Q1137,'PRODUCT TABLE'!$A$2:$B$26,2,FALSE),"-")</f>
        <v>-</v>
      </c>
      <c r="V1137" s="161">
        <f t="shared" si="14"/>
        <v>0</v>
      </c>
      <c r="Y1137" s="30"/>
      <c r="Z1137" s="169">
        <f t="shared" si="2"/>
        <v>0</v>
      </c>
      <c r="AA1137" s="167">
        <f t="shared" si="3"/>
        <v>0</v>
      </c>
      <c r="AB1137" s="161"/>
      <c r="AC1137" s="161">
        <f t="shared" si="4"/>
        <v>0</v>
      </c>
      <c r="AD1137" s="161">
        <f t="shared" si="5"/>
        <v>0</v>
      </c>
      <c r="AE1137" s="161">
        <f t="shared" si="6"/>
        <v>0</v>
      </c>
      <c r="AF1137" s="167">
        <f t="shared" si="7"/>
        <v>0</v>
      </c>
      <c r="AG1137" s="167">
        <f t="shared" si="8"/>
        <v>0</v>
      </c>
      <c r="AH1137" s="158"/>
      <c r="AI1137" s="158"/>
    </row>
    <row r="1138" ht="12.75" customHeight="1">
      <c r="D1138" s="162"/>
      <c r="O1138" s="30" t="s">
        <v>89</v>
      </c>
      <c r="Q1138" s="192"/>
      <c r="R1138" s="161" t="str">
        <f>IFERROR(VLOOKUP(Q1138,'PRODUCT TABLE'!$A$2:$B$26,2,FALSE),"-")</f>
        <v>-</v>
      </c>
      <c r="Z1138" s="208"/>
      <c r="AI1138" s="158"/>
    </row>
  </sheetData>
  <dataValidations>
    <dataValidation type="list" allowBlank="1" showErrorMessage="1" sqref="Q2:Q155 Q157:Q158">
      <formula1>'PRODUCT TABLE'!$A$2:$A$6</formula1>
    </dataValidation>
    <dataValidation type="list" allowBlank="1" showErrorMessage="1" sqref="Q156 Q159:Q1138">
      <formula1>'PRODUCT TABLE'!$A$2:$A$30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0"/>
    <col customWidth="1" min="2" max="2" width="4.75"/>
    <col customWidth="1" min="3" max="3" width="10.5"/>
    <col customWidth="1" min="4" max="4" width="6.75"/>
    <col customWidth="1" min="5" max="5" width="10.38"/>
    <col customWidth="1" min="6" max="6" width="8.25"/>
    <col customWidth="1" min="7" max="7" width="7.63"/>
    <col customWidth="1" min="8" max="8" width="9.88"/>
    <col customWidth="1" min="9" max="9" width="8.88"/>
    <col customWidth="1" min="10" max="10" width="15.5"/>
    <col customWidth="1" min="11" max="27" width="10.0"/>
  </cols>
  <sheetData>
    <row r="1" ht="12.75" customHeight="1"/>
    <row r="2" ht="12.75" customHeight="1">
      <c r="A2" s="2"/>
      <c r="B2" s="152" t="s">
        <v>779</v>
      </c>
    </row>
    <row r="3" ht="12.75" customHeight="1"/>
    <row r="4" ht="12.75" customHeight="1">
      <c r="A4" s="3"/>
      <c r="B4" s="4" t="s">
        <v>1</v>
      </c>
      <c r="C4" s="5"/>
      <c r="D4" s="5"/>
      <c r="E4" s="6"/>
      <c r="F4" s="7" t="s">
        <v>2</v>
      </c>
      <c r="G4" s="8"/>
      <c r="H4" s="9"/>
      <c r="I4" s="8" t="s">
        <v>3</v>
      </c>
      <c r="J4" s="9"/>
      <c r="L4" s="11"/>
    </row>
    <row r="5" ht="12.75" customHeight="1">
      <c r="A5" s="10"/>
      <c r="B5" s="12" t="s">
        <v>4</v>
      </c>
      <c r="C5" s="10"/>
      <c r="D5" s="10"/>
      <c r="E5" s="13"/>
      <c r="F5" s="14">
        <f>IFERROR(VLOOKUP(F13,InvoiceDetails,11,FALSE)," ")</f>
        <v>359</v>
      </c>
      <c r="G5" s="15"/>
      <c r="H5" s="16"/>
      <c r="I5" s="17">
        <f>VLOOKUP(F13,InvoiceDetails,4,FALSE)</f>
        <v>45397</v>
      </c>
      <c r="J5" s="18"/>
    </row>
    <row r="6" ht="12.75" customHeight="1">
      <c r="A6" s="10"/>
      <c r="B6" s="12" t="s">
        <v>5</v>
      </c>
      <c r="C6" s="10"/>
      <c r="D6" s="10"/>
      <c r="E6" s="13"/>
      <c r="F6" s="7" t="s">
        <v>6</v>
      </c>
      <c r="G6" s="8"/>
      <c r="H6" s="9"/>
      <c r="I6" s="8" t="s">
        <v>7</v>
      </c>
      <c r="J6" s="9"/>
    </row>
    <row r="7" ht="12.75" customHeight="1">
      <c r="A7" s="20"/>
      <c r="B7" s="21">
        <v>8.550952303E9</v>
      </c>
      <c r="E7" s="13"/>
      <c r="F7" s="22" t="str">
        <f>IFERROR(VLOOKUP(F13,InvoiceDetails,5,FALSE)," ")</f>
        <v> - </v>
      </c>
      <c r="G7" s="23"/>
      <c r="H7" s="24"/>
      <c r="I7" s="25" t="str">
        <f>IFERROR(VLOOKUP(F13,InvoiceDetails,6,FALSE)," ")</f>
        <v> 15 DAYS WITHIN DELIVERY</v>
      </c>
      <c r="J7" s="26"/>
    </row>
    <row r="8" ht="12.75" customHeight="1">
      <c r="A8" s="10"/>
      <c r="B8" s="12" t="s">
        <v>8</v>
      </c>
      <c r="C8" s="28" t="s">
        <v>9</v>
      </c>
      <c r="D8" s="10"/>
      <c r="E8" s="13"/>
      <c r="F8" s="7" t="s">
        <v>10</v>
      </c>
      <c r="G8" s="8"/>
      <c r="H8" s="9"/>
      <c r="I8" s="8" t="s">
        <v>11</v>
      </c>
      <c r="J8" s="9"/>
      <c r="K8" s="29"/>
      <c r="M8" s="30"/>
    </row>
    <row r="9" ht="12.75" customHeight="1">
      <c r="A9" s="10"/>
      <c r="B9" s="12" t="s">
        <v>12</v>
      </c>
      <c r="C9" s="10" t="s">
        <v>13</v>
      </c>
      <c r="D9" s="10"/>
      <c r="E9" s="31">
        <v>440034.0</v>
      </c>
      <c r="F9" s="22" t="str">
        <f>IFERROR(VLOOKUP(F13,InvoiceDetails,7,FALSE)," ")</f>
        <v> - </v>
      </c>
      <c r="G9" s="23"/>
      <c r="H9" s="32"/>
      <c r="I9" s="22" t="str">
        <f>IFERROR(VLOOKUP(#REF!,InvoiceDetails,8,FALSE)," ")</f>
        <v> </v>
      </c>
      <c r="J9" s="18"/>
      <c r="L9" s="30"/>
    </row>
    <row r="10" ht="12.75" customHeight="1">
      <c r="A10" s="10"/>
      <c r="B10" s="34" t="s">
        <v>14</v>
      </c>
      <c r="C10" s="35" t="s">
        <v>15</v>
      </c>
      <c r="D10" s="35"/>
      <c r="E10" s="36"/>
      <c r="F10" s="7" t="s">
        <v>16</v>
      </c>
      <c r="G10" s="8"/>
      <c r="H10" s="9"/>
      <c r="I10" s="8" t="s">
        <v>3</v>
      </c>
      <c r="J10" s="9"/>
    </row>
    <row r="11" ht="12.75" customHeight="1">
      <c r="A11" s="30"/>
      <c r="B11" s="37" t="s">
        <v>17</v>
      </c>
      <c r="C11" s="38"/>
      <c r="D11" s="38"/>
      <c r="E11" s="39"/>
      <c r="F11" s="40" t="str">
        <f>IFERROR(VLOOKUP(F13,InvoiceDetails,9,FALSE)," ")</f>
        <v>WE23Y-00268</v>
      </c>
      <c r="G11" s="35"/>
      <c r="H11" s="36"/>
      <c r="I11" s="22">
        <f>IFERROR(VLOOKUP(F13,InvoiceDetails,10,FALSE)," ")</f>
        <v>45397</v>
      </c>
      <c r="J11" s="18"/>
    </row>
    <row r="12" ht="12.75" customHeight="1">
      <c r="A12" s="43"/>
      <c r="B12" s="44" t="str">
        <f>VLOOKUP(F13,InvoiceDetails,2,FALSE)</f>
        <v>SIDDHAYU AYURVEDIC RESEARCH FOUNDATION PVT LTD </v>
      </c>
      <c r="E12" s="42"/>
      <c r="F12" s="7" t="s">
        <v>61</v>
      </c>
      <c r="G12" s="8"/>
      <c r="H12" s="9"/>
      <c r="I12" s="8" t="s">
        <v>19</v>
      </c>
      <c r="J12" s="9"/>
    </row>
    <row r="13" ht="12.75" customHeight="1">
      <c r="A13" s="46"/>
      <c r="B13" s="47" t="str">
        <f>VLOOKUP(B12,CustDetail1,2,FALSE)</f>
        <v>FACTORY 172 LAKHANDUR ROAD DESAIGANJ WADSA</v>
      </c>
      <c r="E13" s="42"/>
      <c r="F13" s="209" t="s">
        <v>647</v>
      </c>
      <c r="H13" s="32"/>
      <c r="I13" s="149" t="str">
        <f>IFERROR(VLOOKUP(#REF!,InvoiceDetails,12,FALSE)," ")</f>
        <v> </v>
      </c>
      <c r="J13" s="36"/>
    </row>
    <row r="14" ht="12.75" customHeight="1">
      <c r="A14" s="46"/>
      <c r="B14" s="51"/>
      <c r="E14" s="42"/>
      <c r="F14" s="7" t="s">
        <v>21</v>
      </c>
      <c r="G14" s="8"/>
      <c r="H14" s="9"/>
      <c r="I14" s="8" t="s">
        <v>22</v>
      </c>
      <c r="J14" s="9"/>
    </row>
    <row r="15" ht="12.75" customHeight="1">
      <c r="A15" s="10"/>
      <c r="B15" s="12" t="s">
        <v>8</v>
      </c>
      <c r="C15" s="28" t="str">
        <f>VLOOKUP(B12,CustDetail1,3,FALSE)</f>
        <v>27AAACS8335F1ZC</v>
      </c>
      <c r="D15" s="10"/>
      <c r="E15" s="10"/>
      <c r="F15" s="52" t="str">
        <f>IFERROR(VLOOKUP(F13,InvoiceDetails,13,FALSE)," ")</f>
        <v>TRUCK</v>
      </c>
      <c r="H15" s="42"/>
      <c r="I15" s="53" t="str">
        <f>IFERROR(VLOOKUP(F13,InvoiceDetails,14,FALSE)," ")</f>
        <v>WADSA GADCHIROLI </v>
      </c>
      <c r="J15" s="42"/>
    </row>
    <row r="16" ht="12.75" customHeight="1">
      <c r="A16" s="10"/>
      <c r="B16" s="12" t="s">
        <v>12</v>
      </c>
      <c r="C16" s="10" t="str">
        <f>VLOOKUP(B12,CustDetail1,4,FALSE)</f>
        <v>MAHARASHTRA</v>
      </c>
      <c r="D16" s="10"/>
      <c r="E16" s="56">
        <f>VLOOKUP(B12,CustDetail1,5,FALSE)</f>
        <v>441207</v>
      </c>
      <c r="F16" s="34"/>
      <c r="G16" s="57" t="s">
        <v>23</v>
      </c>
      <c r="H16" s="36"/>
      <c r="I16" s="35"/>
      <c r="J16" s="36"/>
    </row>
    <row r="17" ht="12.75" customHeight="1">
      <c r="A17" s="10"/>
      <c r="B17" s="12" t="s">
        <v>14</v>
      </c>
      <c r="C17" s="10" t="str">
        <f>VLOOKUP(B12,CustDetail1,6,FALSE)</f>
        <v/>
      </c>
      <c r="D17" s="10"/>
      <c r="E17" s="13"/>
      <c r="F17" s="7" t="s">
        <v>24</v>
      </c>
      <c r="G17" s="8"/>
      <c r="H17" s="9"/>
      <c r="I17" s="8" t="s">
        <v>25</v>
      </c>
      <c r="J17" s="9"/>
    </row>
    <row r="18" ht="12.75" customHeight="1">
      <c r="A18" s="10"/>
      <c r="B18" s="12"/>
      <c r="C18" s="10"/>
      <c r="D18" s="10"/>
      <c r="E18" s="13"/>
      <c r="F18" s="58" t="str">
        <f>IFERROR(VLOOKUP(#REF!,InvoiceDetails,15,FALSE)," ")</f>
        <v> </v>
      </c>
      <c r="G18" s="10"/>
      <c r="H18" s="13"/>
      <c r="I18" s="59" t="str">
        <f>IFERROR(VLOOKUP(F13,InvoiceDetails,16,FALSE)," ")</f>
        <v>MH40CT0181</v>
      </c>
      <c r="J18" s="60"/>
    </row>
    <row r="19" ht="12.75" customHeight="1">
      <c r="A19" s="10"/>
      <c r="B19" s="12"/>
      <c r="C19" s="10"/>
      <c r="D19" s="10"/>
      <c r="E19" s="36"/>
      <c r="F19" s="34"/>
      <c r="G19" s="35"/>
      <c r="H19" s="36"/>
      <c r="I19" s="35"/>
      <c r="J19" s="36"/>
    </row>
    <row r="20" ht="12.75" customHeight="1">
      <c r="A20" s="30"/>
      <c r="B20" s="37" t="s">
        <v>26</v>
      </c>
      <c r="C20" s="38"/>
      <c r="D20" s="38"/>
      <c r="E20" s="39"/>
      <c r="F20" s="62" t="s">
        <v>27</v>
      </c>
      <c r="G20" s="30"/>
      <c r="H20" s="30"/>
      <c r="I20" s="30"/>
      <c r="J20" s="63"/>
    </row>
    <row r="21" ht="12.75" customHeight="1">
      <c r="A21" s="43"/>
      <c r="B21" s="44" t="str">
        <f>VLOOKUP(F13,InvoiceDetails,2,FALSE)</f>
        <v>SIDDHAYU AYURVEDIC RESEARCH FOUNDATION PVT LTD </v>
      </c>
      <c r="E21" s="42"/>
      <c r="F21" s="62"/>
      <c r="G21" s="30"/>
      <c r="H21" s="30"/>
      <c r="I21" s="30"/>
      <c r="J21" s="63"/>
    </row>
    <row r="22" ht="12.75" customHeight="1">
      <c r="A22" s="46"/>
      <c r="B22" s="47" t="str">
        <f>VLOOKUP(B21,CustDetail1,2,FALSE)</f>
        <v>FACTORY 172 LAKHANDUR ROAD DESAIGANJ WADSA</v>
      </c>
      <c r="E22" s="42"/>
      <c r="F22" s="62"/>
      <c r="G22" s="30"/>
      <c r="H22" s="30"/>
      <c r="I22" s="30"/>
      <c r="J22" s="63"/>
    </row>
    <row r="23" ht="12.75" customHeight="1">
      <c r="A23" s="46"/>
      <c r="B23" s="51"/>
      <c r="E23" s="42"/>
      <c r="F23" s="62"/>
      <c r="G23" s="30"/>
      <c r="H23" s="30"/>
      <c r="I23" s="30"/>
      <c r="J23" s="63"/>
    </row>
    <row r="24" ht="12.75" customHeight="1">
      <c r="A24" s="10"/>
      <c r="B24" s="12" t="s">
        <v>8</v>
      </c>
      <c r="C24" s="54" t="str">
        <f>VLOOKUP(B12,CustDetail1,3,FALSE)</f>
        <v>27AAACS8335F1ZC</v>
      </c>
      <c r="D24" s="30"/>
      <c r="E24" s="63"/>
      <c r="F24" s="62"/>
      <c r="G24" s="30"/>
      <c r="H24" s="30"/>
      <c r="I24" s="30"/>
      <c r="J24" s="63"/>
    </row>
    <row r="25" ht="12.75" customHeight="1">
      <c r="A25" s="10"/>
      <c r="B25" s="12" t="s">
        <v>12</v>
      </c>
      <c r="C25" s="64" t="str">
        <f>VLOOKUP(B12,CustDetail1,4,FALSE)</f>
        <v>MAHARASHTRA</v>
      </c>
      <c r="D25" s="30"/>
      <c r="E25" s="65">
        <f>VLOOKUP(B12,CustDetail1,5,FALSE)</f>
        <v>441207</v>
      </c>
      <c r="F25" s="62"/>
      <c r="G25" s="30"/>
      <c r="H25" s="30"/>
      <c r="I25" s="30"/>
      <c r="J25" s="63"/>
    </row>
    <row r="26" ht="12.75" customHeight="1">
      <c r="A26" s="10"/>
      <c r="B26" s="12" t="s">
        <v>14</v>
      </c>
      <c r="C26" s="20" t="str">
        <f>VLOOKUP(B12,CustDetail1,6,FALSE)</f>
        <v/>
      </c>
      <c r="D26" s="30"/>
      <c r="E26" s="63"/>
      <c r="F26" s="66"/>
      <c r="G26" s="15"/>
      <c r="H26" s="15"/>
      <c r="I26" s="15"/>
      <c r="J26" s="67"/>
    </row>
    <row r="27" ht="12.75" customHeight="1">
      <c r="A27" s="68"/>
      <c r="B27" s="69" t="s">
        <v>28</v>
      </c>
      <c r="C27" s="70" t="s">
        <v>29</v>
      </c>
      <c r="D27" s="71"/>
      <c r="E27" s="72"/>
      <c r="F27" s="73" t="s">
        <v>30</v>
      </c>
      <c r="G27" s="73" t="s">
        <v>31</v>
      </c>
      <c r="H27" s="73" t="s">
        <v>32</v>
      </c>
      <c r="I27" s="73" t="s">
        <v>33</v>
      </c>
      <c r="J27" s="73" t="s">
        <v>34</v>
      </c>
    </row>
    <row r="28" ht="12.75" customHeight="1">
      <c r="A28" s="74"/>
      <c r="B28" s="75">
        <v>1.0</v>
      </c>
      <c r="C28" s="76" t="str">
        <f>IFERROR(VLOOKUP(F13,InvoiceDetails,17,FALSE)," ")</f>
        <v>BIOMASS RICE HUSK </v>
      </c>
      <c r="D28" s="77"/>
      <c r="E28" s="78"/>
      <c r="F28" s="79">
        <f>IFERROR(VLOOKUP(F13,InvoiceDetails,18,FALSE)," ")</f>
        <v>1213</v>
      </c>
      <c r="G28" s="80">
        <f>IFERROR(VLOOKUP(F13,InvoiceDetails,19,FALSE)," ")</f>
        <v>10830</v>
      </c>
      <c r="H28" s="81">
        <f>IFERROR(VLOOKUP(F13,InvoiceDetails,20,FALSE)," ")</f>
        <v>4.45</v>
      </c>
      <c r="I28" s="82" t="str">
        <f>IFERROR(VLOOKUP(F13,InvoiceDetails,21,FALSE)," ")</f>
        <v>KG</v>
      </c>
      <c r="J28" s="83">
        <f>IFERROR(VLOOKUP(F13,InvoiceDetails,22,FALSE)," ")</f>
        <v>48193.5</v>
      </c>
    </row>
    <row r="29" ht="12.75" customHeight="1">
      <c r="A29" s="30"/>
      <c r="B29" s="85"/>
      <c r="C29" s="86"/>
      <c r="D29" s="87"/>
      <c r="E29" s="88"/>
      <c r="F29" s="85"/>
      <c r="G29" s="62"/>
      <c r="H29" s="62"/>
      <c r="I29" s="89"/>
      <c r="J29" s="90"/>
    </row>
    <row r="30" ht="12.75" customHeight="1">
      <c r="A30" s="30"/>
      <c r="B30" s="85"/>
      <c r="C30" s="86"/>
      <c r="D30" s="87"/>
      <c r="E30" s="91"/>
      <c r="F30" s="85"/>
      <c r="G30" s="62"/>
      <c r="H30" s="92" t="str">
        <f>IFERROR(VLOOKUP(#REF!,InvoiceDetails,23,FALSE)," ")</f>
        <v> </v>
      </c>
      <c r="I30" s="89"/>
      <c r="J30" s="90">
        <f>IFERROR(VLOOKUP(F13,InvoiceDetails,30,FALSE)," ")</f>
        <v>0</v>
      </c>
    </row>
    <row r="31" ht="12.75" customHeight="1">
      <c r="A31" s="30"/>
      <c r="B31" s="85"/>
      <c r="C31" s="86"/>
      <c r="D31" s="87"/>
      <c r="E31" s="91"/>
      <c r="F31" s="85"/>
      <c r="G31" s="62"/>
      <c r="H31" s="92" t="str">
        <f>IFERROR(VLOOKUP(#REF!,InvoiceDetails,24,FALSE)," ")</f>
        <v> </v>
      </c>
      <c r="I31" s="89"/>
      <c r="J31" s="90">
        <f>IFERROR(VLOOKUP(F13,InvoiceDetails,31,FALSE)," ")</f>
        <v>0</v>
      </c>
    </row>
    <row r="32" ht="12.75" customHeight="1">
      <c r="A32" s="30"/>
      <c r="B32" s="85"/>
      <c r="C32" s="86"/>
      <c r="D32" s="87"/>
      <c r="E32" s="91" t="s">
        <v>37</v>
      </c>
      <c r="F32" s="85"/>
      <c r="G32" s="62"/>
      <c r="H32" s="62"/>
      <c r="I32" s="89"/>
      <c r="J32" s="93">
        <f>IFERROR(VLOOKUP(F13,InvoiceDetails,27,FALSE)," ")</f>
        <v>-0.5</v>
      </c>
    </row>
    <row r="33" ht="12.75" customHeight="1">
      <c r="A33" s="30"/>
      <c r="B33" s="85"/>
      <c r="C33" s="86"/>
      <c r="D33" s="87"/>
      <c r="E33" s="91"/>
      <c r="F33" s="85"/>
      <c r="G33" s="62"/>
      <c r="H33" s="62"/>
      <c r="I33" s="89"/>
      <c r="J33" s="90"/>
    </row>
    <row r="34" ht="12.75" customHeight="1">
      <c r="A34" s="30"/>
      <c r="B34" s="85"/>
      <c r="C34" s="86"/>
      <c r="D34" s="87"/>
      <c r="E34" s="95" t="s">
        <v>38</v>
      </c>
      <c r="F34" s="85"/>
      <c r="G34" s="62"/>
      <c r="H34" s="62"/>
      <c r="I34" s="89"/>
      <c r="J34" s="90" t="str">
        <f>IFERROR(VLOOKUP(F13,InvoiceDetails,28,FALSE)," ")</f>
        <v/>
      </c>
    </row>
    <row r="35" ht="12.75" customHeight="1">
      <c r="A35" s="30"/>
      <c r="B35" s="85"/>
      <c r="C35" s="86"/>
      <c r="D35" s="87"/>
      <c r="E35" s="88"/>
      <c r="F35" s="85"/>
      <c r="G35" s="62"/>
      <c r="H35" s="62"/>
      <c r="I35" s="89"/>
      <c r="J35" s="90"/>
    </row>
    <row r="36" ht="12.75" customHeight="1">
      <c r="A36" s="30"/>
      <c r="B36" s="85"/>
      <c r="C36" s="86"/>
      <c r="D36" s="87"/>
      <c r="E36" s="88"/>
      <c r="F36" s="85"/>
      <c r="G36" s="62"/>
      <c r="H36" s="62"/>
      <c r="I36" s="89"/>
      <c r="J36" s="90"/>
    </row>
    <row r="37" ht="12.75" customHeight="1">
      <c r="A37" s="30"/>
      <c r="B37" s="85"/>
      <c r="C37" s="86"/>
      <c r="D37" s="87"/>
      <c r="E37" s="88"/>
      <c r="F37" s="85"/>
      <c r="G37" s="62"/>
      <c r="H37" s="62"/>
      <c r="I37" s="89"/>
      <c r="J37" s="90"/>
    </row>
    <row r="38" ht="12.75" customHeight="1">
      <c r="A38" s="30"/>
      <c r="B38" s="85"/>
      <c r="C38" s="86"/>
      <c r="D38" s="87"/>
      <c r="E38" s="88"/>
      <c r="F38" s="85"/>
      <c r="G38" s="62"/>
      <c r="H38" s="62"/>
      <c r="I38" s="89"/>
      <c r="J38" s="90"/>
    </row>
    <row r="39" ht="12.75" customHeight="1">
      <c r="A39" s="30"/>
      <c r="B39" s="96"/>
      <c r="C39" s="97"/>
      <c r="D39" s="98"/>
      <c r="E39" s="99" t="s">
        <v>39</v>
      </c>
      <c r="F39" s="100"/>
      <c r="G39" s="101">
        <f>SUM(G28:G38)</f>
        <v>10830</v>
      </c>
      <c r="H39" s="102"/>
      <c r="I39" s="100"/>
      <c r="J39" s="103">
        <f>IFERROR(VLOOKUP(F13,InvoiceDetails,26,FALSE)," ")</f>
        <v>48193</v>
      </c>
    </row>
    <row r="40" ht="12.75" customHeight="1">
      <c r="A40" s="105"/>
      <c r="B40" s="106" t="s">
        <v>40</v>
      </c>
      <c r="C40" s="107"/>
      <c r="D40" s="107"/>
      <c r="E40" s="107"/>
      <c r="F40" s="107"/>
      <c r="G40" s="107"/>
      <c r="H40" s="107"/>
      <c r="I40" s="107"/>
      <c r="J40" s="108" t="s">
        <v>41</v>
      </c>
    </row>
    <row r="41" ht="12.75" customHeight="1">
      <c r="A41" s="105"/>
      <c r="B41" s="110" t="s">
        <v>42</v>
      </c>
      <c r="C41" s="111" t="str">
        <f>"INR"&amp;CHOOSE(LEFT(TEXT(J39,"000000000.00"))+1,,"One","Two","Three","Four","Five","Six","Seven","Eight","Nine")
&amp;IF(--LEFT(TEXT(J39,"000000000.00"))=0,,IF(AND(--MID(TEXT(J39,"000000000.00"),2,1)=0,--MID(TEXT(J39,"000000000.00"),3,1)=0)," Hundred"," Hundred and "))
&amp;CHOOSE(MID(TEXT(J39,"000000000.00"),2,1)+1,,,"Twenty ","Thirty ","Forty ","Fifty ","Sixty ","Seventy ","Eighty ","Ninety ")
&amp;IF(--MID(TEXT(J39,"000000000.00"),2,1)&lt;&gt;1,CHOOSE(MID(TEXT(J39,"000000000.00"),3,1)+1,,"One","Two","Three","Four","Five","Six","Seven","Eight","Nine"),
CHOOSE(MID(TEXT(J39,"000000000.00"),3,1)+1,"Ten","Eleven","Twelve","Thirteen","Fourteen","Fifteen","Sixteen","Seventeen","Eighteen","Nineteen"))
&amp;IF((--LEFT(TEXT(J39,"000000000.00"))+MID(TEXT(J39,"000000000.00"),2,1)+MID(TEXT(J39,"000000000.00"),3,1))=0,,IF(AND((--MID(TEXT(J39,"000000000.00"),4,1)+MID(TEXT(J39,"000000000.00"),5,1)+MID(TEXT(J39,"000000000.00"),6,1)+MID(TEXT(J39,"000000000.00"),7,1))=0,(--MID(TEXT(J39,"000000000.00"),8,1)+RIGHT(TEXT(J39,"000000000.00")))&gt;0)," Million and "," Million "))
&amp;CHOOSE(MID(TEXT(J39,"000000000.00"),4,1)+1,,"One","Two","Three","Four","Five","Six","Seven","Eight","Nine")
&amp;IF(--MID(TEXT(J39,"000000000.00"),4,1)=0,,IF(AND(--MID(TEXT(J39,"000000000.00"),5,1)=0,--MID(TEXT(J39,"000000000.00"),6,1)=0)," Hundred"," Hundred and"))
&amp;CHOOSE(MID(TEXT(J39,"000000000.00"),5,1)+1,,," Twenty"," Thirty"," Forty"," Fifty"," Sixty"," Seventy"," Eighty"," Ninety")
&amp;IF(--MID(TEXT(J39,"000000000.00"),5,1)&lt;&gt;1,CHOOSE(MID(TEXT(J39,"000000000.00"),6,1)+1,," One"," Two"," Three"," Four"," Five"," Six"," Seven"," Eight"," Nine"),CHOOSE(MID(TEXT(J39,"000000000.00"),6,1)+1," Ten"," Eleven"," Twelve"," Thirteen"," Fourteen"," Fifteen"," Sixteen"," Seventeen"," Eighteen"," Nineteen"))
&amp;IF((--MID(TEXT(J39,"000000000.00"),4,1)+MID(TEXT(J39,"000000000.00"),5,1)+MID(TEXT(J39,"000000000.00"),6,1))=0,,IF(OR((--MID(TEXT(J39,"000000000.00"),7,1)+MID(TEXT(J39,"000000000.00"),8,1)+MID(TEXT(J39,"000000000.00"),9,1))=0,--MID(TEXT(J39,"000000000.00"),7,1)&lt;&gt;0)," Thousand "," Thousand and "))
&amp;CHOOSE(MID(TEXT(J39,"000000000.00"),7,1)+1,,"One","Two","Three","Four","Five","Six","Seven","Eight","Nine")
&amp;IF(--MID(TEXT(J39,"000000000.00"),7,1)=0,,IF(AND(--MID(TEXT(J39,"000000000.00"),8,1)=0,--MID(TEXT(J39,"000000000.00"),9,1)=0)," Hundred "," Hundred and "))&amp;
CHOOSE(MID(TEXT(J39,"000000000.00"),8,1)+1,,,"Twenty ","Thirty ","Forty ","Fifty ","Sixty ","Seventy ","Eighty ","Ninety ")
&amp;IF(--MID(TEXT(J39,"000000000.00"),8,1)&lt;&gt;1,CHOOSE(MID(TEXT(J39,"000000000.00"),9,1)+1,,"One","Two","Three","Four","Five","Six","Seven","Eight","Nine"),CHOOSE(MID(TEXT(J39,"000000000.00"),9,1)+1,"Ten","Eleven","Twelve","Thirteen","Fourteen","Fifteen","Sixteen","Seventeen","Eighteen","Nineteen"))
&amp;IF(RIGHT(TEXT(J39,"000000000.00"),2)&gt;"000000000.00"," &amp; "&amp;RIGHT(TEXT(J39,"000000000.00"),2)&amp;" Paise Only.","Only.")</f>
        <v>INR Forty Eight Thousand One Hundred and Ninety ThreeOnly.</v>
      </c>
      <c r="D41" s="112"/>
      <c r="E41" s="112"/>
      <c r="F41" s="112"/>
      <c r="G41" s="112"/>
      <c r="H41" s="112"/>
      <c r="I41" s="112"/>
      <c r="J41" s="113"/>
    </row>
    <row r="42" ht="12.75" customHeight="1">
      <c r="A42" s="114"/>
      <c r="B42" s="115" t="s">
        <v>30</v>
      </c>
      <c r="C42" s="5"/>
      <c r="D42" s="6"/>
      <c r="E42" s="116" t="s">
        <v>43</v>
      </c>
      <c r="F42" s="117" t="s">
        <v>44</v>
      </c>
      <c r="G42" s="18"/>
      <c r="H42" s="117" t="s">
        <v>45</v>
      </c>
      <c r="I42" s="18"/>
      <c r="J42" s="118" t="s">
        <v>46</v>
      </c>
    </row>
    <row r="43" ht="12.75" customHeight="1">
      <c r="A43" s="114"/>
      <c r="B43" s="120"/>
      <c r="C43" s="23"/>
      <c r="D43" s="18"/>
      <c r="E43" s="121"/>
      <c r="F43" s="110" t="s">
        <v>32</v>
      </c>
      <c r="G43" s="122" t="s">
        <v>34</v>
      </c>
      <c r="H43" s="122" t="s">
        <v>32</v>
      </c>
      <c r="I43" s="122" t="s">
        <v>34</v>
      </c>
      <c r="J43" s="121"/>
    </row>
    <row r="44" ht="12.75" customHeight="1">
      <c r="A44" s="123"/>
      <c r="B44" s="124">
        <f>IFERROR(VLOOKUP(F13,InvoiceDetails,18,FALSE)," ")</f>
        <v>1213</v>
      </c>
      <c r="C44" s="71"/>
      <c r="D44" s="72"/>
      <c r="E44" s="125">
        <f>IFERROR(VLOOKUP(F13,InvoiceDetails,26,FALSE)," ")</f>
        <v>48193</v>
      </c>
      <c r="F44" s="126" t="str">
        <f>IFERROR(VLOOKUP(F13,InvoiceDetails,23,FALSE)," ")</f>
        <v/>
      </c>
      <c r="G44" s="125">
        <f>IFERROR(VLOOKUP(F13,InvoiceDetails,30,FALSE)," ")</f>
        <v>0</v>
      </c>
      <c r="H44" s="126" t="str">
        <f>IFERROR(VLOOKUP(F13,InvoiceDetails,24,FALSE)," ")</f>
        <v/>
      </c>
      <c r="I44" s="125">
        <f>IFERROR(VLOOKUP(F13,InvoiceDetails,31,FALSE)," ")</f>
        <v>0</v>
      </c>
      <c r="J44" s="125">
        <f>IFERROR(VLOOKUP(F13,InvoiceDetails,33,FALSE)," ")</f>
        <v>0</v>
      </c>
    </row>
    <row r="45" ht="12.75" customHeight="1">
      <c r="A45" s="128"/>
      <c r="B45" s="129" t="s">
        <v>39</v>
      </c>
      <c r="C45" s="71"/>
      <c r="D45" s="72"/>
      <c r="E45" s="130">
        <f>E44</f>
        <v>48193</v>
      </c>
      <c r="F45" s="130"/>
      <c r="G45" s="130">
        <f>G44</f>
        <v>0</v>
      </c>
      <c r="H45" s="130"/>
      <c r="I45" s="130">
        <f t="shared" ref="I45:J45" si="1">I44</f>
        <v>0</v>
      </c>
      <c r="J45" s="130">
        <f t="shared" si="1"/>
        <v>0</v>
      </c>
    </row>
    <row r="46" ht="12.75" customHeight="1">
      <c r="A46" s="105"/>
      <c r="B46" s="132" t="s">
        <v>47</v>
      </c>
      <c r="C46" s="105"/>
      <c r="D46" s="105"/>
      <c r="E46" s="105"/>
      <c r="F46" s="105"/>
      <c r="G46" s="105"/>
      <c r="H46" s="105"/>
      <c r="I46" s="105"/>
      <c r="J46" s="133"/>
    </row>
    <row r="47" ht="12.75" customHeight="1">
      <c r="A47" s="105"/>
      <c r="B47" s="132" t="s">
        <v>42</v>
      </c>
      <c r="C47" s="105" t="str">
        <f>"INR"&amp;CHOOSE(LEFT(TEXT(J45,"000000000.00"))+1,,"One","Two","Three","Four","Five","Six","Seven","Eight","Nine")
&amp;IF(--LEFT(TEXT(J45,"000000000.00"))=0,,IF(AND(--MID(TEXT(J45,"000000000.00"),2,1)=0,--MID(TEXT(J45,"000000000.00"),3,1)=0)," Hundred"," Hundred and "))
&amp;CHOOSE(MID(TEXT(J45,"000000000.00"),2,1)+1,,,"Twenty ","Thirty ","Forty ","Fifty ","Sixty ","Seventy ","Eighty ","Ninety ")
&amp;IF(--MID(TEXT(J45,"000000000.00"),2,1)&lt;&gt;1,CHOOSE(MID(TEXT(J45,"000000000.00"),3,1)+1,,"One","Two","Three","Four","Five","Six","Seven","Eight","Nine"),
CHOOSE(MID(TEXT(J45,"000000000.00"),3,1)+1,"Ten","Eleven","Twelve","Thirteen","Fourteen","Fifteen","Sixteen","Seventeen","Eighteen","Nineteen"))
&amp;IF((--LEFT(TEXT(J45,"000000000.00"))+MID(TEXT(J45,"000000000.00"),2,1)+MID(TEXT(J45,"000000000.00"),3,1))=0,,IF(AND((--MID(TEXT(J45,"000000000.00"),4,1)+MID(TEXT(J45,"000000000.00"),5,1)+MID(TEXT(J45,"000000000.00"),6,1)+MID(TEXT(J45,"000000000.00"),7,1))=0,(--MID(TEXT(J45,"000000000.00"),8,1)+RIGHT(TEXT(J45,"000000000.00")))&gt;0)," Million and "," Million "))
&amp;CHOOSE(MID(TEXT(J45,"000000000.00"),4,1)+1,,"One","Two","Three","Four","Five","Six","Seven","Eight","Nine")
&amp;IF(--MID(TEXT(J45,"000000000.00"),4,1)=0,,IF(AND(--MID(TEXT(J45,"000000000.00"),5,1)=0,--MID(TEXT(J45,"000000000.00"),6,1)=0)," Hundred"," Hundred and"))
&amp;CHOOSE(MID(TEXT(J45,"000000000.00"),5,1)+1,,," Twenty"," Thirty"," Forty"," Fifty"," Sixty"," Seventy"," Eighty"," Ninety")
&amp;IF(--MID(TEXT(J45,"000000000.00"),5,1)&lt;&gt;1,CHOOSE(MID(TEXT(J45,"000000000.00"),6,1)+1,," One"," Two"," Three"," Four"," Five"," Six"," Seven"," Eight"," Nine"),CHOOSE(MID(TEXT(J45,"000000000.00"),6,1)+1," Ten"," Eleven"," Twelve"," Thirteen"," Fourteen"," Fifteen"," Sixteen"," Seventeen"," Eighteen"," Nineteen"))
&amp;IF((--MID(TEXT(J45,"000000000.00"),4,1)+MID(TEXT(J45,"000000000.00"),5,1)+MID(TEXT(J45,"000000000.00"),6,1))=0,,IF(OR((--MID(TEXT(J45,"000000000.00"),7,1)+MID(TEXT(J45,"000000000.00"),8,1)+MID(TEXT(J45,"000000000.00"),9,1))=0,--MID(TEXT(J45,"000000000.00"),7,1)&lt;&gt;0)," Thousand "," Thousand and "))
&amp;CHOOSE(MID(TEXT(J45,"000000000.00"),7,1)+1,,"One","Two","Three","Four","Five","Six","Seven","Eight","Nine")
&amp;IF(--MID(TEXT(J45,"000000000.00"),7,1)=0,,IF(AND(--MID(TEXT(J45,"000000000.00"),8,1)=0,--MID(TEXT(J45,"000000000.00"),9,1)=0)," Hundred "," Hundred and "))&amp;
CHOOSE(MID(TEXT(J45,"000000000.00"),8,1)+1,,,"Twenty ","Thirty ","Forty ","Fifty ","Sixty ","Seventy ","Eighty ","Ninety ")
&amp;IF(--MID(TEXT(J45,"000000000.00"),8,1)&lt;&gt;1,CHOOSE(MID(TEXT(J45,"000000000.00"),9,1)+1,,"One","Two","Three","Four","Five","Six","Seven","Eight","Nine"),CHOOSE(MID(TEXT(J45,"000000000.00"),9,1)+1,"Ten","Eleven","Twelve","Thirteen","Fourteen","Fifteen","Sixteen","Seventeen","Eighteen","Nineteen"))
&amp;IF(RIGHT(TEXT(J45,"000000000.00"),2)&gt;"000000000.00"," &amp; "&amp;RIGHT(TEXT(J45,"000000000.00"),2)&amp;" Paise Only.","Only.")</f>
        <v>INROnly.</v>
      </c>
      <c r="D47" s="105"/>
      <c r="E47" s="105"/>
      <c r="F47" s="105"/>
      <c r="G47" s="105"/>
      <c r="H47" s="105"/>
      <c r="I47" s="105"/>
      <c r="J47" s="133"/>
    </row>
    <row r="48" ht="12.75" customHeight="1">
      <c r="A48" s="105"/>
      <c r="B48" s="132"/>
      <c r="C48" s="105"/>
      <c r="D48" s="105"/>
      <c r="E48" s="105"/>
      <c r="G48" s="105"/>
      <c r="H48" s="105"/>
      <c r="I48" s="105"/>
      <c r="J48" s="133"/>
    </row>
    <row r="49" ht="12.75" customHeight="1">
      <c r="A49" s="105"/>
      <c r="B49" s="132" t="s">
        <v>48</v>
      </c>
      <c r="C49" s="105"/>
      <c r="D49" s="105"/>
      <c r="E49" s="105"/>
      <c r="F49" s="134" t="s">
        <v>49</v>
      </c>
      <c r="H49" s="134" t="s">
        <v>50</v>
      </c>
      <c r="I49" s="105"/>
      <c r="J49" s="133"/>
    </row>
    <row r="50" ht="12.75" customHeight="1">
      <c r="A50" s="105"/>
      <c r="B50" s="132"/>
      <c r="C50" s="105"/>
      <c r="D50" s="105"/>
      <c r="E50" s="105"/>
      <c r="F50" s="134" t="s">
        <v>51</v>
      </c>
      <c r="H50" s="135">
        <v>3.9935045918E10</v>
      </c>
      <c r="I50" s="105"/>
      <c r="J50" s="133"/>
    </row>
    <row r="51" ht="12.75" customHeight="1">
      <c r="A51" s="105"/>
      <c r="B51" s="132" t="s">
        <v>52</v>
      </c>
      <c r="C51" s="105" t="s">
        <v>53</v>
      </c>
      <c r="D51" s="105"/>
      <c r="E51" s="105"/>
      <c r="F51" s="134" t="s">
        <v>54</v>
      </c>
      <c r="H51" s="134" t="s">
        <v>55</v>
      </c>
      <c r="I51" s="105"/>
      <c r="J51" s="133"/>
    </row>
    <row r="52" ht="12.75" customHeight="1">
      <c r="A52" s="105"/>
      <c r="B52" s="132" t="s">
        <v>56</v>
      </c>
      <c r="C52" s="105"/>
      <c r="D52" s="105"/>
      <c r="E52" s="105"/>
      <c r="F52" s="134"/>
      <c r="G52" s="105"/>
      <c r="H52" s="105"/>
      <c r="I52" s="105"/>
      <c r="J52" s="133"/>
    </row>
    <row r="53" ht="12.75" customHeight="1">
      <c r="A53" s="136"/>
      <c r="B53" s="137" t="s">
        <v>57</v>
      </c>
      <c r="E53" s="42"/>
      <c r="F53" s="115"/>
      <c r="G53" s="138"/>
      <c r="H53" s="139" t="s">
        <v>780</v>
      </c>
      <c r="I53" s="138"/>
      <c r="J53" s="140"/>
    </row>
    <row r="54" ht="12.75" customHeight="1">
      <c r="A54" s="136"/>
      <c r="B54" s="51"/>
      <c r="E54" s="42"/>
      <c r="F54" s="141"/>
      <c r="G54" s="114"/>
      <c r="H54" s="114"/>
      <c r="I54" s="114"/>
      <c r="J54" s="142"/>
    </row>
    <row r="55" ht="12.75" customHeight="1">
      <c r="A55" s="136"/>
      <c r="B55" s="51"/>
      <c r="E55" s="42"/>
      <c r="F55" s="141"/>
      <c r="G55" s="114"/>
      <c r="H55" s="114"/>
      <c r="I55" s="114"/>
      <c r="J55" s="142"/>
    </row>
    <row r="56" ht="12.75" customHeight="1">
      <c r="A56" s="136"/>
      <c r="B56" s="120"/>
      <c r="C56" s="23"/>
      <c r="D56" s="23"/>
      <c r="E56" s="18"/>
      <c r="F56" s="143"/>
      <c r="G56" s="144"/>
      <c r="H56" s="144" t="s">
        <v>59</v>
      </c>
      <c r="I56" s="144"/>
      <c r="J56" s="145"/>
    </row>
    <row r="57" ht="12.75" customHeight="1">
      <c r="A57" s="114"/>
      <c r="B57" s="138" t="s">
        <v>60</v>
      </c>
      <c r="C57" s="5"/>
      <c r="D57" s="5"/>
      <c r="E57" s="5"/>
      <c r="F57" s="5"/>
      <c r="G57" s="5"/>
      <c r="H57" s="5"/>
      <c r="I57" s="5"/>
      <c r="J57" s="5"/>
    </row>
    <row r="58" ht="12.75" customHeight="1">
      <c r="A58" s="105"/>
      <c r="B58" s="105"/>
      <c r="C58" s="105"/>
      <c r="D58" s="105"/>
      <c r="E58" s="105"/>
      <c r="F58" s="105"/>
      <c r="G58" s="105"/>
      <c r="H58" s="105"/>
      <c r="I58" s="105"/>
      <c r="J58" s="105"/>
    </row>
    <row r="59" ht="12.75" customHeight="1">
      <c r="A59" s="105"/>
      <c r="B59" s="105"/>
      <c r="C59" s="105"/>
      <c r="D59" s="105"/>
      <c r="E59" s="105"/>
      <c r="F59" s="105"/>
      <c r="G59" s="105"/>
      <c r="H59" s="105"/>
      <c r="I59" s="105"/>
      <c r="J59" s="105"/>
    </row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8">
    <mergeCell ref="B2:J2"/>
    <mergeCell ref="B4:E4"/>
    <mergeCell ref="I5:J5"/>
    <mergeCell ref="B7:D7"/>
    <mergeCell ref="F7:G7"/>
    <mergeCell ref="K8:L8"/>
    <mergeCell ref="F9:G9"/>
    <mergeCell ref="I9:J9"/>
    <mergeCell ref="I11:J11"/>
    <mergeCell ref="B12:E12"/>
    <mergeCell ref="B13:E14"/>
    <mergeCell ref="F15:H15"/>
    <mergeCell ref="I15:J15"/>
    <mergeCell ref="B21:E21"/>
    <mergeCell ref="B44:D44"/>
    <mergeCell ref="B45:D45"/>
    <mergeCell ref="F49:G49"/>
    <mergeCell ref="F50:G50"/>
    <mergeCell ref="F51:G51"/>
    <mergeCell ref="B53:E56"/>
    <mergeCell ref="B57:J57"/>
    <mergeCell ref="B22:E23"/>
    <mergeCell ref="C27:E27"/>
    <mergeCell ref="B42:D43"/>
    <mergeCell ref="E42:E43"/>
    <mergeCell ref="F42:G42"/>
    <mergeCell ref="H42:I42"/>
    <mergeCell ref="J42:J43"/>
  </mergeCells>
  <printOptions/>
  <pageMargins bottom="0.75" footer="0.0" header="0.0" left="0.25" right="0.25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32.13"/>
    <col customWidth="1" min="3" max="3" width="51.63"/>
    <col customWidth="1" min="4" max="4" width="19.5"/>
    <col customWidth="1" min="5" max="5" width="17.5"/>
    <col customWidth="1" min="6" max="6" width="9.88"/>
    <col customWidth="1" min="7" max="7" width="20.75"/>
    <col customWidth="1" min="8" max="27" width="10.0"/>
  </cols>
  <sheetData>
    <row r="1" ht="12.75" customHeight="1">
      <c r="A1" s="48" t="s">
        <v>781</v>
      </c>
      <c r="B1" s="30" t="s">
        <v>782</v>
      </c>
      <c r="C1" s="30" t="s">
        <v>783</v>
      </c>
      <c r="D1" s="30" t="s">
        <v>784</v>
      </c>
      <c r="E1" s="30" t="s">
        <v>785</v>
      </c>
      <c r="F1" s="30" t="s">
        <v>786</v>
      </c>
      <c r="G1" s="30" t="s">
        <v>787</v>
      </c>
      <c r="H1" s="48" t="s">
        <v>781</v>
      </c>
    </row>
    <row r="2" ht="12.75" customHeight="1">
      <c r="A2" s="48" t="s">
        <v>788</v>
      </c>
      <c r="B2" s="30" t="s">
        <v>789</v>
      </c>
      <c r="C2" s="30" t="s">
        <v>790</v>
      </c>
      <c r="D2" s="30" t="s">
        <v>791</v>
      </c>
      <c r="E2" s="30" t="s">
        <v>13</v>
      </c>
      <c r="F2" s="170">
        <v>441122.0</v>
      </c>
      <c r="G2" s="170" t="s">
        <v>792</v>
      </c>
      <c r="H2" s="48" t="s">
        <v>788</v>
      </c>
    </row>
    <row r="3" ht="12.75" customHeight="1">
      <c r="A3" s="210"/>
      <c r="B3" s="211" t="s">
        <v>793</v>
      </c>
      <c r="C3" s="211" t="s">
        <v>794</v>
      </c>
      <c r="D3" s="210"/>
      <c r="E3" s="212" t="s">
        <v>13</v>
      </c>
      <c r="F3" s="211">
        <v>441122.0</v>
      </c>
      <c r="G3" s="211" t="s">
        <v>795</v>
      </c>
      <c r="H3" s="210"/>
    </row>
    <row r="4" ht="12.75" customHeight="1">
      <c r="A4" s="48" t="s">
        <v>796</v>
      </c>
      <c r="B4" s="48" t="s">
        <v>797</v>
      </c>
      <c r="C4" s="48" t="s">
        <v>798</v>
      </c>
      <c r="D4" s="48" t="s">
        <v>799</v>
      </c>
      <c r="E4" s="48" t="s">
        <v>13</v>
      </c>
      <c r="F4" s="48">
        <v>441110.0</v>
      </c>
      <c r="G4" s="48" t="s">
        <v>800</v>
      </c>
      <c r="H4" s="48" t="s">
        <v>796</v>
      </c>
    </row>
    <row r="5" ht="12.75" customHeight="1">
      <c r="A5" s="48" t="s">
        <v>123</v>
      </c>
      <c r="B5" s="48" t="s">
        <v>801</v>
      </c>
      <c r="C5" s="48" t="s">
        <v>802</v>
      </c>
      <c r="D5" s="48" t="s">
        <v>803</v>
      </c>
      <c r="E5" s="48" t="s">
        <v>13</v>
      </c>
      <c r="F5" s="48">
        <v>442001.0</v>
      </c>
      <c r="G5" s="213"/>
      <c r="H5" s="48" t="s">
        <v>123</v>
      </c>
    </row>
    <row r="6" ht="12.75" customHeight="1">
      <c r="A6" s="48" t="s">
        <v>804</v>
      </c>
      <c r="B6" s="48" t="s">
        <v>805</v>
      </c>
      <c r="C6" s="48" t="s">
        <v>806</v>
      </c>
      <c r="D6" s="48" t="s">
        <v>807</v>
      </c>
      <c r="E6" s="48" t="s">
        <v>13</v>
      </c>
      <c r="F6" s="48">
        <v>441122.0</v>
      </c>
      <c r="G6" s="214" t="s">
        <v>808</v>
      </c>
      <c r="H6" s="48" t="s">
        <v>804</v>
      </c>
    </row>
    <row r="7" ht="12.75" customHeight="1">
      <c r="A7" s="48" t="s">
        <v>809</v>
      </c>
      <c r="B7" s="48" t="s">
        <v>810</v>
      </c>
      <c r="C7" s="48" t="s">
        <v>811</v>
      </c>
      <c r="D7" s="48" t="s">
        <v>812</v>
      </c>
      <c r="E7" s="48" t="s">
        <v>13</v>
      </c>
      <c r="F7" s="48">
        <v>441122.0</v>
      </c>
      <c r="H7" s="48" t="s">
        <v>809</v>
      </c>
    </row>
    <row r="8" ht="12.75" customHeight="1">
      <c r="A8" s="48" t="s">
        <v>813</v>
      </c>
      <c r="B8" s="48" t="s">
        <v>196</v>
      </c>
      <c r="C8" s="48" t="s">
        <v>814</v>
      </c>
      <c r="D8" s="48" t="s">
        <v>815</v>
      </c>
      <c r="E8" s="48" t="s">
        <v>13</v>
      </c>
      <c r="F8" s="48">
        <v>440008.0</v>
      </c>
      <c r="H8" s="48" t="s">
        <v>813</v>
      </c>
    </row>
    <row r="9" ht="12.75" customHeight="1">
      <c r="A9" s="48" t="s">
        <v>129</v>
      </c>
      <c r="B9" s="48" t="s">
        <v>816</v>
      </c>
      <c r="C9" s="48" t="s">
        <v>817</v>
      </c>
      <c r="D9" s="48" t="s">
        <v>818</v>
      </c>
      <c r="E9" s="48" t="s">
        <v>13</v>
      </c>
      <c r="F9" s="48">
        <v>425001.0</v>
      </c>
      <c r="H9" s="48" t="s">
        <v>129</v>
      </c>
    </row>
    <row r="10" ht="12.75" customHeight="1">
      <c r="A10" s="48" t="s">
        <v>819</v>
      </c>
      <c r="B10" s="48" t="s">
        <v>131</v>
      </c>
      <c r="C10" s="48" t="s">
        <v>820</v>
      </c>
      <c r="D10" s="48" t="s">
        <v>821</v>
      </c>
      <c r="E10" s="48" t="s">
        <v>13</v>
      </c>
      <c r="F10" s="48">
        <v>401105.0</v>
      </c>
      <c r="H10" s="48" t="s">
        <v>819</v>
      </c>
    </row>
    <row r="11" ht="12.75" customHeight="1">
      <c r="A11" s="48" t="s">
        <v>822</v>
      </c>
      <c r="B11" s="48" t="s">
        <v>823</v>
      </c>
      <c r="C11" s="48" t="s">
        <v>824</v>
      </c>
      <c r="D11" s="48" t="s">
        <v>825</v>
      </c>
      <c r="E11" s="48" t="s">
        <v>826</v>
      </c>
      <c r="F11" s="48">
        <v>474001.0</v>
      </c>
      <c r="H11" s="48" t="s">
        <v>822</v>
      </c>
    </row>
    <row r="12" ht="12.75" customHeight="1">
      <c r="A12" s="48" t="s">
        <v>124</v>
      </c>
      <c r="B12" s="48" t="s">
        <v>827</v>
      </c>
      <c r="C12" s="48" t="s">
        <v>814</v>
      </c>
      <c r="D12" s="48" t="s">
        <v>828</v>
      </c>
      <c r="E12" s="48" t="s">
        <v>13</v>
      </c>
      <c r="F12" s="48">
        <v>440008.0</v>
      </c>
      <c r="H12" s="48" t="s">
        <v>124</v>
      </c>
    </row>
    <row r="13" ht="12.75" customHeight="1">
      <c r="A13" s="48" t="s">
        <v>829</v>
      </c>
      <c r="B13" s="48" t="s">
        <v>830</v>
      </c>
      <c r="C13" s="48" t="s">
        <v>831</v>
      </c>
      <c r="D13" s="48" t="s">
        <v>832</v>
      </c>
      <c r="E13" s="48" t="s">
        <v>13</v>
      </c>
      <c r="F13" s="48">
        <v>440012.0</v>
      </c>
      <c r="H13" s="48" t="s">
        <v>829</v>
      </c>
    </row>
    <row r="14" ht="12.75" customHeight="1">
      <c r="A14" s="48" t="s">
        <v>833</v>
      </c>
      <c r="B14" s="48" t="s">
        <v>834</v>
      </c>
      <c r="C14" s="48" t="s">
        <v>835</v>
      </c>
      <c r="D14" s="48" t="s">
        <v>836</v>
      </c>
      <c r="E14" s="48" t="s">
        <v>826</v>
      </c>
      <c r="F14" s="48">
        <v>481445.0</v>
      </c>
      <c r="H14" s="48" t="s">
        <v>833</v>
      </c>
    </row>
    <row r="15" ht="12.75" customHeight="1">
      <c r="A15" s="48" t="s">
        <v>837</v>
      </c>
      <c r="B15" s="48" t="s">
        <v>838</v>
      </c>
      <c r="C15" s="48" t="s">
        <v>263</v>
      </c>
      <c r="D15" s="48" t="s">
        <v>839</v>
      </c>
      <c r="E15" s="48" t="s">
        <v>13</v>
      </c>
      <c r="F15" s="48">
        <v>440024.0</v>
      </c>
      <c r="G15" s="48" t="s">
        <v>840</v>
      </c>
      <c r="H15" s="48" t="s">
        <v>837</v>
      </c>
    </row>
    <row r="16" ht="12.75" customHeight="1">
      <c r="A16" s="48" t="s">
        <v>841</v>
      </c>
      <c r="B16" s="48" t="s">
        <v>842</v>
      </c>
      <c r="C16" s="48" t="s">
        <v>843</v>
      </c>
      <c r="D16" s="48" t="s">
        <v>844</v>
      </c>
      <c r="E16" s="48" t="s">
        <v>13</v>
      </c>
      <c r="F16" s="48">
        <v>441204.0</v>
      </c>
      <c r="H16" s="48" t="s">
        <v>841</v>
      </c>
    </row>
    <row r="17" ht="12.75" customHeight="1">
      <c r="A17" s="48" t="s">
        <v>845</v>
      </c>
      <c r="B17" s="48" t="s">
        <v>846</v>
      </c>
      <c r="C17" s="48" t="s">
        <v>847</v>
      </c>
      <c r="D17" s="48" t="s">
        <v>848</v>
      </c>
      <c r="E17" s="48" t="s">
        <v>13</v>
      </c>
      <c r="F17" s="48">
        <v>441108.0</v>
      </c>
      <c r="H17" s="48" t="s">
        <v>845</v>
      </c>
    </row>
    <row r="18" ht="12.75" customHeight="1">
      <c r="A18" s="48" t="s">
        <v>849</v>
      </c>
      <c r="B18" s="48" t="s">
        <v>850</v>
      </c>
      <c r="C18" s="48" t="s">
        <v>851</v>
      </c>
      <c r="D18" s="48" t="s">
        <v>852</v>
      </c>
      <c r="E18" s="48" t="s">
        <v>13</v>
      </c>
      <c r="F18" s="48">
        <v>440034.0</v>
      </c>
      <c r="H18" s="48" t="s">
        <v>849</v>
      </c>
    </row>
    <row r="19" ht="12.75" customHeight="1">
      <c r="A19" s="48" t="s">
        <v>853</v>
      </c>
      <c r="B19" s="48" t="s">
        <v>854</v>
      </c>
      <c r="C19" s="48" t="s">
        <v>855</v>
      </c>
      <c r="D19" s="48" t="s">
        <v>856</v>
      </c>
      <c r="E19" s="48" t="s">
        <v>857</v>
      </c>
      <c r="F19" s="48">
        <v>751025.0</v>
      </c>
      <c r="G19" s="48" t="s">
        <v>858</v>
      </c>
      <c r="H19" s="48" t="s">
        <v>853</v>
      </c>
    </row>
    <row r="20" ht="12.75" customHeight="1">
      <c r="A20" s="48" t="s">
        <v>859</v>
      </c>
      <c r="B20" s="48" t="s">
        <v>860</v>
      </c>
      <c r="C20" s="48" t="s">
        <v>861</v>
      </c>
      <c r="D20" s="48" t="s">
        <v>862</v>
      </c>
      <c r="E20" s="48" t="s">
        <v>13</v>
      </c>
      <c r="F20" s="48">
        <v>440016.0</v>
      </c>
      <c r="H20" s="48" t="s">
        <v>859</v>
      </c>
    </row>
    <row r="21" ht="12.75" customHeight="1">
      <c r="A21" s="48" t="s">
        <v>863</v>
      </c>
      <c r="B21" s="48" t="s">
        <v>864</v>
      </c>
      <c r="C21" s="48" t="s">
        <v>865</v>
      </c>
      <c r="D21" s="48" t="s">
        <v>866</v>
      </c>
      <c r="E21" s="48" t="s">
        <v>13</v>
      </c>
      <c r="F21" s="48">
        <v>440010.0</v>
      </c>
      <c r="H21" s="48" t="s">
        <v>863</v>
      </c>
    </row>
    <row r="22" ht="12.75" customHeight="1">
      <c r="A22" s="48" t="s">
        <v>867</v>
      </c>
      <c r="B22" s="48" t="s">
        <v>868</v>
      </c>
      <c r="C22" s="48" t="s">
        <v>869</v>
      </c>
      <c r="D22" s="48" t="s">
        <v>870</v>
      </c>
      <c r="E22" s="48" t="s">
        <v>13</v>
      </c>
      <c r="G22" s="48">
        <v>9.325200232E9</v>
      </c>
      <c r="H22" s="48" t="s">
        <v>867</v>
      </c>
    </row>
    <row r="23" ht="12.75" customHeight="1">
      <c r="A23" s="48" t="s">
        <v>871</v>
      </c>
      <c r="B23" s="48" t="s">
        <v>872</v>
      </c>
      <c r="C23" s="48" t="s">
        <v>873</v>
      </c>
      <c r="D23" s="48" t="s">
        <v>874</v>
      </c>
      <c r="E23" s="48" t="s">
        <v>13</v>
      </c>
      <c r="F23" s="48">
        <v>441122.0</v>
      </c>
      <c r="G23" s="48" t="s">
        <v>875</v>
      </c>
      <c r="H23" s="48" t="s">
        <v>871</v>
      </c>
    </row>
    <row r="24" ht="12.75" customHeight="1">
      <c r="A24" s="48" t="s">
        <v>876</v>
      </c>
      <c r="B24" s="48" t="s">
        <v>877</v>
      </c>
      <c r="C24" s="48" t="s">
        <v>878</v>
      </c>
      <c r="D24" s="48" t="s">
        <v>879</v>
      </c>
      <c r="E24" s="48" t="s">
        <v>13</v>
      </c>
      <c r="F24" s="48">
        <v>411041.0</v>
      </c>
      <c r="G24" s="48" t="s">
        <v>880</v>
      </c>
      <c r="H24" s="48" t="s">
        <v>876</v>
      </c>
    </row>
    <row r="25" ht="12.75" customHeight="1">
      <c r="A25" s="48" t="s">
        <v>881</v>
      </c>
      <c r="B25" s="48" t="s">
        <v>882</v>
      </c>
      <c r="C25" s="48" t="s">
        <v>883</v>
      </c>
      <c r="D25" s="48" t="s">
        <v>818</v>
      </c>
      <c r="E25" s="48" t="s">
        <v>13</v>
      </c>
      <c r="F25" s="48">
        <v>410206.0</v>
      </c>
      <c r="G25" s="48">
        <v>9.870314819E9</v>
      </c>
      <c r="H25" s="48" t="s">
        <v>881</v>
      </c>
    </row>
    <row r="26" ht="12.75" customHeight="1">
      <c r="A26" s="48" t="s">
        <v>884</v>
      </c>
      <c r="B26" s="48" t="s">
        <v>885</v>
      </c>
      <c r="C26" s="48" t="s">
        <v>886</v>
      </c>
      <c r="D26" s="48" t="s">
        <v>818</v>
      </c>
      <c r="E26" s="48" t="s">
        <v>13</v>
      </c>
      <c r="H26" s="48" t="s">
        <v>884</v>
      </c>
    </row>
    <row r="27" ht="12.75" customHeight="1">
      <c r="A27" s="48" t="s">
        <v>887</v>
      </c>
      <c r="B27" s="48" t="s">
        <v>888</v>
      </c>
      <c r="C27" s="48" t="s">
        <v>889</v>
      </c>
      <c r="D27" s="48" t="s">
        <v>890</v>
      </c>
      <c r="E27" s="48" t="s">
        <v>891</v>
      </c>
      <c r="F27" s="48">
        <v>492099.0</v>
      </c>
      <c r="H27" s="48" t="s">
        <v>887</v>
      </c>
    </row>
    <row r="28" ht="12.75" customHeight="1">
      <c r="A28" s="48" t="s">
        <v>892</v>
      </c>
      <c r="B28" s="48" t="s">
        <v>893</v>
      </c>
      <c r="C28" s="48" t="s">
        <v>894</v>
      </c>
      <c r="D28" s="48" t="s">
        <v>895</v>
      </c>
      <c r="E28" s="48" t="s">
        <v>896</v>
      </c>
      <c r="F28" s="48">
        <v>250002.0</v>
      </c>
      <c r="H28" s="48" t="s">
        <v>892</v>
      </c>
    </row>
    <row r="29" ht="12.75" customHeight="1">
      <c r="A29" s="48" t="s">
        <v>897</v>
      </c>
      <c r="B29" s="48" t="s">
        <v>898</v>
      </c>
      <c r="C29" s="48" t="s">
        <v>899</v>
      </c>
      <c r="D29" s="48" t="s">
        <v>900</v>
      </c>
      <c r="E29" s="48" t="s">
        <v>891</v>
      </c>
      <c r="F29" s="48">
        <v>493221.0</v>
      </c>
      <c r="H29" s="48" t="s">
        <v>897</v>
      </c>
    </row>
    <row r="30" ht="12.75" customHeight="1">
      <c r="A30" s="48" t="s">
        <v>901</v>
      </c>
      <c r="B30" s="48" t="s">
        <v>902</v>
      </c>
      <c r="C30" s="48" t="s">
        <v>903</v>
      </c>
      <c r="D30" s="48" t="s">
        <v>904</v>
      </c>
      <c r="E30" s="48" t="s">
        <v>13</v>
      </c>
      <c r="F30" s="48">
        <v>441122.0</v>
      </c>
      <c r="H30" s="48" t="s">
        <v>901</v>
      </c>
    </row>
    <row r="31" ht="12.75" customHeight="1">
      <c r="A31" s="48" t="s">
        <v>905</v>
      </c>
      <c r="B31" s="48" t="s">
        <v>906</v>
      </c>
      <c r="C31" s="48" t="s">
        <v>907</v>
      </c>
      <c r="D31" s="48" t="s">
        <v>908</v>
      </c>
      <c r="E31" s="48" t="s">
        <v>13</v>
      </c>
      <c r="F31" s="48">
        <v>441110.0</v>
      </c>
      <c r="H31" s="48" t="s">
        <v>905</v>
      </c>
    </row>
    <row r="32" ht="12.75" customHeight="1">
      <c r="A32" s="48" t="s">
        <v>909</v>
      </c>
      <c r="B32" s="48" t="s">
        <v>141</v>
      </c>
      <c r="C32" s="48" t="s">
        <v>910</v>
      </c>
      <c r="D32" s="48" t="s">
        <v>911</v>
      </c>
      <c r="E32" s="48" t="s">
        <v>142</v>
      </c>
      <c r="F32" s="48">
        <v>392150.0</v>
      </c>
      <c r="H32" s="48" t="s">
        <v>909</v>
      </c>
    </row>
    <row r="33" ht="12.75" customHeight="1">
      <c r="A33" s="48" t="s">
        <v>912</v>
      </c>
      <c r="B33" s="48" t="s">
        <v>913</v>
      </c>
      <c r="C33" s="48" t="s">
        <v>914</v>
      </c>
      <c r="D33" s="48" t="s">
        <v>915</v>
      </c>
      <c r="E33" s="48" t="s">
        <v>13</v>
      </c>
      <c r="F33" s="48">
        <v>441122.0</v>
      </c>
      <c r="H33" s="48" t="s">
        <v>912</v>
      </c>
    </row>
    <row r="34" ht="12.75" customHeight="1">
      <c r="A34" s="48" t="s">
        <v>916</v>
      </c>
      <c r="B34" s="48" t="s">
        <v>917</v>
      </c>
      <c r="C34" s="48" t="s">
        <v>918</v>
      </c>
      <c r="E34" s="48" t="s">
        <v>13</v>
      </c>
      <c r="F34" s="48">
        <v>440016.0</v>
      </c>
      <c r="H34" s="48" t="s">
        <v>916</v>
      </c>
    </row>
    <row r="35" ht="12.75" customHeight="1">
      <c r="A35" s="48" t="s">
        <v>919</v>
      </c>
      <c r="B35" s="48" t="s">
        <v>165</v>
      </c>
      <c r="C35" s="48" t="s">
        <v>920</v>
      </c>
      <c r="D35" s="48" t="s">
        <v>921</v>
      </c>
      <c r="E35" s="48" t="s">
        <v>13</v>
      </c>
      <c r="F35" s="48">
        <v>431001.0</v>
      </c>
      <c r="H35" s="48" t="s">
        <v>919</v>
      </c>
    </row>
    <row r="36" ht="12.75" customHeight="1">
      <c r="A36" s="48" t="s">
        <v>922</v>
      </c>
      <c r="B36" s="48" t="s">
        <v>923</v>
      </c>
      <c r="C36" s="48" t="s">
        <v>924</v>
      </c>
      <c r="D36" s="48" t="s">
        <v>925</v>
      </c>
      <c r="E36" s="48" t="s">
        <v>13</v>
      </c>
      <c r="F36" s="48">
        <v>440030.0</v>
      </c>
      <c r="H36" s="48" t="s">
        <v>922</v>
      </c>
    </row>
    <row r="37" ht="12.75" customHeight="1">
      <c r="A37" s="48" t="s">
        <v>926</v>
      </c>
      <c r="B37" s="48" t="s">
        <v>927</v>
      </c>
      <c r="C37" s="48" t="s">
        <v>928</v>
      </c>
      <c r="D37" s="48" t="s">
        <v>929</v>
      </c>
      <c r="E37" s="48" t="s">
        <v>13</v>
      </c>
      <c r="F37" s="48">
        <v>440002.0</v>
      </c>
      <c r="H37" s="48" t="s">
        <v>926</v>
      </c>
    </row>
    <row r="38" ht="12.75" customHeight="1">
      <c r="A38" s="48" t="s">
        <v>930</v>
      </c>
      <c r="B38" s="48" t="s">
        <v>931</v>
      </c>
      <c r="C38" s="48" t="s">
        <v>932</v>
      </c>
      <c r="D38" s="48" t="s">
        <v>933</v>
      </c>
      <c r="E38" s="48" t="s">
        <v>13</v>
      </c>
      <c r="F38" s="48">
        <v>400092.0</v>
      </c>
      <c r="G38" s="48" t="s">
        <v>934</v>
      </c>
      <c r="H38" s="48" t="s">
        <v>930</v>
      </c>
    </row>
    <row r="39" ht="12.75" customHeight="1">
      <c r="A39" s="48" t="s">
        <v>935</v>
      </c>
      <c r="B39" s="48" t="s">
        <v>936</v>
      </c>
      <c r="C39" s="48" t="s">
        <v>937</v>
      </c>
      <c r="D39" s="48" t="s">
        <v>938</v>
      </c>
      <c r="E39" s="48" t="s">
        <v>13</v>
      </c>
      <c r="F39" s="48">
        <v>441122.0</v>
      </c>
      <c r="H39" s="48" t="s">
        <v>935</v>
      </c>
    </row>
    <row r="40" ht="12.75" customHeight="1">
      <c r="A40" s="48" t="s">
        <v>939</v>
      </c>
      <c r="B40" s="48" t="s">
        <v>940</v>
      </c>
      <c r="C40" s="48" t="s">
        <v>941</v>
      </c>
      <c r="D40" s="48" t="s">
        <v>942</v>
      </c>
      <c r="E40" s="48" t="s">
        <v>943</v>
      </c>
      <c r="F40" s="48">
        <v>431001.0</v>
      </c>
      <c r="G40" s="48" t="s">
        <v>944</v>
      </c>
      <c r="H40" s="48" t="s">
        <v>939</v>
      </c>
    </row>
    <row r="41" ht="12.75" customHeight="1">
      <c r="A41" s="48" t="s">
        <v>945</v>
      </c>
      <c r="B41" s="48" t="s">
        <v>545</v>
      </c>
      <c r="C41" s="48" t="s">
        <v>946</v>
      </c>
      <c r="D41" s="48" t="s">
        <v>947</v>
      </c>
      <c r="E41" s="48" t="s">
        <v>948</v>
      </c>
      <c r="G41" s="48" t="s">
        <v>949</v>
      </c>
      <c r="H41" s="48" t="s">
        <v>945</v>
      </c>
    </row>
    <row r="42" ht="12.75" customHeight="1">
      <c r="A42" s="48" t="s">
        <v>950</v>
      </c>
      <c r="B42" s="48" t="s">
        <v>951</v>
      </c>
      <c r="C42" s="48" t="s">
        <v>952</v>
      </c>
      <c r="D42" s="48" t="s">
        <v>953</v>
      </c>
      <c r="E42" s="48" t="s">
        <v>943</v>
      </c>
      <c r="G42" s="48" t="s">
        <v>954</v>
      </c>
      <c r="H42" s="48" t="s">
        <v>950</v>
      </c>
    </row>
    <row r="43" ht="12.75" customHeight="1">
      <c r="A43" s="48" t="s">
        <v>955</v>
      </c>
      <c r="B43" s="48" t="s">
        <v>956</v>
      </c>
      <c r="C43" s="48" t="s">
        <v>957</v>
      </c>
      <c r="D43" s="48" t="s">
        <v>958</v>
      </c>
      <c r="E43" s="48" t="s">
        <v>943</v>
      </c>
      <c r="H43" s="48" t="s">
        <v>955</v>
      </c>
    </row>
    <row r="44" ht="12.75" customHeight="1">
      <c r="A44" s="48" t="s">
        <v>959</v>
      </c>
      <c r="B44" s="48" t="s">
        <v>960</v>
      </c>
      <c r="C44" s="48" t="s">
        <v>961</v>
      </c>
      <c r="D44" s="48"/>
      <c r="E44" s="48" t="s">
        <v>13</v>
      </c>
      <c r="F44" s="48">
        <v>400072.0</v>
      </c>
      <c r="H44" s="48" t="s">
        <v>959</v>
      </c>
    </row>
    <row r="45" ht="12.75" customHeight="1">
      <c r="A45" s="48" t="s">
        <v>962</v>
      </c>
      <c r="B45" s="48" t="s">
        <v>963</v>
      </c>
      <c r="C45" s="48" t="s">
        <v>964</v>
      </c>
      <c r="D45" s="48" t="s">
        <v>965</v>
      </c>
      <c r="E45" s="48" t="s">
        <v>826</v>
      </c>
      <c r="F45" s="48">
        <v>480106.0</v>
      </c>
      <c r="H45" s="48" t="s">
        <v>962</v>
      </c>
    </row>
    <row r="46" ht="12.75" customHeight="1">
      <c r="A46" s="48" t="s">
        <v>966</v>
      </c>
      <c r="B46" s="48" t="s">
        <v>967</v>
      </c>
      <c r="C46" s="48" t="s">
        <v>968</v>
      </c>
      <c r="D46" s="48" t="s">
        <v>969</v>
      </c>
      <c r="E46" s="48" t="s">
        <v>857</v>
      </c>
      <c r="F46" s="48">
        <v>759132.0</v>
      </c>
      <c r="H46" s="48" t="s">
        <v>966</v>
      </c>
    </row>
    <row r="47" ht="12.75" customHeight="1">
      <c r="A47" s="48" t="s">
        <v>970</v>
      </c>
      <c r="B47" s="48" t="s">
        <v>971</v>
      </c>
      <c r="C47" s="48" t="s">
        <v>972</v>
      </c>
      <c r="D47" s="48" t="s">
        <v>973</v>
      </c>
      <c r="E47" s="48" t="s">
        <v>13</v>
      </c>
      <c r="F47" s="48">
        <v>441207.0</v>
      </c>
      <c r="H47" s="48" t="s">
        <v>970</v>
      </c>
    </row>
    <row r="48" ht="12.75" customHeight="1">
      <c r="A48" s="48" t="s">
        <v>974</v>
      </c>
      <c r="B48" s="48" t="s">
        <v>975</v>
      </c>
      <c r="C48" s="48" t="s">
        <v>976</v>
      </c>
      <c r="D48" s="48" t="s">
        <v>977</v>
      </c>
      <c r="E48" s="48" t="s">
        <v>13</v>
      </c>
      <c r="F48" s="48">
        <v>441110.0</v>
      </c>
      <c r="H48" s="48" t="s">
        <v>974</v>
      </c>
    </row>
    <row r="49" ht="12.75" customHeight="1">
      <c r="A49" s="48" t="s">
        <v>978</v>
      </c>
      <c r="B49" s="48" t="s">
        <v>979</v>
      </c>
      <c r="C49" s="48" t="s">
        <v>980</v>
      </c>
      <c r="D49" s="48" t="s">
        <v>981</v>
      </c>
      <c r="E49" s="48" t="s">
        <v>13</v>
      </c>
      <c r="F49" s="48">
        <v>444901.0</v>
      </c>
    </row>
    <row r="50" ht="12.75" customHeight="1">
      <c r="A50" s="48" t="s">
        <v>982</v>
      </c>
      <c r="B50" s="48" t="s">
        <v>983</v>
      </c>
      <c r="C50" s="48" t="s">
        <v>984</v>
      </c>
      <c r="D50" s="48" t="s">
        <v>985</v>
      </c>
      <c r="E50" s="48" t="s">
        <v>13</v>
      </c>
      <c r="F50" s="48">
        <v>444901.0</v>
      </c>
      <c r="H50" s="48" t="s">
        <v>982</v>
      </c>
    </row>
    <row r="51" ht="12.75" customHeight="1">
      <c r="A51" s="48" t="s">
        <v>986</v>
      </c>
      <c r="B51" s="48" t="s">
        <v>987</v>
      </c>
      <c r="C51" s="48" t="s">
        <v>988</v>
      </c>
      <c r="D51" s="48" t="s">
        <v>989</v>
      </c>
      <c r="E51" s="48" t="s">
        <v>13</v>
      </c>
      <c r="F51" s="48">
        <v>440016.0</v>
      </c>
      <c r="H51" s="48" t="s">
        <v>986</v>
      </c>
    </row>
    <row r="52" ht="12.75" customHeight="1">
      <c r="A52" s="48" t="s">
        <v>990</v>
      </c>
      <c r="B52" s="48" t="s">
        <v>991</v>
      </c>
      <c r="C52" s="48" t="s">
        <v>992</v>
      </c>
      <c r="D52" s="48" t="s">
        <v>993</v>
      </c>
      <c r="E52" s="48" t="s">
        <v>13</v>
      </c>
      <c r="F52" s="48">
        <v>480667.0</v>
      </c>
      <c r="H52" s="48" t="s">
        <v>990</v>
      </c>
    </row>
    <row r="53" ht="12.75" customHeight="1">
      <c r="A53" s="48" t="s">
        <v>994</v>
      </c>
      <c r="B53" s="48" t="s">
        <v>995</v>
      </c>
      <c r="C53" s="48" t="s">
        <v>996</v>
      </c>
      <c r="D53" s="48" t="s">
        <v>997</v>
      </c>
      <c r="E53" s="48" t="s">
        <v>13</v>
      </c>
      <c r="F53" s="48">
        <v>444002.0</v>
      </c>
      <c r="H53" s="48" t="s">
        <v>994</v>
      </c>
    </row>
    <row r="54" ht="12.75" customHeight="1">
      <c r="A54" s="48" t="s">
        <v>998</v>
      </c>
      <c r="B54" s="48" t="s">
        <v>999</v>
      </c>
      <c r="C54" s="48" t="s">
        <v>1000</v>
      </c>
      <c r="D54" s="48" t="s">
        <v>1001</v>
      </c>
      <c r="E54" s="48" t="s">
        <v>1002</v>
      </c>
      <c r="F54" s="48">
        <v>823002.0</v>
      </c>
      <c r="H54" s="48" t="s">
        <v>998</v>
      </c>
    </row>
    <row r="55" ht="12.75" customHeight="1">
      <c r="A55" s="48" t="s">
        <v>68</v>
      </c>
      <c r="B55" s="215" t="s">
        <v>1003</v>
      </c>
      <c r="C55" s="215" t="s">
        <v>1004</v>
      </c>
      <c r="D55" s="215" t="s">
        <v>1005</v>
      </c>
      <c r="E55" s="48" t="s">
        <v>13</v>
      </c>
      <c r="F55" s="48">
        <v>444601.0</v>
      </c>
      <c r="H55" s="48" t="s">
        <v>68</v>
      </c>
    </row>
    <row r="56" ht="12.75" customHeight="1">
      <c r="A56" s="48" t="s">
        <v>1006</v>
      </c>
      <c r="B56" s="48" t="s">
        <v>1007</v>
      </c>
      <c r="C56" s="215" t="s">
        <v>1008</v>
      </c>
      <c r="D56" s="48" t="s">
        <v>1009</v>
      </c>
      <c r="E56" s="48" t="s">
        <v>13</v>
      </c>
      <c r="F56" s="48">
        <v>400606.0</v>
      </c>
      <c r="H56" s="48" t="s">
        <v>1006</v>
      </c>
    </row>
    <row r="57" ht="12.75" customHeight="1">
      <c r="A57" s="48" t="s">
        <v>1010</v>
      </c>
      <c r="B57" s="48" t="s">
        <v>1011</v>
      </c>
      <c r="C57" s="48" t="s">
        <v>1012</v>
      </c>
      <c r="D57" s="48" t="s">
        <v>1013</v>
      </c>
      <c r="E57" s="48" t="s">
        <v>13</v>
      </c>
      <c r="F57" s="48">
        <v>413801.0</v>
      </c>
      <c r="H57" s="48" t="s">
        <v>1010</v>
      </c>
    </row>
    <row r="58" ht="12.75" customHeight="1">
      <c r="A58" s="48" t="s">
        <v>1014</v>
      </c>
      <c r="B58" s="48" t="s">
        <v>1015</v>
      </c>
      <c r="C58" s="48" t="s">
        <v>1016</v>
      </c>
      <c r="D58" s="48" t="s">
        <v>1017</v>
      </c>
      <c r="E58" s="48" t="s">
        <v>13</v>
      </c>
      <c r="F58" s="48">
        <v>441108.0</v>
      </c>
      <c r="G58" s="48" t="s">
        <v>1018</v>
      </c>
      <c r="H58" s="48" t="s">
        <v>1014</v>
      </c>
    </row>
    <row r="59" ht="12.75" customHeight="1">
      <c r="A59" s="48" t="s">
        <v>1019</v>
      </c>
      <c r="B59" s="48" t="s">
        <v>1020</v>
      </c>
      <c r="C59" s="48" t="s">
        <v>1021</v>
      </c>
      <c r="D59" s="48" t="s">
        <v>818</v>
      </c>
      <c r="E59" s="48" t="s">
        <v>764</v>
      </c>
      <c r="F59" s="48">
        <v>500077.0</v>
      </c>
      <c r="G59" s="48">
        <v>9.870314819E9</v>
      </c>
      <c r="H59" s="48" t="s">
        <v>1019</v>
      </c>
    </row>
    <row r="60" ht="12.75" customHeight="1">
      <c r="A60" s="48" t="s">
        <v>1022</v>
      </c>
      <c r="B60" s="48" t="s">
        <v>1023</v>
      </c>
      <c r="C60" s="48" t="s">
        <v>1024</v>
      </c>
      <c r="D60" s="48" t="s">
        <v>1025</v>
      </c>
      <c r="E60" s="48" t="s">
        <v>826</v>
      </c>
      <c r="F60" s="48">
        <v>480881.0</v>
      </c>
      <c r="G60" s="48" t="s">
        <v>1026</v>
      </c>
      <c r="H60" s="48" t="s">
        <v>1022</v>
      </c>
    </row>
    <row r="61" ht="12.75" customHeight="1">
      <c r="A61" s="48" t="s">
        <v>1027</v>
      </c>
      <c r="B61" s="48" t="s">
        <v>1028</v>
      </c>
      <c r="C61" s="48" t="s">
        <v>1029</v>
      </c>
      <c r="E61" s="48" t="s">
        <v>13</v>
      </c>
      <c r="H61" s="48" t="s">
        <v>1027</v>
      </c>
    </row>
    <row r="62" ht="12.75" customHeight="1">
      <c r="A62" s="48" t="s">
        <v>1030</v>
      </c>
      <c r="B62" s="48" t="s">
        <v>1031</v>
      </c>
      <c r="C62" s="48" t="s">
        <v>1032</v>
      </c>
      <c r="E62" s="48" t="s">
        <v>13</v>
      </c>
      <c r="H62" s="48" t="s">
        <v>1030</v>
      </c>
    </row>
    <row r="63" ht="12.75" customHeight="1">
      <c r="A63" s="48" t="s">
        <v>1033</v>
      </c>
    </row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:$H$63"/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38"/>
  </cols>
  <sheetData>
    <row r="1">
      <c r="A1" s="48" t="s">
        <v>1034</v>
      </c>
      <c r="B1" s="48" t="s">
        <v>1035</v>
      </c>
    </row>
    <row r="2">
      <c r="A2" s="48" t="s">
        <v>94</v>
      </c>
      <c r="B2" s="48">
        <v>4.401109E7</v>
      </c>
    </row>
    <row r="3">
      <c r="A3" s="48" t="s">
        <v>117</v>
      </c>
      <c r="B3" s="48">
        <v>4.401109E7</v>
      </c>
    </row>
    <row r="4">
      <c r="A4" s="48" t="s">
        <v>233</v>
      </c>
      <c r="B4" s="48">
        <v>4.401109E7</v>
      </c>
    </row>
    <row r="5">
      <c r="A5" s="48" t="s">
        <v>151</v>
      </c>
      <c r="B5" s="48">
        <v>2.3069026E7</v>
      </c>
    </row>
    <row r="6">
      <c r="A6" s="48" t="s">
        <v>227</v>
      </c>
      <c r="B6" s="48" t="s">
        <v>108</v>
      </c>
    </row>
    <row r="7">
      <c r="A7" s="48" t="s">
        <v>405</v>
      </c>
      <c r="B7" s="48">
        <v>4.401101E7</v>
      </c>
    </row>
    <row r="8">
      <c r="A8" s="48" t="s">
        <v>496</v>
      </c>
      <c r="B8" s="48">
        <v>4402.0</v>
      </c>
    </row>
    <row r="9">
      <c r="A9" s="48" t="s">
        <v>502</v>
      </c>
      <c r="B9" s="48">
        <v>1213.0</v>
      </c>
    </row>
    <row r="10">
      <c r="A10" s="48" t="s">
        <v>559</v>
      </c>
      <c r="B10" s="48">
        <v>0.0</v>
      </c>
    </row>
    <row r="11">
      <c r="A11" s="48" t="s">
        <v>694</v>
      </c>
      <c r="B11" s="48">
        <v>4415.0</v>
      </c>
    </row>
    <row r="12">
      <c r="A12" s="48" t="s">
        <v>772</v>
      </c>
    </row>
    <row r="13">
      <c r="A13" s="48" t="s">
        <v>1036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3.63"/>
  </cols>
  <sheetData>
    <row r="1">
      <c r="B1" s="48" t="s">
        <v>1037</v>
      </c>
    </row>
    <row r="2">
      <c r="F2" s="192"/>
      <c r="G2" s="192"/>
      <c r="H2" s="192"/>
      <c r="I2" s="192"/>
    </row>
    <row r="3">
      <c r="A3" s="48" t="s">
        <v>1038</v>
      </c>
      <c r="F3" s="192"/>
      <c r="G3" s="192"/>
      <c r="H3" s="192"/>
      <c r="I3" s="192"/>
    </row>
    <row r="4">
      <c r="A4" s="48" t="s">
        <v>1039</v>
      </c>
      <c r="F4" s="216"/>
      <c r="G4" s="216"/>
      <c r="H4" s="192"/>
      <c r="I4" s="192"/>
    </row>
    <row r="5">
      <c r="A5" s="48" t="s">
        <v>1040</v>
      </c>
      <c r="F5" s="216"/>
      <c r="G5" s="216"/>
      <c r="H5" s="192"/>
      <c r="I5" s="192"/>
    </row>
    <row r="6">
      <c r="A6" s="48" t="s">
        <v>1041</v>
      </c>
      <c r="F6" s="216"/>
      <c r="G6" s="216"/>
      <c r="H6" s="192"/>
      <c r="I6" s="192"/>
    </row>
    <row r="7">
      <c r="A7" s="48" t="s">
        <v>1042</v>
      </c>
      <c r="F7" s="216"/>
      <c r="G7" s="216"/>
      <c r="H7" s="192"/>
      <c r="I7" s="192"/>
    </row>
    <row r="8">
      <c r="A8" s="48" t="s">
        <v>1043</v>
      </c>
      <c r="F8" s="216"/>
      <c r="G8" s="216"/>
      <c r="H8" s="192"/>
      <c r="I8" s="192"/>
    </row>
    <row r="9">
      <c r="A9" s="48" t="s">
        <v>1044</v>
      </c>
      <c r="F9" s="216"/>
      <c r="G9" s="216"/>
      <c r="H9" s="192"/>
      <c r="I9" s="192"/>
    </row>
    <row r="10">
      <c r="A10" s="48" t="s">
        <v>1045</v>
      </c>
      <c r="F10" s="216"/>
      <c r="G10" s="216"/>
      <c r="H10" s="192"/>
      <c r="I10" s="192"/>
    </row>
    <row r="11">
      <c r="A11" s="48" t="s">
        <v>1046</v>
      </c>
      <c r="F11" s="216"/>
      <c r="G11" s="216"/>
      <c r="H11" s="192"/>
      <c r="I11" s="192"/>
    </row>
    <row r="12">
      <c r="A12" s="48" t="s">
        <v>1047</v>
      </c>
      <c r="F12" s="216"/>
      <c r="G12" s="216"/>
      <c r="H12" s="192"/>
      <c r="I12" s="192"/>
    </row>
    <row r="13">
      <c r="A13" s="48" t="s">
        <v>1048</v>
      </c>
      <c r="F13" s="216"/>
      <c r="G13" s="216"/>
      <c r="H13" s="192"/>
      <c r="I13" s="192"/>
    </row>
    <row r="14">
      <c r="A14" s="48" t="s">
        <v>1049</v>
      </c>
      <c r="F14" s="216"/>
      <c r="G14" s="216"/>
      <c r="H14" s="192"/>
      <c r="I14" s="192"/>
    </row>
    <row r="15">
      <c r="F15" s="216"/>
      <c r="G15" s="216"/>
      <c r="H15" s="192"/>
      <c r="I15" s="192"/>
    </row>
    <row r="16">
      <c r="F16" s="216"/>
      <c r="G16" s="216"/>
      <c r="H16" s="192"/>
      <c r="I16" s="192"/>
    </row>
    <row r="17">
      <c r="F17" s="216"/>
      <c r="G17" s="216"/>
      <c r="H17" s="192"/>
      <c r="I17" s="192"/>
    </row>
    <row r="18">
      <c r="F18" s="217" t="str">
        <f t="shared" si="1"/>
        <v>#DIV/0!</v>
      </c>
    </row>
    <row r="21">
      <c r="A21" s="48" t="s">
        <v>1050</v>
      </c>
      <c r="E21" s="48" t="s">
        <v>1053</v>
      </c>
      <c r="F21" s="216">
        <f>SUM(E23:E27)</f>
        <v>993322.5625</v>
      </c>
    </row>
    <row r="22">
      <c r="E22" s="216"/>
    </row>
    <row r="23">
      <c r="A23" s="219">
        <f t="shared" ref="A23:A27" si="2">C23/1000</f>
        <v>0.2</v>
      </c>
      <c r="E23" s="216">
        <f>D23*9%</f>
        <v>117</v>
      </c>
    </row>
    <row r="24">
      <c r="A24" s="219">
        <f t="shared" si="2"/>
        <v>500.305</v>
      </c>
      <c r="E24" s="216">
        <f t="shared" ref="E24:E25" si="3">D24*5%</f>
        <v>169422.9125</v>
      </c>
    </row>
    <row r="25">
      <c r="A25" s="219">
        <f t="shared" si="2"/>
        <v>413.82325</v>
      </c>
      <c r="E25" s="216">
        <f t="shared" si="3"/>
        <v>258091.25</v>
      </c>
    </row>
    <row r="26">
      <c r="A26" s="219">
        <f t="shared" si="2"/>
        <v>304.58</v>
      </c>
      <c r="E26" s="216">
        <f t="shared" ref="E26:E27" si="4">D26*10%</f>
        <v>364730.45</v>
      </c>
    </row>
    <row r="27">
      <c r="A27" s="219">
        <f t="shared" si="2"/>
        <v>429.125</v>
      </c>
      <c r="E27" s="216">
        <f t="shared" si="4"/>
        <v>200960.95</v>
      </c>
    </row>
    <row r="28">
      <c r="E28" s="216"/>
    </row>
    <row r="29">
      <c r="E29" s="216"/>
    </row>
    <row r="30"/>
    <row r="31"/>
    <row r="32">
      <c r="C32" s="221"/>
    </row>
    <row r="33">
      <c r="C33" s="221"/>
    </row>
  </sheetData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40.0"/>
    <col customWidth="1" min="3" max="3" width="5.63"/>
    <col customWidth="1" min="4" max="4" width="7.88"/>
    <col customWidth="1" min="5" max="5" width="9.88"/>
    <col customWidth="1" min="6" max="6" width="17.63"/>
    <col customWidth="1" min="7" max="7" width="9.75"/>
    <col customWidth="1" min="8" max="8" width="13.75"/>
    <col customWidth="1" min="9" max="9" width="17.5"/>
    <col customWidth="1" min="10" max="10" width="8.25"/>
    <col customWidth="1" min="11" max="11" width="17.63"/>
    <col customWidth="1" min="12" max="12" width="13.5"/>
    <col customWidth="1" min="13" max="13" width="14.88"/>
    <col customWidth="1" min="14" max="14" width="11.13"/>
    <col customWidth="1" min="15" max="15" width="20.88"/>
    <col customWidth="1" min="16" max="16" width="18.13"/>
    <col customWidth="1" min="17" max="17" width="19.13"/>
    <col customWidth="1" min="18" max="18" width="9.0"/>
    <col customWidth="1" min="19" max="19" width="6.0"/>
    <col customWidth="1" min="20" max="20" width="7.38"/>
    <col customWidth="1" min="21" max="21" width="6.38"/>
    <col customWidth="1" min="22" max="22" width="8.25"/>
    <col customWidth="1" min="23" max="25" width="5.38"/>
    <col customWidth="1" min="26" max="27" width="9.75"/>
    <col customWidth="1" min="28" max="28" width="10.75"/>
    <col customWidth="1" min="29" max="31" width="8.5"/>
    <col customWidth="1" min="32" max="32" width="7.25"/>
  </cols>
  <sheetData>
    <row r="1" ht="12.75" customHeight="1">
      <c r="A1" s="87" t="s">
        <v>70</v>
      </c>
      <c r="B1" s="87" t="s">
        <v>71</v>
      </c>
      <c r="C1" s="87" t="s">
        <v>72</v>
      </c>
      <c r="D1" s="87" t="s">
        <v>3</v>
      </c>
      <c r="E1" s="87" t="s">
        <v>6</v>
      </c>
      <c r="F1" s="87" t="s">
        <v>7</v>
      </c>
      <c r="G1" s="87" t="s">
        <v>10</v>
      </c>
      <c r="H1" s="87" t="s">
        <v>11</v>
      </c>
      <c r="I1" s="87" t="s">
        <v>16</v>
      </c>
      <c r="J1" s="87" t="s">
        <v>73</v>
      </c>
      <c r="K1" s="87" t="s">
        <v>61</v>
      </c>
      <c r="L1" s="87" t="s">
        <v>19</v>
      </c>
      <c r="M1" s="87" t="s">
        <v>74</v>
      </c>
      <c r="N1" s="87" t="s">
        <v>22</v>
      </c>
      <c r="O1" s="87" t="s">
        <v>24</v>
      </c>
      <c r="P1" s="87" t="s">
        <v>25</v>
      </c>
      <c r="Q1" s="87" t="s">
        <v>75</v>
      </c>
      <c r="R1" s="87" t="s">
        <v>30</v>
      </c>
      <c r="S1" s="87" t="s">
        <v>76</v>
      </c>
      <c r="T1" s="87" t="s">
        <v>32</v>
      </c>
      <c r="U1" s="87" t="s">
        <v>77</v>
      </c>
      <c r="V1" s="87" t="s">
        <v>34</v>
      </c>
      <c r="W1" s="87" t="s">
        <v>78</v>
      </c>
      <c r="X1" s="87" t="s">
        <v>79</v>
      </c>
      <c r="Y1" s="87" t="s">
        <v>80</v>
      </c>
      <c r="Z1" s="87" t="s">
        <v>39</v>
      </c>
      <c r="AA1" s="87" t="s">
        <v>81</v>
      </c>
      <c r="AB1" s="87" t="s">
        <v>43</v>
      </c>
      <c r="AC1" s="87" t="s">
        <v>83</v>
      </c>
      <c r="AD1" s="87" t="s">
        <v>84</v>
      </c>
      <c r="AE1" s="87" t="s">
        <v>80</v>
      </c>
      <c r="AF1" s="87" t="s">
        <v>85</v>
      </c>
    </row>
    <row r="2" ht="12.75" customHeight="1">
      <c r="A2" s="30" t="s">
        <v>88</v>
      </c>
      <c r="B2" s="30" t="s">
        <v>789</v>
      </c>
      <c r="C2" s="30" t="s">
        <v>89</v>
      </c>
      <c r="D2" s="163">
        <v>44220.0</v>
      </c>
      <c r="E2" s="30" t="s">
        <v>89</v>
      </c>
      <c r="F2" s="30" t="s">
        <v>89</v>
      </c>
      <c r="G2" s="30" t="s">
        <v>89</v>
      </c>
      <c r="H2" s="30" t="s">
        <v>89</v>
      </c>
      <c r="I2" s="30" t="s">
        <v>90</v>
      </c>
      <c r="J2" s="163">
        <v>44217.0</v>
      </c>
      <c r="K2" s="30">
        <v>1.0</v>
      </c>
      <c r="L2" s="30" t="s">
        <v>89</v>
      </c>
      <c r="M2" s="30" t="s">
        <v>91</v>
      </c>
      <c r="N2" s="30" t="s">
        <v>92</v>
      </c>
      <c r="O2" s="30" t="s">
        <v>89</v>
      </c>
      <c r="P2" s="30" t="s">
        <v>93</v>
      </c>
      <c r="Q2" s="30" t="s">
        <v>1055</v>
      </c>
      <c r="R2" s="30">
        <v>4.401109E7</v>
      </c>
      <c r="S2" s="222">
        <v>10.9</v>
      </c>
      <c r="T2" s="223">
        <v>5050.0</v>
      </c>
      <c r="U2" s="30" t="s">
        <v>294</v>
      </c>
      <c r="V2" s="223">
        <f t="shared" ref="V2:V1000" si="1">S2*T2</f>
        <v>55045</v>
      </c>
      <c r="W2" s="168">
        <v>0.025</v>
      </c>
      <c r="X2" s="168">
        <v>0.025</v>
      </c>
      <c r="Y2" s="168">
        <v>0.0</v>
      </c>
      <c r="Z2" s="224">
        <f t="shared" ref="Z2:Z1000" si="2">ROUNDUP((AF2+V2),0)</f>
        <v>57798</v>
      </c>
      <c r="AA2" s="223">
        <f t="shared" ref="AA2:AA1000" si="3">Z2-(V2+AF2)</f>
        <v>0.75</v>
      </c>
      <c r="AB2" s="225">
        <f t="shared" ref="AB2:AB1000" si="4">V2</f>
        <v>55045</v>
      </c>
      <c r="AC2" s="225">
        <f t="shared" ref="AC2:AC1000" si="5">AB2*W2</f>
        <v>1376.125</v>
      </c>
      <c r="AD2" s="225">
        <f t="shared" ref="AD2:AD1000" si="6">AB2*X2</f>
        <v>1376.125</v>
      </c>
      <c r="AE2" s="225">
        <f t="shared" ref="AE2:AE31" si="7">AB2*Y2</f>
        <v>0</v>
      </c>
      <c r="AF2" s="225">
        <f t="shared" ref="AF2:AF1000" si="8">SUM(AC2:AE2)</f>
        <v>2752.25</v>
      </c>
    </row>
    <row r="3" ht="12.75" customHeight="1">
      <c r="A3" s="30" t="s">
        <v>96</v>
      </c>
      <c r="B3" s="30" t="s">
        <v>789</v>
      </c>
      <c r="C3" s="30" t="s">
        <v>89</v>
      </c>
      <c r="D3" s="226">
        <v>44231.0</v>
      </c>
      <c r="E3" s="30" t="s">
        <v>89</v>
      </c>
      <c r="F3" s="30" t="s">
        <v>89</v>
      </c>
      <c r="G3" s="30" t="s">
        <v>89</v>
      </c>
      <c r="H3" s="30" t="s">
        <v>89</v>
      </c>
      <c r="I3" s="30" t="s">
        <v>97</v>
      </c>
      <c r="J3" s="163">
        <v>44217.0</v>
      </c>
      <c r="K3" s="170">
        <v>2.0</v>
      </c>
      <c r="L3" s="30" t="s">
        <v>89</v>
      </c>
      <c r="M3" s="30" t="s">
        <v>91</v>
      </c>
      <c r="N3" s="30" t="s">
        <v>92</v>
      </c>
      <c r="O3" s="30" t="s">
        <v>89</v>
      </c>
      <c r="P3" s="30" t="s">
        <v>98</v>
      </c>
      <c r="Q3" s="30" t="s">
        <v>1055</v>
      </c>
      <c r="R3" s="30">
        <v>4.401109E7</v>
      </c>
      <c r="S3" s="170">
        <v>9.43</v>
      </c>
      <c r="T3" s="223">
        <v>5050.0</v>
      </c>
      <c r="U3" s="30" t="s">
        <v>294</v>
      </c>
      <c r="V3" s="223">
        <f t="shared" si="1"/>
        <v>47621.5</v>
      </c>
      <c r="W3" s="168">
        <v>0.025</v>
      </c>
      <c r="X3" s="168">
        <v>0.025</v>
      </c>
      <c r="Y3" s="168">
        <v>0.0</v>
      </c>
      <c r="Z3" s="224">
        <f t="shared" si="2"/>
        <v>50003</v>
      </c>
      <c r="AA3" s="223">
        <f t="shared" si="3"/>
        <v>0.425</v>
      </c>
      <c r="AB3" s="225">
        <f t="shared" si="4"/>
        <v>47621.5</v>
      </c>
      <c r="AC3" s="225">
        <f t="shared" si="5"/>
        <v>1190.5375</v>
      </c>
      <c r="AD3" s="225">
        <f t="shared" si="6"/>
        <v>1190.5375</v>
      </c>
      <c r="AE3" s="225">
        <f t="shared" si="7"/>
        <v>0</v>
      </c>
      <c r="AF3" s="225">
        <f t="shared" si="8"/>
        <v>2381.075</v>
      </c>
    </row>
    <row r="4" ht="12.75" customHeight="1">
      <c r="A4" s="30" t="s">
        <v>99</v>
      </c>
      <c r="B4" s="30" t="s">
        <v>789</v>
      </c>
      <c r="C4" s="30" t="s">
        <v>89</v>
      </c>
      <c r="D4" s="226">
        <v>44243.0</v>
      </c>
      <c r="E4" s="30" t="s">
        <v>89</v>
      </c>
      <c r="F4" s="30" t="s">
        <v>89</v>
      </c>
      <c r="G4" s="30" t="s">
        <v>89</v>
      </c>
      <c r="H4" s="30" t="s">
        <v>89</v>
      </c>
      <c r="I4" s="30" t="s">
        <v>97</v>
      </c>
      <c r="J4" s="163">
        <v>44217.0</v>
      </c>
      <c r="K4" s="170">
        <v>3.0</v>
      </c>
      <c r="L4" s="30" t="s">
        <v>89</v>
      </c>
      <c r="M4" s="30" t="s">
        <v>91</v>
      </c>
      <c r="N4" s="30" t="s">
        <v>92</v>
      </c>
      <c r="O4" s="30" t="s">
        <v>89</v>
      </c>
      <c r="P4" s="170" t="s">
        <v>100</v>
      </c>
      <c r="Q4" s="30" t="s">
        <v>1055</v>
      </c>
      <c r="R4" s="30">
        <v>4.401109E7</v>
      </c>
      <c r="S4" s="170">
        <v>9.365</v>
      </c>
      <c r="T4" s="223">
        <v>5050.0</v>
      </c>
      <c r="U4" s="30" t="s">
        <v>294</v>
      </c>
      <c r="V4" s="30">
        <f t="shared" si="1"/>
        <v>47293.25</v>
      </c>
      <c r="W4" s="168">
        <v>0.025</v>
      </c>
      <c r="X4" s="168">
        <v>0.025</v>
      </c>
      <c r="Y4" s="168">
        <v>0.0</v>
      </c>
      <c r="Z4" s="224">
        <f t="shared" si="2"/>
        <v>49658</v>
      </c>
      <c r="AA4" s="223">
        <f t="shared" si="3"/>
        <v>0.0875</v>
      </c>
      <c r="AB4" s="170">
        <f t="shared" si="4"/>
        <v>47293.25</v>
      </c>
      <c r="AC4" s="170">
        <f t="shared" si="5"/>
        <v>1182.33125</v>
      </c>
      <c r="AD4" s="170">
        <f t="shared" si="6"/>
        <v>1182.33125</v>
      </c>
      <c r="AE4" s="225">
        <f t="shared" si="7"/>
        <v>0</v>
      </c>
      <c r="AF4" s="225">
        <f t="shared" si="8"/>
        <v>2364.6625</v>
      </c>
    </row>
    <row r="5" ht="12.75" customHeight="1">
      <c r="A5" s="30" t="s">
        <v>101</v>
      </c>
      <c r="B5" s="30" t="s">
        <v>789</v>
      </c>
      <c r="C5" s="30" t="s">
        <v>89</v>
      </c>
      <c r="D5" s="226">
        <v>44253.0</v>
      </c>
      <c r="E5" s="30" t="s">
        <v>89</v>
      </c>
      <c r="F5" s="30" t="s">
        <v>89</v>
      </c>
      <c r="G5" s="30" t="s">
        <v>89</v>
      </c>
      <c r="H5" s="30" t="s">
        <v>89</v>
      </c>
      <c r="I5" s="30" t="s">
        <v>97</v>
      </c>
      <c r="J5" s="163">
        <v>44253.0</v>
      </c>
      <c r="K5" s="170">
        <v>4.0</v>
      </c>
      <c r="L5" s="30" t="s">
        <v>89</v>
      </c>
      <c r="M5" s="30" t="s">
        <v>91</v>
      </c>
      <c r="N5" s="30" t="s">
        <v>92</v>
      </c>
      <c r="O5" s="30" t="s">
        <v>89</v>
      </c>
      <c r="P5" s="170" t="s">
        <v>102</v>
      </c>
      <c r="Q5" s="30" t="s">
        <v>1055</v>
      </c>
      <c r="R5" s="30">
        <v>4.401109E7</v>
      </c>
      <c r="S5" s="170">
        <v>10.03</v>
      </c>
      <c r="T5" s="223">
        <v>5050.0</v>
      </c>
      <c r="U5" s="30" t="s">
        <v>294</v>
      </c>
      <c r="V5" s="30">
        <f t="shared" si="1"/>
        <v>50651.5</v>
      </c>
      <c r="W5" s="168">
        <v>0.025</v>
      </c>
      <c r="X5" s="168">
        <v>0.025</v>
      </c>
      <c r="Y5" s="168">
        <v>0.0</v>
      </c>
      <c r="Z5" s="224">
        <f t="shared" si="2"/>
        <v>53185</v>
      </c>
      <c r="AA5" s="223">
        <f t="shared" si="3"/>
        <v>0.925</v>
      </c>
      <c r="AB5" s="170">
        <f t="shared" si="4"/>
        <v>50651.5</v>
      </c>
      <c r="AC5" s="170">
        <f t="shared" si="5"/>
        <v>1266.2875</v>
      </c>
      <c r="AD5" s="170">
        <f t="shared" si="6"/>
        <v>1266.2875</v>
      </c>
      <c r="AE5" s="225">
        <f t="shared" si="7"/>
        <v>0</v>
      </c>
      <c r="AF5" s="225">
        <f t="shared" si="8"/>
        <v>2532.575</v>
      </c>
    </row>
    <row r="6" ht="12.75" customHeight="1">
      <c r="A6" s="30" t="s">
        <v>103</v>
      </c>
      <c r="B6" s="30" t="s">
        <v>789</v>
      </c>
      <c r="C6" s="30" t="s">
        <v>89</v>
      </c>
      <c r="D6" s="163">
        <v>44277.0</v>
      </c>
      <c r="E6" s="30" t="s">
        <v>89</v>
      </c>
      <c r="F6" s="30" t="s">
        <v>89</v>
      </c>
      <c r="G6" s="30" t="s">
        <v>89</v>
      </c>
      <c r="H6" s="30" t="s">
        <v>89</v>
      </c>
      <c r="I6" s="30" t="s">
        <v>97</v>
      </c>
      <c r="J6" s="163">
        <v>44277.0</v>
      </c>
      <c r="K6" s="170">
        <v>5.0</v>
      </c>
      <c r="L6" s="30" t="s">
        <v>89</v>
      </c>
      <c r="M6" s="30" t="s">
        <v>91</v>
      </c>
      <c r="N6" s="30" t="s">
        <v>92</v>
      </c>
      <c r="O6" s="30" t="s">
        <v>89</v>
      </c>
      <c r="P6" s="30" t="s">
        <v>104</v>
      </c>
      <c r="Q6" s="30" t="s">
        <v>1055</v>
      </c>
      <c r="R6" s="30">
        <v>4.401109E7</v>
      </c>
      <c r="S6" s="170">
        <v>10.64</v>
      </c>
      <c r="T6" s="223">
        <v>5050.0</v>
      </c>
      <c r="U6" s="30" t="s">
        <v>294</v>
      </c>
      <c r="V6" s="30">
        <f t="shared" si="1"/>
        <v>53732</v>
      </c>
      <c r="W6" s="168">
        <v>0.025</v>
      </c>
      <c r="X6" s="168">
        <v>0.025</v>
      </c>
      <c r="Y6" s="168">
        <v>0.0</v>
      </c>
      <c r="Z6" s="224">
        <f t="shared" si="2"/>
        <v>56419</v>
      </c>
      <c r="AA6" s="223">
        <f t="shared" si="3"/>
        <v>0.4</v>
      </c>
      <c r="AB6" s="170">
        <f t="shared" si="4"/>
        <v>53732</v>
      </c>
      <c r="AC6" s="170">
        <f t="shared" si="5"/>
        <v>1343.3</v>
      </c>
      <c r="AD6" s="170">
        <f t="shared" si="6"/>
        <v>1343.3</v>
      </c>
      <c r="AE6" s="225">
        <f t="shared" si="7"/>
        <v>0</v>
      </c>
      <c r="AF6" s="225">
        <f t="shared" si="8"/>
        <v>2686.6</v>
      </c>
    </row>
    <row r="7" ht="12.75" customHeight="1">
      <c r="A7" s="30" t="s">
        <v>105</v>
      </c>
      <c r="B7" s="30" t="s">
        <v>789</v>
      </c>
      <c r="C7" s="30" t="s">
        <v>89</v>
      </c>
      <c r="D7" s="226">
        <v>44305.0</v>
      </c>
      <c r="E7" s="30" t="s">
        <v>89</v>
      </c>
      <c r="F7" s="30" t="s">
        <v>89</v>
      </c>
      <c r="G7" s="30" t="s">
        <v>89</v>
      </c>
      <c r="H7" s="30" t="s">
        <v>89</v>
      </c>
      <c r="I7" s="30" t="s">
        <v>97</v>
      </c>
      <c r="J7" s="163">
        <f>D7</f>
        <v>44305</v>
      </c>
      <c r="K7" s="170">
        <v>6.0</v>
      </c>
      <c r="L7" s="30" t="s">
        <v>89</v>
      </c>
      <c r="M7" s="30" t="s">
        <v>91</v>
      </c>
      <c r="N7" s="30" t="s">
        <v>92</v>
      </c>
      <c r="O7" s="30" t="s">
        <v>89</v>
      </c>
      <c r="P7" s="30" t="s">
        <v>106</v>
      </c>
      <c r="Q7" s="30" t="s">
        <v>1055</v>
      </c>
      <c r="R7" s="30">
        <v>4.401109E7</v>
      </c>
      <c r="S7" s="170">
        <v>11.12</v>
      </c>
      <c r="T7" s="223">
        <v>5050.0</v>
      </c>
      <c r="U7" s="30" t="s">
        <v>294</v>
      </c>
      <c r="V7" s="30">
        <f t="shared" si="1"/>
        <v>56156</v>
      </c>
      <c r="W7" s="168">
        <v>0.025</v>
      </c>
      <c r="X7" s="168">
        <v>0.025</v>
      </c>
      <c r="Y7" s="168">
        <v>0.0</v>
      </c>
      <c r="Z7" s="224">
        <f t="shared" si="2"/>
        <v>58964</v>
      </c>
      <c r="AA7" s="223">
        <f t="shared" si="3"/>
        <v>0.2</v>
      </c>
      <c r="AB7" s="170">
        <f t="shared" si="4"/>
        <v>56156</v>
      </c>
      <c r="AC7" s="170">
        <f t="shared" si="5"/>
        <v>1403.9</v>
      </c>
      <c r="AD7" s="170">
        <f t="shared" si="6"/>
        <v>1403.9</v>
      </c>
      <c r="AE7" s="225">
        <f t="shared" si="7"/>
        <v>0</v>
      </c>
      <c r="AF7" s="225">
        <f t="shared" si="8"/>
        <v>2807.8</v>
      </c>
    </row>
    <row r="8" ht="12.75" customHeight="1">
      <c r="A8" s="164" t="s">
        <v>107</v>
      </c>
      <c r="B8" s="48" t="s">
        <v>797</v>
      </c>
      <c r="C8" s="30" t="s">
        <v>89</v>
      </c>
      <c r="D8" s="172">
        <v>44317.0</v>
      </c>
      <c r="E8" s="30" t="s">
        <v>89</v>
      </c>
      <c r="F8" s="30" t="s">
        <v>89</v>
      </c>
      <c r="G8" s="30" t="s">
        <v>89</v>
      </c>
      <c r="H8" s="30" t="s">
        <v>89</v>
      </c>
      <c r="I8" s="164" t="s">
        <v>108</v>
      </c>
      <c r="J8" s="172">
        <v>44317.0</v>
      </c>
      <c r="K8" s="48">
        <v>7.0</v>
      </c>
      <c r="L8" s="30" t="s">
        <v>89</v>
      </c>
      <c r="M8" s="30" t="s">
        <v>91</v>
      </c>
      <c r="N8" s="164" t="s">
        <v>109</v>
      </c>
      <c r="O8" s="30" t="s">
        <v>89</v>
      </c>
      <c r="P8" s="48" t="s">
        <v>110</v>
      </c>
      <c r="Q8" s="30" t="s">
        <v>1055</v>
      </c>
      <c r="R8" s="30">
        <v>4.401109E7</v>
      </c>
      <c r="S8" s="48">
        <v>10.1</v>
      </c>
      <c r="T8" s="166">
        <v>5150.0</v>
      </c>
      <c r="U8" s="30" t="s">
        <v>294</v>
      </c>
      <c r="V8" s="30">
        <f t="shared" si="1"/>
        <v>52015</v>
      </c>
      <c r="W8" s="168">
        <v>0.025</v>
      </c>
      <c r="X8" s="168">
        <v>0.025</v>
      </c>
      <c r="Y8" s="168">
        <v>0.0</v>
      </c>
      <c r="Z8" s="224">
        <f t="shared" si="2"/>
        <v>54616</v>
      </c>
      <c r="AA8" s="223">
        <f t="shared" si="3"/>
        <v>0.25</v>
      </c>
      <c r="AB8" s="170">
        <f t="shared" si="4"/>
        <v>52015</v>
      </c>
      <c r="AC8" s="170">
        <f t="shared" si="5"/>
        <v>1300.375</v>
      </c>
      <c r="AD8" s="170">
        <f t="shared" si="6"/>
        <v>1300.375</v>
      </c>
      <c r="AE8" s="225">
        <f t="shared" si="7"/>
        <v>0</v>
      </c>
      <c r="AF8" s="225">
        <f t="shared" si="8"/>
        <v>2600.75</v>
      </c>
    </row>
    <row r="9" ht="12.75" customHeight="1">
      <c r="A9" s="164" t="s">
        <v>111</v>
      </c>
      <c r="B9" s="48" t="s">
        <v>797</v>
      </c>
      <c r="C9" s="30" t="s">
        <v>89</v>
      </c>
      <c r="D9" s="227">
        <v>44348.0</v>
      </c>
      <c r="E9" s="30" t="s">
        <v>89</v>
      </c>
      <c r="F9" s="30" t="s">
        <v>89</v>
      </c>
      <c r="G9" s="30" t="s">
        <v>89</v>
      </c>
      <c r="H9" s="30" t="s">
        <v>89</v>
      </c>
      <c r="I9" s="48" t="s">
        <v>108</v>
      </c>
      <c r="J9" s="172">
        <v>44348.0</v>
      </c>
      <c r="K9" s="48">
        <v>8.0</v>
      </c>
      <c r="L9" s="48" t="s">
        <v>108</v>
      </c>
      <c r="M9" s="30" t="s">
        <v>91</v>
      </c>
      <c r="N9" s="164" t="s">
        <v>109</v>
      </c>
      <c r="O9" s="30" t="s">
        <v>89</v>
      </c>
      <c r="P9" s="48" t="s">
        <v>112</v>
      </c>
      <c r="Q9" s="30" t="s">
        <v>1055</v>
      </c>
      <c r="R9" s="30">
        <v>4.401109E7</v>
      </c>
      <c r="S9" s="48">
        <v>7.76</v>
      </c>
      <c r="T9" s="166">
        <v>5150.0</v>
      </c>
      <c r="U9" s="30" t="s">
        <v>294</v>
      </c>
      <c r="V9" s="30">
        <f t="shared" si="1"/>
        <v>39964</v>
      </c>
      <c r="W9" s="168">
        <v>0.025</v>
      </c>
      <c r="X9" s="168">
        <v>0.025</v>
      </c>
      <c r="Y9" s="168">
        <v>0.0</v>
      </c>
      <c r="Z9" s="224">
        <f t="shared" si="2"/>
        <v>41963</v>
      </c>
      <c r="AA9" s="223">
        <f t="shared" si="3"/>
        <v>0.8</v>
      </c>
      <c r="AB9" s="170">
        <f t="shared" si="4"/>
        <v>39964</v>
      </c>
      <c r="AC9" s="170">
        <f t="shared" si="5"/>
        <v>999.1</v>
      </c>
      <c r="AD9" s="170">
        <f t="shared" si="6"/>
        <v>999.1</v>
      </c>
      <c r="AE9" s="225">
        <f t="shared" si="7"/>
        <v>0</v>
      </c>
      <c r="AF9" s="225">
        <f t="shared" si="8"/>
        <v>1998.2</v>
      </c>
    </row>
    <row r="10" ht="12.75" customHeight="1">
      <c r="A10" s="48" t="s">
        <v>113</v>
      </c>
      <c r="B10" s="48" t="s">
        <v>801</v>
      </c>
      <c r="C10" s="30" t="s">
        <v>89</v>
      </c>
      <c r="D10" s="173">
        <v>44373.0</v>
      </c>
      <c r="E10" s="30" t="s">
        <v>89</v>
      </c>
      <c r="F10" s="30" t="s">
        <v>89</v>
      </c>
      <c r="G10" s="30" t="s">
        <v>89</v>
      </c>
      <c r="H10" s="30" t="s">
        <v>89</v>
      </c>
      <c r="I10" s="48" t="s">
        <v>108</v>
      </c>
      <c r="J10" s="173">
        <v>44373.0</v>
      </c>
      <c r="K10" s="48">
        <v>9.0</v>
      </c>
      <c r="L10" s="48" t="s">
        <v>108</v>
      </c>
      <c r="M10" s="48" t="s">
        <v>114</v>
      </c>
      <c r="N10" s="48" t="s">
        <v>115</v>
      </c>
      <c r="O10" s="30" t="s">
        <v>89</v>
      </c>
      <c r="P10" s="48" t="s">
        <v>116</v>
      </c>
      <c r="Q10" s="48" t="s">
        <v>1056</v>
      </c>
      <c r="R10" s="30">
        <v>4.401109E7</v>
      </c>
      <c r="S10" s="48">
        <v>0.63</v>
      </c>
      <c r="T10" s="48">
        <v>10800.0</v>
      </c>
      <c r="U10" s="30" t="s">
        <v>294</v>
      </c>
      <c r="V10" s="30">
        <f t="shared" si="1"/>
        <v>6804</v>
      </c>
      <c r="W10" s="168">
        <v>0.025</v>
      </c>
      <c r="X10" s="168">
        <v>0.025</v>
      </c>
      <c r="Y10" s="168">
        <v>0.0</v>
      </c>
      <c r="Z10" s="224">
        <f t="shared" si="2"/>
        <v>7145</v>
      </c>
      <c r="AA10" s="223">
        <f t="shared" si="3"/>
        <v>0.8</v>
      </c>
      <c r="AB10" s="170">
        <f t="shared" si="4"/>
        <v>6804</v>
      </c>
      <c r="AC10" s="170">
        <f t="shared" si="5"/>
        <v>170.1</v>
      </c>
      <c r="AD10" s="170">
        <f t="shared" si="6"/>
        <v>170.1</v>
      </c>
      <c r="AE10" s="225">
        <f t="shared" si="7"/>
        <v>0</v>
      </c>
      <c r="AF10" s="225">
        <f t="shared" si="8"/>
        <v>340.2</v>
      </c>
    </row>
    <row r="11" ht="12.75" customHeight="1">
      <c r="A11" s="164" t="s">
        <v>118</v>
      </c>
      <c r="B11" s="48" t="s">
        <v>797</v>
      </c>
      <c r="C11" s="30" t="s">
        <v>89</v>
      </c>
      <c r="D11" s="174">
        <v>44367.0</v>
      </c>
      <c r="E11" s="30" t="s">
        <v>89</v>
      </c>
      <c r="F11" s="30" t="s">
        <v>89</v>
      </c>
      <c r="G11" s="30" t="s">
        <v>89</v>
      </c>
      <c r="H11" s="30" t="s">
        <v>89</v>
      </c>
      <c r="I11" s="48" t="s">
        <v>108</v>
      </c>
      <c r="J11" s="174">
        <v>44367.0</v>
      </c>
      <c r="K11" s="48">
        <v>10.0</v>
      </c>
      <c r="L11" s="48" t="s">
        <v>108</v>
      </c>
      <c r="M11" s="30" t="s">
        <v>91</v>
      </c>
      <c r="N11" s="164" t="s">
        <v>109</v>
      </c>
      <c r="O11" s="30" t="s">
        <v>89</v>
      </c>
      <c r="Q11" s="30" t="s">
        <v>1055</v>
      </c>
      <c r="R11" s="30">
        <v>4.401109E7</v>
      </c>
      <c r="S11" s="48">
        <v>7.56</v>
      </c>
      <c r="T11" s="166">
        <v>5150.0</v>
      </c>
      <c r="U11" s="30" t="s">
        <v>294</v>
      </c>
      <c r="V11" s="30">
        <f t="shared" si="1"/>
        <v>38934</v>
      </c>
      <c r="W11" s="168">
        <v>0.025</v>
      </c>
      <c r="X11" s="168">
        <v>0.025</v>
      </c>
      <c r="Y11" s="168">
        <v>0.0</v>
      </c>
      <c r="Z11" s="224">
        <f t="shared" si="2"/>
        <v>40881</v>
      </c>
      <c r="AA11" s="223">
        <f t="shared" si="3"/>
        <v>0.3</v>
      </c>
      <c r="AB11" s="170">
        <f t="shared" si="4"/>
        <v>38934</v>
      </c>
      <c r="AC11" s="170">
        <f t="shared" si="5"/>
        <v>973.35</v>
      </c>
      <c r="AD11" s="170">
        <f t="shared" si="6"/>
        <v>973.35</v>
      </c>
      <c r="AE11" s="225">
        <f t="shared" si="7"/>
        <v>0</v>
      </c>
      <c r="AF11" s="225">
        <f t="shared" si="8"/>
        <v>1946.7</v>
      </c>
    </row>
    <row r="12" ht="12.75" customHeight="1">
      <c r="A12" s="164" t="s">
        <v>119</v>
      </c>
      <c r="B12" s="48" t="s">
        <v>797</v>
      </c>
      <c r="C12" s="30" t="s">
        <v>89</v>
      </c>
      <c r="D12" s="174">
        <v>44387.0</v>
      </c>
      <c r="E12" s="30" t="s">
        <v>89</v>
      </c>
      <c r="F12" s="30" t="s">
        <v>89</v>
      </c>
      <c r="G12" s="30" t="s">
        <v>89</v>
      </c>
      <c r="H12" s="30" t="s">
        <v>89</v>
      </c>
      <c r="I12" s="48" t="s">
        <v>108</v>
      </c>
      <c r="J12" s="174">
        <v>44389.0</v>
      </c>
      <c r="K12" s="48">
        <v>11.0</v>
      </c>
      <c r="L12" s="48" t="s">
        <v>108</v>
      </c>
      <c r="M12" s="30" t="s">
        <v>91</v>
      </c>
      <c r="N12" s="164" t="s">
        <v>109</v>
      </c>
      <c r="O12" s="30" t="s">
        <v>89</v>
      </c>
      <c r="P12" s="48" t="s">
        <v>120</v>
      </c>
      <c r="Q12" s="30" t="s">
        <v>1055</v>
      </c>
      <c r="R12" s="30">
        <v>4.401109E7</v>
      </c>
      <c r="S12" s="48">
        <v>7.42</v>
      </c>
      <c r="T12" s="166">
        <v>5500.0</v>
      </c>
      <c r="U12" s="30" t="s">
        <v>294</v>
      </c>
      <c r="V12" s="30">
        <f t="shared" si="1"/>
        <v>40810</v>
      </c>
      <c r="W12" s="168">
        <v>0.025</v>
      </c>
      <c r="X12" s="168">
        <v>0.025</v>
      </c>
      <c r="Y12" s="168">
        <v>0.0</v>
      </c>
      <c r="Z12" s="224">
        <f t="shared" si="2"/>
        <v>42851</v>
      </c>
      <c r="AA12" s="223">
        <f t="shared" si="3"/>
        <v>0.5</v>
      </c>
      <c r="AB12" s="170">
        <f t="shared" si="4"/>
        <v>40810</v>
      </c>
      <c r="AC12" s="170">
        <f t="shared" si="5"/>
        <v>1020.25</v>
      </c>
      <c r="AD12" s="170">
        <f t="shared" si="6"/>
        <v>1020.25</v>
      </c>
      <c r="AE12" s="225">
        <f t="shared" si="7"/>
        <v>0</v>
      </c>
      <c r="AF12" s="225">
        <f t="shared" si="8"/>
        <v>2040.5</v>
      </c>
    </row>
    <row r="13" ht="12.75" customHeight="1">
      <c r="V13" s="30">
        <f t="shared" si="1"/>
        <v>0</v>
      </c>
      <c r="Y13" s="30"/>
      <c r="Z13" s="224">
        <f t="shared" si="2"/>
        <v>0</v>
      </c>
      <c r="AA13" s="223">
        <f t="shared" si="3"/>
        <v>0</v>
      </c>
      <c r="AB13" s="170">
        <f t="shared" si="4"/>
        <v>0</v>
      </c>
      <c r="AC13" s="170">
        <f t="shared" si="5"/>
        <v>0</v>
      </c>
      <c r="AD13" s="170">
        <f t="shared" si="6"/>
        <v>0</v>
      </c>
      <c r="AE13" s="225">
        <f t="shared" si="7"/>
        <v>0</v>
      </c>
      <c r="AF13" s="225">
        <f t="shared" si="8"/>
        <v>0</v>
      </c>
    </row>
    <row r="14" ht="12.75" customHeight="1">
      <c r="V14" s="30">
        <f t="shared" si="1"/>
        <v>0</v>
      </c>
      <c r="Y14" s="30"/>
      <c r="Z14" s="224">
        <f t="shared" si="2"/>
        <v>0</v>
      </c>
      <c r="AA14" s="223">
        <f t="shared" si="3"/>
        <v>0</v>
      </c>
      <c r="AB14" s="170">
        <f t="shared" si="4"/>
        <v>0</v>
      </c>
      <c r="AC14" s="170">
        <f t="shared" si="5"/>
        <v>0</v>
      </c>
      <c r="AD14" s="170">
        <f t="shared" si="6"/>
        <v>0</v>
      </c>
      <c r="AE14" s="225">
        <f t="shared" si="7"/>
        <v>0</v>
      </c>
      <c r="AF14" s="225">
        <f t="shared" si="8"/>
        <v>0</v>
      </c>
    </row>
    <row r="15" ht="12.75" customHeight="1">
      <c r="V15" s="30">
        <f t="shared" si="1"/>
        <v>0</v>
      </c>
      <c r="Y15" s="30"/>
      <c r="Z15" s="224">
        <f t="shared" si="2"/>
        <v>0</v>
      </c>
      <c r="AA15" s="223">
        <f t="shared" si="3"/>
        <v>0</v>
      </c>
      <c r="AB15" s="170">
        <f t="shared" si="4"/>
        <v>0</v>
      </c>
      <c r="AC15" s="170">
        <f t="shared" si="5"/>
        <v>0</v>
      </c>
      <c r="AD15" s="170">
        <f t="shared" si="6"/>
        <v>0</v>
      </c>
      <c r="AE15" s="225">
        <f t="shared" si="7"/>
        <v>0</v>
      </c>
      <c r="AF15" s="225">
        <f t="shared" si="8"/>
        <v>0</v>
      </c>
    </row>
    <row r="16" ht="12.75" customHeight="1">
      <c r="V16" s="30">
        <f t="shared" si="1"/>
        <v>0</v>
      </c>
      <c r="Y16" s="30"/>
      <c r="Z16" s="224">
        <f t="shared" si="2"/>
        <v>0</v>
      </c>
      <c r="AA16" s="223">
        <f t="shared" si="3"/>
        <v>0</v>
      </c>
      <c r="AB16" s="170">
        <f t="shared" si="4"/>
        <v>0</v>
      </c>
      <c r="AC16" s="170">
        <f t="shared" si="5"/>
        <v>0</v>
      </c>
      <c r="AD16" s="170">
        <f t="shared" si="6"/>
        <v>0</v>
      </c>
      <c r="AE16" s="225">
        <f t="shared" si="7"/>
        <v>0</v>
      </c>
      <c r="AF16" s="225">
        <f t="shared" si="8"/>
        <v>0</v>
      </c>
    </row>
    <row r="17" ht="12.75" customHeight="1">
      <c r="V17" s="30">
        <f t="shared" si="1"/>
        <v>0</v>
      </c>
      <c r="Y17" s="30"/>
      <c r="Z17" s="224">
        <f t="shared" si="2"/>
        <v>0</v>
      </c>
      <c r="AA17" s="223">
        <f t="shared" si="3"/>
        <v>0</v>
      </c>
      <c r="AB17" s="170">
        <f t="shared" si="4"/>
        <v>0</v>
      </c>
      <c r="AC17" s="170">
        <f t="shared" si="5"/>
        <v>0</v>
      </c>
      <c r="AD17" s="170">
        <f t="shared" si="6"/>
        <v>0</v>
      </c>
      <c r="AE17" s="225">
        <f t="shared" si="7"/>
        <v>0</v>
      </c>
      <c r="AF17" s="225">
        <f t="shared" si="8"/>
        <v>0</v>
      </c>
    </row>
    <row r="18" ht="12.75" customHeight="1">
      <c r="V18" s="30">
        <f t="shared" si="1"/>
        <v>0</v>
      </c>
      <c r="Y18" s="30"/>
      <c r="Z18" s="224">
        <f t="shared" si="2"/>
        <v>0</v>
      </c>
      <c r="AA18" s="223">
        <f t="shared" si="3"/>
        <v>0</v>
      </c>
      <c r="AB18" s="170">
        <f t="shared" si="4"/>
        <v>0</v>
      </c>
      <c r="AC18" s="170">
        <f t="shared" si="5"/>
        <v>0</v>
      </c>
      <c r="AD18" s="170">
        <f t="shared" si="6"/>
        <v>0</v>
      </c>
      <c r="AE18" s="225">
        <f t="shared" si="7"/>
        <v>0</v>
      </c>
      <c r="AF18" s="225">
        <f t="shared" si="8"/>
        <v>0</v>
      </c>
    </row>
    <row r="19" ht="12.75" customHeight="1">
      <c r="V19" s="30">
        <f t="shared" si="1"/>
        <v>0</v>
      </c>
      <c r="Y19" s="30"/>
      <c r="Z19" s="224">
        <f t="shared" si="2"/>
        <v>0</v>
      </c>
      <c r="AA19" s="223">
        <f t="shared" si="3"/>
        <v>0</v>
      </c>
      <c r="AB19" s="170">
        <f t="shared" si="4"/>
        <v>0</v>
      </c>
      <c r="AC19" s="170">
        <f t="shared" si="5"/>
        <v>0</v>
      </c>
      <c r="AD19" s="170">
        <f t="shared" si="6"/>
        <v>0</v>
      </c>
      <c r="AE19" s="225">
        <f t="shared" si="7"/>
        <v>0</v>
      </c>
      <c r="AF19" s="225">
        <f t="shared" si="8"/>
        <v>0</v>
      </c>
    </row>
    <row r="20" ht="12.75" customHeight="1">
      <c r="V20" s="30">
        <f t="shared" si="1"/>
        <v>0</v>
      </c>
      <c r="Y20" s="30"/>
      <c r="Z20" s="224">
        <f t="shared" si="2"/>
        <v>0</v>
      </c>
      <c r="AA20" s="223">
        <f t="shared" si="3"/>
        <v>0</v>
      </c>
      <c r="AB20" s="170">
        <f t="shared" si="4"/>
        <v>0</v>
      </c>
      <c r="AC20" s="170">
        <f t="shared" si="5"/>
        <v>0</v>
      </c>
      <c r="AD20" s="170">
        <f t="shared" si="6"/>
        <v>0</v>
      </c>
      <c r="AE20" s="225">
        <f t="shared" si="7"/>
        <v>0</v>
      </c>
      <c r="AF20" s="225">
        <f t="shared" si="8"/>
        <v>0</v>
      </c>
    </row>
    <row r="21" ht="12.75" customHeight="1">
      <c r="V21" s="30">
        <f t="shared" si="1"/>
        <v>0</v>
      </c>
      <c r="Y21" s="30"/>
      <c r="Z21" s="224">
        <f t="shared" si="2"/>
        <v>0</v>
      </c>
      <c r="AA21" s="223">
        <f t="shared" si="3"/>
        <v>0</v>
      </c>
      <c r="AB21" s="170">
        <f t="shared" si="4"/>
        <v>0</v>
      </c>
      <c r="AC21" s="170">
        <f t="shared" si="5"/>
        <v>0</v>
      </c>
      <c r="AD21" s="170">
        <f t="shared" si="6"/>
        <v>0</v>
      </c>
      <c r="AE21" s="225">
        <f t="shared" si="7"/>
        <v>0</v>
      </c>
      <c r="AF21" s="225">
        <f t="shared" si="8"/>
        <v>0</v>
      </c>
    </row>
    <row r="22" ht="12.75" customHeight="1">
      <c r="V22" s="30">
        <f t="shared" si="1"/>
        <v>0</v>
      </c>
      <c r="Y22" s="30"/>
      <c r="Z22" s="224">
        <f t="shared" si="2"/>
        <v>0</v>
      </c>
      <c r="AA22" s="223">
        <f t="shared" si="3"/>
        <v>0</v>
      </c>
      <c r="AB22" s="170">
        <f t="shared" si="4"/>
        <v>0</v>
      </c>
      <c r="AC22" s="170">
        <f t="shared" si="5"/>
        <v>0</v>
      </c>
      <c r="AD22" s="170">
        <f t="shared" si="6"/>
        <v>0</v>
      </c>
      <c r="AE22" s="225">
        <f t="shared" si="7"/>
        <v>0</v>
      </c>
      <c r="AF22" s="225">
        <f t="shared" si="8"/>
        <v>0</v>
      </c>
    </row>
    <row r="23" ht="12.75" customHeight="1">
      <c r="V23" s="30">
        <f t="shared" si="1"/>
        <v>0</v>
      </c>
      <c r="Y23" s="30"/>
      <c r="Z23" s="224">
        <f t="shared" si="2"/>
        <v>0</v>
      </c>
      <c r="AA23" s="223">
        <f t="shared" si="3"/>
        <v>0</v>
      </c>
      <c r="AB23" s="170">
        <f t="shared" si="4"/>
        <v>0</v>
      </c>
      <c r="AC23" s="170">
        <f t="shared" si="5"/>
        <v>0</v>
      </c>
      <c r="AD23" s="170">
        <f t="shared" si="6"/>
        <v>0</v>
      </c>
      <c r="AE23" s="225">
        <f t="shared" si="7"/>
        <v>0</v>
      </c>
      <c r="AF23" s="225">
        <f t="shared" si="8"/>
        <v>0</v>
      </c>
    </row>
    <row r="24" ht="12.75" customHeight="1">
      <c r="V24" s="30">
        <f t="shared" si="1"/>
        <v>0</v>
      </c>
      <c r="Y24" s="30"/>
      <c r="Z24" s="224">
        <f t="shared" si="2"/>
        <v>0</v>
      </c>
      <c r="AA24" s="223">
        <f t="shared" si="3"/>
        <v>0</v>
      </c>
      <c r="AB24" s="170">
        <f t="shared" si="4"/>
        <v>0</v>
      </c>
      <c r="AC24" s="170">
        <f t="shared" si="5"/>
        <v>0</v>
      </c>
      <c r="AD24" s="170">
        <f t="shared" si="6"/>
        <v>0</v>
      </c>
      <c r="AE24" s="225">
        <f t="shared" si="7"/>
        <v>0</v>
      </c>
      <c r="AF24" s="225">
        <f t="shared" si="8"/>
        <v>0</v>
      </c>
    </row>
    <row r="25" ht="12.75" customHeight="1">
      <c r="V25" s="30">
        <f t="shared" si="1"/>
        <v>0</v>
      </c>
      <c r="Y25" s="30"/>
      <c r="Z25" s="224">
        <f t="shared" si="2"/>
        <v>0</v>
      </c>
      <c r="AA25" s="223">
        <f t="shared" si="3"/>
        <v>0</v>
      </c>
      <c r="AB25" s="170">
        <f t="shared" si="4"/>
        <v>0</v>
      </c>
      <c r="AC25" s="170">
        <f t="shared" si="5"/>
        <v>0</v>
      </c>
      <c r="AD25" s="170">
        <f t="shared" si="6"/>
        <v>0</v>
      </c>
      <c r="AE25" s="225">
        <f t="shared" si="7"/>
        <v>0</v>
      </c>
      <c r="AF25" s="225">
        <f t="shared" si="8"/>
        <v>0</v>
      </c>
    </row>
    <row r="26" ht="12.75" customHeight="1">
      <c r="V26" s="30">
        <f t="shared" si="1"/>
        <v>0</v>
      </c>
      <c r="Y26" s="30"/>
      <c r="Z26" s="224">
        <f t="shared" si="2"/>
        <v>0</v>
      </c>
      <c r="AA26" s="223">
        <f t="shared" si="3"/>
        <v>0</v>
      </c>
      <c r="AB26" s="170">
        <f t="shared" si="4"/>
        <v>0</v>
      </c>
      <c r="AC26" s="170">
        <f t="shared" si="5"/>
        <v>0</v>
      </c>
      <c r="AD26" s="170">
        <f t="shared" si="6"/>
        <v>0</v>
      </c>
      <c r="AE26" s="225">
        <f t="shared" si="7"/>
        <v>0</v>
      </c>
      <c r="AF26" s="225">
        <f t="shared" si="8"/>
        <v>0</v>
      </c>
    </row>
    <row r="27" ht="12.75" customHeight="1">
      <c r="V27" s="30">
        <f t="shared" si="1"/>
        <v>0</v>
      </c>
      <c r="Y27" s="30"/>
      <c r="Z27" s="224">
        <f t="shared" si="2"/>
        <v>0</v>
      </c>
      <c r="AA27" s="223">
        <f t="shared" si="3"/>
        <v>0</v>
      </c>
      <c r="AB27" s="170">
        <f t="shared" si="4"/>
        <v>0</v>
      </c>
      <c r="AC27" s="170">
        <f t="shared" si="5"/>
        <v>0</v>
      </c>
      <c r="AD27" s="170">
        <f t="shared" si="6"/>
        <v>0</v>
      </c>
      <c r="AE27" s="225">
        <f t="shared" si="7"/>
        <v>0</v>
      </c>
      <c r="AF27" s="225">
        <f t="shared" si="8"/>
        <v>0</v>
      </c>
    </row>
    <row r="28" ht="12.75" customHeight="1">
      <c r="V28" s="30">
        <f t="shared" si="1"/>
        <v>0</v>
      </c>
      <c r="Y28" s="30"/>
      <c r="Z28" s="224">
        <f t="shared" si="2"/>
        <v>0</v>
      </c>
      <c r="AA28" s="223">
        <f t="shared" si="3"/>
        <v>0</v>
      </c>
      <c r="AB28" s="170">
        <f t="shared" si="4"/>
        <v>0</v>
      </c>
      <c r="AC28" s="170">
        <f t="shared" si="5"/>
        <v>0</v>
      </c>
      <c r="AD28" s="170">
        <f t="shared" si="6"/>
        <v>0</v>
      </c>
      <c r="AE28" s="225">
        <f t="shared" si="7"/>
        <v>0</v>
      </c>
      <c r="AF28" s="225">
        <f t="shared" si="8"/>
        <v>0</v>
      </c>
    </row>
    <row r="29" ht="12.75" customHeight="1">
      <c r="V29" s="30">
        <f t="shared" si="1"/>
        <v>0</v>
      </c>
      <c r="Y29" s="30"/>
      <c r="Z29" s="224">
        <f t="shared" si="2"/>
        <v>0</v>
      </c>
      <c r="AA29" s="223">
        <f t="shared" si="3"/>
        <v>0</v>
      </c>
      <c r="AB29" s="170">
        <f t="shared" si="4"/>
        <v>0</v>
      </c>
      <c r="AC29" s="170">
        <f t="shared" si="5"/>
        <v>0</v>
      </c>
      <c r="AD29" s="170">
        <f t="shared" si="6"/>
        <v>0</v>
      </c>
      <c r="AE29" s="225">
        <f t="shared" si="7"/>
        <v>0</v>
      </c>
      <c r="AF29" s="225">
        <f t="shared" si="8"/>
        <v>0</v>
      </c>
    </row>
    <row r="30" ht="12.75" customHeight="1">
      <c r="V30" s="30">
        <f t="shared" si="1"/>
        <v>0</v>
      </c>
      <c r="Y30" s="30"/>
      <c r="Z30" s="224">
        <f t="shared" si="2"/>
        <v>0</v>
      </c>
      <c r="AA30" s="223">
        <f t="shared" si="3"/>
        <v>0</v>
      </c>
      <c r="AB30" s="170">
        <f t="shared" si="4"/>
        <v>0</v>
      </c>
      <c r="AC30" s="170">
        <f t="shared" si="5"/>
        <v>0</v>
      </c>
      <c r="AD30" s="170">
        <f t="shared" si="6"/>
        <v>0</v>
      </c>
      <c r="AE30" s="225">
        <f t="shared" si="7"/>
        <v>0</v>
      </c>
      <c r="AF30" s="225">
        <f t="shared" si="8"/>
        <v>0</v>
      </c>
    </row>
    <row r="31" ht="12.75" customHeight="1">
      <c r="V31" s="30">
        <f t="shared" si="1"/>
        <v>0</v>
      </c>
      <c r="Y31" s="30"/>
      <c r="Z31" s="224">
        <f t="shared" si="2"/>
        <v>0</v>
      </c>
      <c r="AA31" s="223">
        <f t="shared" si="3"/>
        <v>0</v>
      </c>
      <c r="AB31" s="170">
        <f t="shared" si="4"/>
        <v>0</v>
      </c>
      <c r="AC31" s="170">
        <f t="shared" si="5"/>
        <v>0</v>
      </c>
      <c r="AD31" s="170">
        <f t="shared" si="6"/>
        <v>0</v>
      </c>
      <c r="AE31" s="225">
        <f t="shared" si="7"/>
        <v>0</v>
      </c>
      <c r="AF31" s="225">
        <f t="shared" si="8"/>
        <v>0</v>
      </c>
    </row>
    <row r="32" ht="12.75" customHeight="1">
      <c r="V32" s="30">
        <f t="shared" si="1"/>
        <v>0</v>
      </c>
      <c r="Y32" s="30"/>
      <c r="Z32" s="224">
        <f t="shared" si="2"/>
        <v>0</v>
      </c>
      <c r="AA32" s="223">
        <f t="shared" si="3"/>
        <v>0</v>
      </c>
      <c r="AB32" s="170">
        <f t="shared" si="4"/>
        <v>0</v>
      </c>
      <c r="AC32" s="170">
        <f t="shared" si="5"/>
        <v>0</v>
      </c>
      <c r="AD32" s="170">
        <f t="shared" si="6"/>
        <v>0</v>
      </c>
      <c r="AE32" s="170"/>
      <c r="AF32" s="225">
        <f t="shared" si="8"/>
        <v>0</v>
      </c>
    </row>
    <row r="33" ht="12.75" customHeight="1">
      <c r="V33" s="30">
        <f t="shared" si="1"/>
        <v>0</v>
      </c>
      <c r="Y33" s="30"/>
      <c r="Z33" s="224">
        <f t="shared" si="2"/>
        <v>0</v>
      </c>
      <c r="AA33" s="223">
        <f t="shared" si="3"/>
        <v>0</v>
      </c>
      <c r="AB33" s="170">
        <f t="shared" si="4"/>
        <v>0</v>
      </c>
      <c r="AC33" s="170">
        <f t="shared" si="5"/>
        <v>0</v>
      </c>
      <c r="AD33" s="170">
        <f t="shared" si="6"/>
        <v>0</v>
      </c>
      <c r="AE33" s="170"/>
      <c r="AF33" s="225">
        <f t="shared" si="8"/>
        <v>0</v>
      </c>
    </row>
    <row r="34" ht="12.75" customHeight="1">
      <c r="V34" s="30">
        <f t="shared" si="1"/>
        <v>0</v>
      </c>
      <c r="Y34" s="30"/>
      <c r="Z34" s="224">
        <f t="shared" si="2"/>
        <v>0</v>
      </c>
      <c r="AA34" s="223">
        <f t="shared" si="3"/>
        <v>0</v>
      </c>
      <c r="AB34" s="170">
        <f t="shared" si="4"/>
        <v>0</v>
      </c>
      <c r="AC34" s="170">
        <f t="shared" si="5"/>
        <v>0</v>
      </c>
      <c r="AD34" s="170">
        <f t="shared" si="6"/>
        <v>0</v>
      </c>
      <c r="AE34" s="170"/>
      <c r="AF34" s="225">
        <f t="shared" si="8"/>
        <v>0</v>
      </c>
    </row>
    <row r="35" ht="12.75" customHeight="1">
      <c r="V35" s="30">
        <f t="shared" si="1"/>
        <v>0</v>
      </c>
      <c r="Y35" s="30"/>
      <c r="Z35" s="224">
        <f t="shared" si="2"/>
        <v>0</v>
      </c>
      <c r="AA35" s="223">
        <f t="shared" si="3"/>
        <v>0</v>
      </c>
      <c r="AB35" s="170">
        <f t="shared" si="4"/>
        <v>0</v>
      </c>
      <c r="AC35" s="170">
        <f t="shared" si="5"/>
        <v>0</v>
      </c>
      <c r="AD35" s="170">
        <f t="shared" si="6"/>
        <v>0</v>
      </c>
      <c r="AE35" s="170"/>
      <c r="AF35" s="225">
        <f t="shared" si="8"/>
        <v>0</v>
      </c>
    </row>
    <row r="36" ht="12.75" customHeight="1">
      <c r="V36" s="30">
        <f t="shared" si="1"/>
        <v>0</v>
      </c>
      <c r="Y36" s="30"/>
      <c r="Z36" s="224">
        <f t="shared" si="2"/>
        <v>0</v>
      </c>
      <c r="AA36" s="223">
        <f t="shared" si="3"/>
        <v>0</v>
      </c>
      <c r="AB36" s="170">
        <f t="shared" si="4"/>
        <v>0</v>
      </c>
      <c r="AC36" s="170">
        <f t="shared" si="5"/>
        <v>0</v>
      </c>
      <c r="AD36" s="170">
        <f t="shared" si="6"/>
        <v>0</v>
      </c>
      <c r="AE36" s="170"/>
      <c r="AF36" s="225">
        <f t="shared" si="8"/>
        <v>0</v>
      </c>
    </row>
    <row r="37" ht="12.75" customHeight="1">
      <c r="V37" s="30">
        <f t="shared" si="1"/>
        <v>0</v>
      </c>
      <c r="Y37" s="30"/>
      <c r="Z37" s="224">
        <f t="shared" si="2"/>
        <v>0</v>
      </c>
      <c r="AA37" s="223">
        <f t="shared" si="3"/>
        <v>0</v>
      </c>
      <c r="AB37" s="170">
        <f t="shared" si="4"/>
        <v>0</v>
      </c>
      <c r="AC37" s="170">
        <f t="shared" si="5"/>
        <v>0</v>
      </c>
      <c r="AD37" s="170">
        <f t="shared" si="6"/>
        <v>0</v>
      </c>
      <c r="AE37" s="170"/>
      <c r="AF37" s="225">
        <f t="shared" si="8"/>
        <v>0</v>
      </c>
    </row>
    <row r="38" ht="12.75" customHeight="1">
      <c r="V38" s="30">
        <f t="shared" si="1"/>
        <v>0</v>
      </c>
      <c r="Y38" s="30"/>
      <c r="Z38" s="224">
        <f t="shared" si="2"/>
        <v>0</v>
      </c>
      <c r="AA38" s="223">
        <f t="shared" si="3"/>
        <v>0</v>
      </c>
      <c r="AB38" s="170">
        <f t="shared" si="4"/>
        <v>0</v>
      </c>
      <c r="AC38" s="170">
        <f t="shared" si="5"/>
        <v>0</v>
      </c>
      <c r="AD38" s="170">
        <f t="shared" si="6"/>
        <v>0</v>
      </c>
      <c r="AE38" s="170"/>
      <c r="AF38" s="225">
        <f t="shared" si="8"/>
        <v>0</v>
      </c>
    </row>
    <row r="39" ht="12.75" customHeight="1">
      <c r="V39" s="30">
        <f t="shared" si="1"/>
        <v>0</v>
      </c>
      <c r="Y39" s="30"/>
      <c r="Z39" s="224">
        <f t="shared" si="2"/>
        <v>0</v>
      </c>
      <c r="AA39" s="223">
        <f t="shared" si="3"/>
        <v>0</v>
      </c>
      <c r="AB39" s="170">
        <f t="shared" si="4"/>
        <v>0</v>
      </c>
      <c r="AC39" s="170">
        <f t="shared" si="5"/>
        <v>0</v>
      </c>
      <c r="AD39" s="170">
        <f t="shared" si="6"/>
        <v>0</v>
      </c>
      <c r="AE39" s="170"/>
      <c r="AF39" s="225">
        <f t="shared" si="8"/>
        <v>0</v>
      </c>
    </row>
    <row r="40" ht="12.75" customHeight="1">
      <c r="V40" s="30">
        <f t="shared" si="1"/>
        <v>0</v>
      </c>
      <c r="Y40" s="30"/>
      <c r="Z40" s="224">
        <f t="shared" si="2"/>
        <v>0</v>
      </c>
      <c r="AA40" s="223">
        <f t="shared" si="3"/>
        <v>0</v>
      </c>
      <c r="AB40" s="170">
        <f t="shared" si="4"/>
        <v>0</v>
      </c>
      <c r="AC40" s="170">
        <f t="shared" si="5"/>
        <v>0</v>
      </c>
      <c r="AD40" s="170">
        <f t="shared" si="6"/>
        <v>0</v>
      </c>
      <c r="AE40" s="170"/>
      <c r="AF40" s="225">
        <f t="shared" si="8"/>
        <v>0</v>
      </c>
    </row>
    <row r="41" ht="12.75" customHeight="1">
      <c r="V41" s="30">
        <f t="shared" si="1"/>
        <v>0</v>
      </c>
      <c r="Y41" s="30"/>
      <c r="Z41" s="224">
        <f t="shared" si="2"/>
        <v>0</v>
      </c>
      <c r="AA41" s="223">
        <f t="shared" si="3"/>
        <v>0</v>
      </c>
      <c r="AB41" s="170">
        <f t="shared" si="4"/>
        <v>0</v>
      </c>
      <c r="AC41" s="170">
        <f t="shared" si="5"/>
        <v>0</v>
      </c>
      <c r="AD41" s="170">
        <f t="shared" si="6"/>
        <v>0</v>
      </c>
      <c r="AE41" s="170"/>
      <c r="AF41" s="225">
        <f t="shared" si="8"/>
        <v>0</v>
      </c>
    </row>
    <row r="42" ht="12.75" customHeight="1">
      <c r="V42" s="30">
        <f t="shared" si="1"/>
        <v>0</v>
      </c>
      <c r="Y42" s="30"/>
      <c r="Z42" s="224">
        <f t="shared" si="2"/>
        <v>0</v>
      </c>
      <c r="AA42" s="223">
        <f t="shared" si="3"/>
        <v>0</v>
      </c>
      <c r="AB42" s="170">
        <f t="shared" si="4"/>
        <v>0</v>
      </c>
      <c r="AC42" s="170">
        <f t="shared" si="5"/>
        <v>0</v>
      </c>
      <c r="AD42" s="170">
        <f t="shared" si="6"/>
        <v>0</v>
      </c>
      <c r="AE42" s="170"/>
      <c r="AF42" s="225">
        <f t="shared" si="8"/>
        <v>0</v>
      </c>
    </row>
    <row r="43" ht="12.75" customHeight="1">
      <c r="V43" s="30">
        <f t="shared" si="1"/>
        <v>0</v>
      </c>
      <c r="Y43" s="30"/>
      <c r="Z43" s="224">
        <f t="shared" si="2"/>
        <v>0</v>
      </c>
      <c r="AA43" s="223">
        <f t="shared" si="3"/>
        <v>0</v>
      </c>
      <c r="AB43" s="170">
        <f t="shared" si="4"/>
        <v>0</v>
      </c>
      <c r="AC43" s="170">
        <f t="shared" si="5"/>
        <v>0</v>
      </c>
      <c r="AD43" s="170">
        <f t="shared" si="6"/>
        <v>0</v>
      </c>
      <c r="AE43" s="170"/>
      <c r="AF43" s="225">
        <f t="shared" si="8"/>
        <v>0</v>
      </c>
    </row>
    <row r="44" ht="12.75" customHeight="1">
      <c r="V44" s="30">
        <f t="shared" si="1"/>
        <v>0</v>
      </c>
      <c r="Y44" s="30"/>
      <c r="Z44" s="224">
        <f t="shared" si="2"/>
        <v>0</v>
      </c>
      <c r="AA44" s="223">
        <f t="shared" si="3"/>
        <v>0</v>
      </c>
      <c r="AB44" s="170">
        <f t="shared" si="4"/>
        <v>0</v>
      </c>
      <c r="AC44" s="170">
        <f t="shared" si="5"/>
        <v>0</v>
      </c>
      <c r="AD44" s="170">
        <f t="shared" si="6"/>
        <v>0</v>
      </c>
      <c r="AE44" s="170"/>
      <c r="AF44" s="225">
        <f t="shared" si="8"/>
        <v>0</v>
      </c>
    </row>
    <row r="45" ht="12.75" customHeight="1">
      <c r="V45" s="30">
        <f t="shared" si="1"/>
        <v>0</v>
      </c>
      <c r="Y45" s="30"/>
      <c r="Z45" s="224">
        <f t="shared" si="2"/>
        <v>0</v>
      </c>
      <c r="AA45" s="223">
        <f t="shared" si="3"/>
        <v>0</v>
      </c>
      <c r="AB45" s="170">
        <f t="shared" si="4"/>
        <v>0</v>
      </c>
      <c r="AC45" s="170">
        <f t="shared" si="5"/>
        <v>0</v>
      </c>
      <c r="AD45" s="170">
        <f t="shared" si="6"/>
        <v>0</v>
      </c>
      <c r="AE45" s="170"/>
      <c r="AF45" s="225">
        <f t="shared" si="8"/>
        <v>0</v>
      </c>
    </row>
    <row r="46" ht="12.75" customHeight="1">
      <c r="V46" s="30">
        <f t="shared" si="1"/>
        <v>0</v>
      </c>
      <c r="Y46" s="30"/>
      <c r="Z46" s="224">
        <f t="shared" si="2"/>
        <v>0</v>
      </c>
      <c r="AA46" s="223">
        <f t="shared" si="3"/>
        <v>0</v>
      </c>
      <c r="AB46" s="170">
        <f t="shared" si="4"/>
        <v>0</v>
      </c>
      <c r="AC46" s="170">
        <f t="shared" si="5"/>
        <v>0</v>
      </c>
      <c r="AD46" s="170">
        <f t="shared" si="6"/>
        <v>0</v>
      </c>
      <c r="AE46" s="170"/>
      <c r="AF46" s="225">
        <f t="shared" si="8"/>
        <v>0</v>
      </c>
    </row>
    <row r="47" ht="12.75" customHeight="1">
      <c r="V47" s="30">
        <f t="shared" si="1"/>
        <v>0</v>
      </c>
      <c r="Y47" s="30"/>
      <c r="Z47" s="224">
        <f t="shared" si="2"/>
        <v>0</v>
      </c>
      <c r="AA47" s="223">
        <f t="shared" si="3"/>
        <v>0</v>
      </c>
      <c r="AB47" s="170">
        <f t="shared" si="4"/>
        <v>0</v>
      </c>
      <c r="AC47" s="170">
        <f t="shared" si="5"/>
        <v>0</v>
      </c>
      <c r="AD47" s="170">
        <f t="shared" si="6"/>
        <v>0</v>
      </c>
      <c r="AE47" s="170"/>
      <c r="AF47" s="225">
        <f t="shared" si="8"/>
        <v>0</v>
      </c>
    </row>
    <row r="48" ht="12.75" customHeight="1">
      <c r="V48" s="30">
        <f t="shared" si="1"/>
        <v>0</v>
      </c>
      <c r="Y48" s="30"/>
      <c r="Z48" s="224">
        <f t="shared" si="2"/>
        <v>0</v>
      </c>
      <c r="AA48" s="223">
        <f t="shared" si="3"/>
        <v>0</v>
      </c>
      <c r="AB48" s="170">
        <f t="shared" si="4"/>
        <v>0</v>
      </c>
      <c r="AC48" s="170">
        <f t="shared" si="5"/>
        <v>0</v>
      </c>
      <c r="AD48" s="170">
        <f t="shared" si="6"/>
        <v>0</v>
      </c>
      <c r="AE48" s="170"/>
      <c r="AF48" s="225">
        <f t="shared" si="8"/>
        <v>0</v>
      </c>
    </row>
    <row r="49" ht="12.75" customHeight="1">
      <c r="V49" s="30">
        <f t="shared" si="1"/>
        <v>0</v>
      </c>
      <c r="Y49" s="30"/>
      <c r="Z49" s="224">
        <f t="shared" si="2"/>
        <v>0</v>
      </c>
      <c r="AA49" s="223">
        <f t="shared" si="3"/>
        <v>0</v>
      </c>
      <c r="AB49" s="170">
        <f t="shared" si="4"/>
        <v>0</v>
      </c>
      <c r="AC49" s="170">
        <f t="shared" si="5"/>
        <v>0</v>
      </c>
      <c r="AD49" s="170">
        <f t="shared" si="6"/>
        <v>0</v>
      </c>
      <c r="AE49" s="170"/>
      <c r="AF49" s="225">
        <f t="shared" si="8"/>
        <v>0</v>
      </c>
    </row>
    <row r="50" ht="12.75" customHeight="1">
      <c r="V50" s="30">
        <f t="shared" si="1"/>
        <v>0</v>
      </c>
      <c r="Y50" s="30"/>
      <c r="Z50" s="224">
        <f t="shared" si="2"/>
        <v>0</v>
      </c>
      <c r="AA50" s="223">
        <f t="shared" si="3"/>
        <v>0</v>
      </c>
      <c r="AB50" s="170">
        <f t="shared" si="4"/>
        <v>0</v>
      </c>
      <c r="AC50" s="170">
        <f t="shared" si="5"/>
        <v>0</v>
      </c>
      <c r="AD50" s="170">
        <f t="shared" si="6"/>
        <v>0</v>
      </c>
      <c r="AE50" s="170"/>
      <c r="AF50" s="225">
        <f t="shared" si="8"/>
        <v>0</v>
      </c>
    </row>
    <row r="51" ht="12.75" customHeight="1">
      <c r="V51" s="30">
        <f t="shared" si="1"/>
        <v>0</v>
      </c>
      <c r="Y51" s="30"/>
      <c r="Z51" s="224">
        <f t="shared" si="2"/>
        <v>0</v>
      </c>
      <c r="AA51" s="223">
        <f t="shared" si="3"/>
        <v>0</v>
      </c>
      <c r="AB51" s="170">
        <f t="shared" si="4"/>
        <v>0</v>
      </c>
      <c r="AC51" s="170">
        <f t="shared" si="5"/>
        <v>0</v>
      </c>
      <c r="AD51" s="170">
        <f t="shared" si="6"/>
        <v>0</v>
      </c>
      <c r="AE51" s="170"/>
      <c r="AF51" s="225">
        <f t="shared" si="8"/>
        <v>0</v>
      </c>
    </row>
    <row r="52" ht="12.75" customHeight="1">
      <c r="V52" s="30">
        <f t="shared" si="1"/>
        <v>0</v>
      </c>
      <c r="Y52" s="30"/>
      <c r="Z52" s="224">
        <f t="shared" si="2"/>
        <v>0</v>
      </c>
      <c r="AA52" s="223">
        <f t="shared" si="3"/>
        <v>0</v>
      </c>
      <c r="AB52" s="170">
        <f t="shared" si="4"/>
        <v>0</v>
      </c>
      <c r="AC52" s="170">
        <f t="shared" si="5"/>
        <v>0</v>
      </c>
      <c r="AD52" s="170">
        <f t="shared" si="6"/>
        <v>0</v>
      </c>
      <c r="AE52" s="170"/>
      <c r="AF52" s="225">
        <f t="shared" si="8"/>
        <v>0</v>
      </c>
    </row>
    <row r="53" ht="12.75" customHeight="1">
      <c r="V53" s="30">
        <f t="shared" si="1"/>
        <v>0</v>
      </c>
      <c r="Y53" s="30"/>
      <c r="Z53" s="224">
        <f t="shared" si="2"/>
        <v>0</v>
      </c>
      <c r="AA53" s="223">
        <f t="shared" si="3"/>
        <v>0</v>
      </c>
      <c r="AB53" s="170">
        <f t="shared" si="4"/>
        <v>0</v>
      </c>
      <c r="AC53" s="170">
        <f t="shared" si="5"/>
        <v>0</v>
      </c>
      <c r="AD53" s="170">
        <f t="shared" si="6"/>
        <v>0</v>
      </c>
      <c r="AE53" s="170"/>
      <c r="AF53" s="225">
        <f t="shared" si="8"/>
        <v>0</v>
      </c>
    </row>
    <row r="54" ht="12.75" customHeight="1">
      <c r="V54" s="30">
        <f t="shared" si="1"/>
        <v>0</v>
      </c>
      <c r="Y54" s="30"/>
      <c r="Z54" s="224">
        <f t="shared" si="2"/>
        <v>0</v>
      </c>
      <c r="AA54" s="223">
        <f t="shared" si="3"/>
        <v>0</v>
      </c>
      <c r="AB54" s="170">
        <f t="shared" si="4"/>
        <v>0</v>
      </c>
      <c r="AC54" s="170">
        <f t="shared" si="5"/>
        <v>0</v>
      </c>
      <c r="AD54" s="170">
        <f t="shared" si="6"/>
        <v>0</v>
      </c>
      <c r="AE54" s="170"/>
      <c r="AF54" s="225">
        <f t="shared" si="8"/>
        <v>0</v>
      </c>
    </row>
    <row r="55" ht="12.75" customHeight="1">
      <c r="V55" s="30">
        <f t="shared" si="1"/>
        <v>0</v>
      </c>
      <c r="Y55" s="30"/>
      <c r="Z55" s="224">
        <f t="shared" si="2"/>
        <v>0</v>
      </c>
      <c r="AA55" s="223">
        <f t="shared" si="3"/>
        <v>0</v>
      </c>
      <c r="AB55" s="170">
        <f t="shared" si="4"/>
        <v>0</v>
      </c>
      <c r="AC55" s="170">
        <f t="shared" si="5"/>
        <v>0</v>
      </c>
      <c r="AD55" s="170">
        <f t="shared" si="6"/>
        <v>0</v>
      </c>
      <c r="AE55" s="170"/>
      <c r="AF55" s="225">
        <f t="shared" si="8"/>
        <v>0</v>
      </c>
    </row>
    <row r="56" ht="12.75" customHeight="1">
      <c r="V56" s="30">
        <f t="shared" si="1"/>
        <v>0</v>
      </c>
      <c r="Y56" s="30"/>
      <c r="Z56" s="224">
        <f t="shared" si="2"/>
        <v>0</v>
      </c>
      <c r="AA56" s="223">
        <f t="shared" si="3"/>
        <v>0</v>
      </c>
      <c r="AB56" s="170">
        <f t="shared" si="4"/>
        <v>0</v>
      </c>
      <c r="AC56" s="170">
        <f t="shared" si="5"/>
        <v>0</v>
      </c>
      <c r="AD56" s="170">
        <f t="shared" si="6"/>
        <v>0</v>
      </c>
      <c r="AE56" s="170"/>
      <c r="AF56" s="225">
        <f t="shared" si="8"/>
        <v>0</v>
      </c>
    </row>
    <row r="57" ht="12.75" customHeight="1">
      <c r="V57" s="30">
        <f t="shared" si="1"/>
        <v>0</v>
      </c>
      <c r="Y57" s="30"/>
      <c r="Z57" s="224">
        <f t="shared" si="2"/>
        <v>0</v>
      </c>
      <c r="AA57" s="223">
        <f t="shared" si="3"/>
        <v>0</v>
      </c>
      <c r="AB57" s="170">
        <f t="shared" si="4"/>
        <v>0</v>
      </c>
      <c r="AC57" s="170">
        <f t="shared" si="5"/>
        <v>0</v>
      </c>
      <c r="AD57" s="170">
        <f t="shared" si="6"/>
        <v>0</v>
      </c>
      <c r="AE57" s="170"/>
      <c r="AF57" s="225">
        <f t="shared" si="8"/>
        <v>0</v>
      </c>
    </row>
    <row r="58" ht="12.75" customHeight="1">
      <c r="V58" s="30">
        <f t="shared" si="1"/>
        <v>0</v>
      </c>
      <c r="Y58" s="30"/>
      <c r="Z58" s="224">
        <f t="shared" si="2"/>
        <v>0</v>
      </c>
      <c r="AA58" s="223">
        <f t="shared" si="3"/>
        <v>0</v>
      </c>
      <c r="AB58" s="170">
        <f t="shared" si="4"/>
        <v>0</v>
      </c>
      <c r="AC58" s="170">
        <f t="shared" si="5"/>
        <v>0</v>
      </c>
      <c r="AD58" s="170">
        <f t="shared" si="6"/>
        <v>0</v>
      </c>
      <c r="AE58" s="170"/>
      <c r="AF58" s="225">
        <f t="shared" si="8"/>
        <v>0</v>
      </c>
    </row>
    <row r="59" ht="12.75" customHeight="1">
      <c r="V59" s="30">
        <f t="shared" si="1"/>
        <v>0</v>
      </c>
      <c r="Y59" s="30"/>
      <c r="Z59" s="224">
        <f t="shared" si="2"/>
        <v>0</v>
      </c>
      <c r="AA59" s="223">
        <f t="shared" si="3"/>
        <v>0</v>
      </c>
      <c r="AB59" s="170">
        <f t="shared" si="4"/>
        <v>0</v>
      </c>
      <c r="AC59" s="170">
        <f t="shared" si="5"/>
        <v>0</v>
      </c>
      <c r="AD59" s="170">
        <f t="shared" si="6"/>
        <v>0</v>
      </c>
      <c r="AE59" s="170"/>
      <c r="AF59" s="225">
        <f t="shared" si="8"/>
        <v>0</v>
      </c>
    </row>
    <row r="60" ht="12.75" customHeight="1">
      <c r="V60" s="30">
        <f t="shared" si="1"/>
        <v>0</v>
      </c>
      <c r="Y60" s="30"/>
      <c r="Z60" s="224">
        <f t="shared" si="2"/>
        <v>0</v>
      </c>
      <c r="AA60" s="223">
        <f t="shared" si="3"/>
        <v>0</v>
      </c>
      <c r="AB60" s="170">
        <f t="shared" si="4"/>
        <v>0</v>
      </c>
      <c r="AC60" s="170">
        <f t="shared" si="5"/>
        <v>0</v>
      </c>
      <c r="AD60" s="170">
        <f t="shared" si="6"/>
        <v>0</v>
      </c>
      <c r="AE60" s="170"/>
      <c r="AF60" s="225">
        <f t="shared" si="8"/>
        <v>0</v>
      </c>
    </row>
    <row r="61" ht="12.75" customHeight="1">
      <c r="V61" s="30">
        <f t="shared" si="1"/>
        <v>0</v>
      </c>
      <c r="Y61" s="30"/>
      <c r="Z61" s="224">
        <f t="shared" si="2"/>
        <v>0</v>
      </c>
      <c r="AA61" s="223">
        <f t="shared" si="3"/>
        <v>0</v>
      </c>
      <c r="AB61" s="170">
        <f t="shared" si="4"/>
        <v>0</v>
      </c>
      <c r="AC61" s="170">
        <f t="shared" si="5"/>
        <v>0</v>
      </c>
      <c r="AD61" s="170">
        <f t="shared" si="6"/>
        <v>0</v>
      </c>
      <c r="AE61" s="170"/>
      <c r="AF61" s="225">
        <f t="shared" si="8"/>
        <v>0</v>
      </c>
    </row>
    <row r="62" ht="12.75" customHeight="1">
      <c r="V62" s="30">
        <f t="shared" si="1"/>
        <v>0</v>
      </c>
      <c r="Y62" s="30"/>
      <c r="Z62" s="224">
        <f t="shared" si="2"/>
        <v>0</v>
      </c>
      <c r="AA62" s="223">
        <f t="shared" si="3"/>
        <v>0</v>
      </c>
      <c r="AB62" s="170">
        <f t="shared" si="4"/>
        <v>0</v>
      </c>
      <c r="AC62" s="170">
        <f t="shared" si="5"/>
        <v>0</v>
      </c>
      <c r="AD62" s="170">
        <f t="shared" si="6"/>
        <v>0</v>
      </c>
      <c r="AE62" s="170"/>
      <c r="AF62" s="225">
        <f t="shared" si="8"/>
        <v>0</v>
      </c>
    </row>
    <row r="63" ht="12.75" customHeight="1">
      <c r="V63" s="30">
        <f t="shared" si="1"/>
        <v>0</v>
      </c>
      <c r="Y63" s="30"/>
      <c r="Z63" s="224">
        <f t="shared" si="2"/>
        <v>0</v>
      </c>
      <c r="AA63" s="223">
        <f t="shared" si="3"/>
        <v>0</v>
      </c>
      <c r="AB63" s="170">
        <f t="shared" si="4"/>
        <v>0</v>
      </c>
      <c r="AC63" s="170">
        <f t="shared" si="5"/>
        <v>0</v>
      </c>
      <c r="AD63" s="170">
        <f t="shared" si="6"/>
        <v>0</v>
      </c>
      <c r="AE63" s="170"/>
      <c r="AF63" s="225">
        <f t="shared" si="8"/>
        <v>0</v>
      </c>
    </row>
    <row r="64" ht="12.75" customHeight="1">
      <c r="V64" s="30">
        <f t="shared" si="1"/>
        <v>0</v>
      </c>
      <c r="Y64" s="30"/>
      <c r="Z64" s="224">
        <f t="shared" si="2"/>
        <v>0</v>
      </c>
      <c r="AA64" s="223">
        <f t="shared" si="3"/>
        <v>0</v>
      </c>
      <c r="AB64" s="170">
        <f t="shared" si="4"/>
        <v>0</v>
      </c>
      <c r="AC64" s="170">
        <f t="shared" si="5"/>
        <v>0</v>
      </c>
      <c r="AD64" s="170">
        <f t="shared" si="6"/>
        <v>0</v>
      </c>
      <c r="AE64" s="170"/>
      <c r="AF64" s="225">
        <f t="shared" si="8"/>
        <v>0</v>
      </c>
    </row>
    <row r="65" ht="12.75" customHeight="1">
      <c r="V65" s="30">
        <f t="shared" si="1"/>
        <v>0</v>
      </c>
      <c r="Y65" s="30"/>
      <c r="Z65" s="224">
        <f t="shared" si="2"/>
        <v>0</v>
      </c>
      <c r="AA65" s="223">
        <f t="shared" si="3"/>
        <v>0</v>
      </c>
      <c r="AB65" s="170">
        <f t="shared" si="4"/>
        <v>0</v>
      </c>
      <c r="AC65" s="170">
        <f t="shared" si="5"/>
        <v>0</v>
      </c>
      <c r="AD65" s="170">
        <f t="shared" si="6"/>
        <v>0</v>
      </c>
      <c r="AE65" s="170"/>
      <c r="AF65" s="225">
        <f t="shared" si="8"/>
        <v>0</v>
      </c>
    </row>
    <row r="66" ht="12.75" customHeight="1">
      <c r="V66" s="30">
        <f t="shared" si="1"/>
        <v>0</v>
      </c>
      <c r="Y66" s="30"/>
      <c r="Z66" s="224">
        <f t="shared" si="2"/>
        <v>0</v>
      </c>
      <c r="AA66" s="223">
        <f t="shared" si="3"/>
        <v>0</v>
      </c>
      <c r="AB66" s="170">
        <f t="shared" si="4"/>
        <v>0</v>
      </c>
      <c r="AC66" s="170">
        <f t="shared" si="5"/>
        <v>0</v>
      </c>
      <c r="AD66" s="170">
        <f t="shared" si="6"/>
        <v>0</v>
      </c>
      <c r="AE66" s="170"/>
      <c r="AF66" s="225">
        <f t="shared" si="8"/>
        <v>0</v>
      </c>
    </row>
    <row r="67" ht="12.75" customHeight="1">
      <c r="V67" s="30">
        <f t="shared" si="1"/>
        <v>0</v>
      </c>
      <c r="Y67" s="30"/>
      <c r="Z67" s="224">
        <f t="shared" si="2"/>
        <v>0</v>
      </c>
      <c r="AA67" s="223">
        <f t="shared" si="3"/>
        <v>0</v>
      </c>
      <c r="AB67" s="170">
        <f t="shared" si="4"/>
        <v>0</v>
      </c>
      <c r="AC67" s="170">
        <f t="shared" si="5"/>
        <v>0</v>
      </c>
      <c r="AD67" s="170">
        <f t="shared" si="6"/>
        <v>0</v>
      </c>
      <c r="AE67" s="170"/>
      <c r="AF67" s="225">
        <f t="shared" si="8"/>
        <v>0</v>
      </c>
    </row>
    <row r="68" ht="12.75" customHeight="1">
      <c r="V68" s="30">
        <f t="shared" si="1"/>
        <v>0</v>
      </c>
      <c r="Y68" s="30"/>
      <c r="Z68" s="224">
        <f t="shared" si="2"/>
        <v>0</v>
      </c>
      <c r="AA68" s="223">
        <f t="shared" si="3"/>
        <v>0</v>
      </c>
      <c r="AB68" s="170">
        <f t="shared" si="4"/>
        <v>0</v>
      </c>
      <c r="AC68" s="170">
        <f t="shared" si="5"/>
        <v>0</v>
      </c>
      <c r="AD68" s="170">
        <f t="shared" si="6"/>
        <v>0</v>
      </c>
      <c r="AE68" s="170"/>
      <c r="AF68" s="225">
        <f t="shared" si="8"/>
        <v>0</v>
      </c>
    </row>
    <row r="69" ht="12.75" customHeight="1">
      <c r="V69" s="30">
        <f t="shared" si="1"/>
        <v>0</v>
      </c>
      <c r="Y69" s="30"/>
      <c r="Z69" s="224">
        <f t="shared" si="2"/>
        <v>0</v>
      </c>
      <c r="AA69" s="223">
        <f t="shared" si="3"/>
        <v>0</v>
      </c>
      <c r="AB69" s="170">
        <f t="shared" si="4"/>
        <v>0</v>
      </c>
      <c r="AC69" s="170">
        <f t="shared" si="5"/>
        <v>0</v>
      </c>
      <c r="AD69" s="170">
        <f t="shared" si="6"/>
        <v>0</v>
      </c>
      <c r="AE69" s="170"/>
      <c r="AF69" s="225">
        <f t="shared" si="8"/>
        <v>0</v>
      </c>
    </row>
    <row r="70" ht="12.75" customHeight="1">
      <c r="V70" s="30">
        <f t="shared" si="1"/>
        <v>0</v>
      </c>
      <c r="Y70" s="30"/>
      <c r="Z70" s="224">
        <f t="shared" si="2"/>
        <v>0</v>
      </c>
      <c r="AA70" s="223">
        <f t="shared" si="3"/>
        <v>0</v>
      </c>
      <c r="AB70" s="170">
        <f t="shared" si="4"/>
        <v>0</v>
      </c>
      <c r="AC70" s="170">
        <f t="shared" si="5"/>
        <v>0</v>
      </c>
      <c r="AD70" s="170">
        <f t="shared" si="6"/>
        <v>0</v>
      </c>
      <c r="AE70" s="170"/>
      <c r="AF70" s="225">
        <f t="shared" si="8"/>
        <v>0</v>
      </c>
    </row>
    <row r="71" ht="12.75" customHeight="1">
      <c r="V71" s="30">
        <f t="shared" si="1"/>
        <v>0</v>
      </c>
      <c r="Y71" s="30"/>
      <c r="Z71" s="224">
        <f t="shared" si="2"/>
        <v>0</v>
      </c>
      <c r="AA71" s="223">
        <f t="shared" si="3"/>
        <v>0</v>
      </c>
      <c r="AB71" s="170">
        <f t="shared" si="4"/>
        <v>0</v>
      </c>
      <c r="AC71" s="170">
        <f t="shared" si="5"/>
        <v>0</v>
      </c>
      <c r="AD71" s="170">
        <f t="shared" si="6"/>
        <v>0</v>
      </c>
      <c r="AE71" s="170"/>
      <c r="AF71" s="225">
        <f t="shared" si="8"/>
        <v>0</v>
      </c>
    </row>
    <row r="72" ht="12.75" customHeight="1">
      <c r="V72" s="30">
        <f t="shared" si="1"/>
        <v>0</v>
      </c>
      <c r="Y72" s="30"/>
      <c r="Z72" s="224">
        <f t="shared" si="2"/>
        <v>0</v>
      </c>
      <c r="AA72" s="223">
        <f t="shared" si="3"/>
        <v>0</v>
      </c>
      <c r="AB72" s="170">
        <f t="shared" si="4"/>
        <v>0</v>
      </c>
      <c r="AC72" s="170">
        <f t="shared" si="5"/>
        <v>0</v>
      </c>
      <c r="AD72" s="170">
        <f t="shared" si="6"/>
        <v>0</v>
      </c>
      <c r="AE72" s="170"/>
      <c r="AF72" s="225">
        <f t="shared" si="8"/>
        <v>0</v>
      </c>
    </row>
    <row r="73" ht="12.75" customHeight="1">
      <c r="V73" s="30">
        <f t="shared" si="1"/>
        <v>0</v>
      </c>
      <c r="Y73" s="30"/>
      <c r="Z73" s="224">
        <f t="shared" si="2"/>
        <v>0</v>
      </c>
      <c r="AA73" s="223">
        <f t="shared" si="3"/>
        <v>0</v>
      </c>
      <c r="AB73" s="170">
        <f t="shared" si="4"/>
        <v>0</v>
      </c>
      <c r="AC73" s="170">
        <f t="shared" si="5"/>
        <v>0</v>
      </c>
      <c r="AD73" s="170">
        <f t="shared" si="6"/>
        <v>0</v>
      </c>
      <c r="AE73" s="170"/>
      <c r="AF73" s="225">
        <f t="shared" si="8"/>
        <v>0</v>
      </c>
    </row>
    <row r="74" ht="12.75" customHeight="1">
      <c r="V74" s="30">
        <f t="shared" si="1"/>
        <v>0</v>
      </c>
      <c r="Y74" s="30"/>
      <c r="Z74" s="224">
        <f t="shared" si="2"/>
        <v>0</v>
      </c>
      <c r="AA74" s="223">
        <f t="shared" si="3"/>
        <v>0</v>
      </c>
      <c r="AB74" s="170">
        <f t="shared" si="4"/>
        <v>0</v>
      </c>
      <c r="AC74" s="170">
        <f t="shared" si="5"/>
        <v>0</v>
      </c>
      <c r="AD74" s="170">
        <f t="shared" si="6"/>
        <v>0</v>
      </c>
      <c r="AE74" s="170"/>
      <c r="AF74" s="225">
        <f t="shared" si="8"/>
        <v>0</v>
      </c>
    </row>
    <row r="75" ht="12.75" customHeight="1">
      <c r="V75" s="30">
        <f t="shared" si="1"/>
        <v>0</v>
      </c>
      <c r="Y75" s="30"/>
      <c r="Z75" s="224">
        <f t="shared" si="2"/>
        <v>0</v>
      </c>
      <c r="AA75" s="223">
        <f t="shared" si="3"/>
        <v>0</v>
      </c>
      <c r="AB75" s="170">
        <f t="shared" si="4"/>
        <v>0</v>
      </c>
      <c r="AC75" s="170">
        <f t="shared" si="5"/>
        <v>0</v>
      </c>
      <c r="AD75" s="170">
        <f t="shared" si="6"/>
        <v>0</v>
      </c>
      <c r="AE75" s="170"/>
      <c r="AF75" s="225">
        <f t="shared" si="8"/>
        <v>0</v>
      </c>
    </row>
    <row r="76" ht="12.75" customHeight="1">
      <c r="V76" s="30">
        <f t="shared" si="1"/>
        <v>0</v>
      </c>
      <c r="Y76" s="30"/>
      <c r="Z76" s="224">
        <f t="shared" si="2"/>
        <v>0</v>
      </c>
      <c r="AA76" s="223">
        <f t="shared" si="3"/>
        <v>0</v>
      </c>
      <c r="AB76" s="170">
        <f t="shared" si="4"/>
        <v>0</v>
      </c>
      <c r="AC76" s="170">
        <f t="shared" si="5"/>
        <v>0</v>
      </c>
      <c r="AD76" s="170">
        <f t="shared" si="6"/>
        <v>0</v>
      </c>
      <c r="AE76" s="170"/>
      <c r="AF76" s="225">
        <f t="shared" si="8"/>
        <v>0</v>
      </c>
    </row>
    <row r="77" ht="12.75" customHeight="1">
      <c r="V77" s="30">
        <f t="shared" si="1"/>
        <v>0</v>
      </c>
      <c r="Y77" s="30"/>
      <c r="Z77" s="224">
        <f t="shared" si="2"/>
        <v>0</v>
      </c>
      <c r="AA77" s="223">
        <f t="shared" si="3"/>
        <v>0</v>
      </c>
      <c r="AB77" s="170">
        <f t="shared" si="4"/>
        <v>0</v>
      </c>
      <c r="AC77" s="170">
        <f t="shared" si="5"/>
        <v>0</v>
      </c>
      <c r="AD77" s="170">
        <f t="shared" si="6"/>
        <v>0</v>
      </c>
      <c r="AE77" s="170"/>
      <c r="AF77" s="225">
        <f t="shared" si="8"/>
        <v>0</v>
      </c>
    </row>
    <row r="78" ht="12.75" customHeight="1">
      <c r="V78" s="30">
        <f t="shared" si="1"/>
        <v>0</v>
      </c>
      <c r="Y78" s="30"/>
      <c r="Z78" s="224">
        <f t="shared" si="2"/>
        <v>0</v>
      </c>
      <c r="AA78" s="223">
        <f t="shared" si="3"/>
        <v>0</v>
      </c>
      <c r="AB78" s="170">
        <f t="shared" si="4"/>
        <v>0</v>
      </c>
      <c r="AC78" s="170">
        <f t="shared" si="5"/>
        <v>0</v>
      </c>
      <c r="AD78" s="170">
        <f t="shared" si="6"/>
        <v>0</v>
      </c>
      <c r="AE78" s="170"/>
      <c r="AF78" s="225">
        <f t="shared" si="8"/>
        <v>0</v>
      </c>
    </row>
    <row r="79" ht="12.75" customHeight="1">
      <c r="V79" s="30">
        <f t="shared" si="1"/>
        <v>0</v>
      </c>
      <c r="Y79" s="30"/>
      <c r="Z79" s="224">
        <f t="shared" si="2"/>
        <v>0</v>
      </c>
      <c r="AA79" s="223">
        <f t="shared" si="3"/>
        <v>0</v>
      </c>
      <c r="AB79" s="170">
        <f t="shared" si="4"/>
        <v>0</v>
      </c>
      <c r="AC79" s="170">
        <f t="shared" si="5"/>
        <v>0</v>
      </c>
      <c r="AD79" s="170">
        <f t="shared" si="6"/>
        <v>0</v>
      </c>
      <c r="AE79" s="170"/>
      <c r="AF79" s="225">
        <f t="shared" si="8"/>
        <v>0</v>
      </c>
    </row>
    <row r="80" ht="12.75" customHeight="1">
      <c r="V80" s="30">
        <f t="shared" si="1"/>
        <v>0</v>
      </c>
      <c r="Y80" s="30"/>
      <c r="Z80" s="224">
        <f t="shared" si="2"/>
        <v>0</v>
      </c>
      <c r="AA80" s="223">
        <f t="shared" si="3"/>
        <v>0</v>
      </c>
      <c r="AB80" s="170">
        <f t="shared" si="4"/>
        <v>0</v>
      </c>
      <c r="AC80" s="170">
        <f t="shared" si="5"/>
        <v>0</v>
      </c>
      <c r="AD80" s="170">
        <f t="shared" si="6"/>
        <v>0</v>
      </c>
      <c r="AE80" s="170"/>
      <c r="AF80" s="225">
        <f t="shared" si="8"/>
        <v>0</v>
      </c>
    </row>
    <row r="81" ht="12.75" customHeight="1">
      <c r="V81" s="30">
        <f t="shared" si="1"/>
        <v>0</v>
      </c>
      <c r="Y81" s="30"/>
      <c r="Z81" s="224">
        <f t="shared" si="2"/>
        <v>0</v>
      </c>
      <c r="AA81" s="223">
        <f t="shared" si="3"/>
        <v>0</v>
      </c>
      <c r="AB81" s="170">
        <f t="shared" si="4"/>
        <v>0</v>
      </c>
      <c r="AC81" s="170">
        <f t="shared" si="5"/>
        <v>0</v>
      </c>
      <c r="AD81" s="170">
        <f t="shared" si="6"/>
        <v>0</v>
      </c>
      <c r="AE81" s="170"/>
      <c r="AF81" s="225">
        <f t="shared" si="8"/>
        <v>0</v>
      </c>
    </row>
    <row r="82" ht="12.75" customHeight="1">
      <c r="V82" s="30">
        <f t="shared" si="1"/>
        <v>0</v>
      </c>
      <c r="Y82" s="30"/>
      <c r="Z82" s="224">
        <f t="shared" si="2"/>
        <v>0</v>
      </c>
      <c r="AA82" s="223">
        <f t="shared" si="3"/>
        <v>0</v>
      </c>
      <c r="AB82" s="170">
        <f t="shared" si="4"/>
        <v>0</v>
      </c>
      <c r="AC82" s="170">
        <f t="shared" si="5"/>
        <v>0</v>
      </c>
      <c r="AD82" s="170">
        <f t="shared" si="6"/>
        <v>0</v>
      </c>
      <c r="AE82" s="170"/>
      <c r="AF82" s="225">
        <f t="shared" si="8"/>
        <v>0</v>
      </c>
    </row>
    <row r="83" ht="12.75" customHeight="1">
      <c r="V83" s="30">
        <f t="shared" si="1"/>
        <v>0</v>
      </c>
      <c r="Y83" s="30"/>
      <c r="Z83" s="224">
        <f t="shared" si="2"/>
        <v>0</v>
      </c>
      <c r="AA83" s="223">
        <f t="shared" si="3"/>
        <v>0</v>
      </c>
      <c r="AB83" s="170">
        <f t="shared" si="4"/>
        <v>0</v>
      </c>
      <c r="AC83" s="170">
        <f t="shared" si="5"/>
        <v>0</v>
      </c>
      <c r="AD83" s="170">
        <f t="shared" si="6"/>
        <v>0</v>
      </c>
      <c r="AE83" s="170"/>
      <c r="AF83" s="225">
        <f t="shared" si="8"/>
        <v>0</v>
      </c>
    </row>
    <row r="84" ht="12.75" customHeight="1">
      <c r="V84" s="30">
        <f t="shared" si="1"/>
        <v>0</v>
      </c>
      <c r="Y84" s="30"/>
      <c r="Z84" s="224">
        <f t="shared" si="2"/>
        <v>0</v>
      </c>
      <c r="AA84" s="223">
        <f t="shared" si="3"/>
        <v>0</v>
      </c>
      <c r="AB84" s="170">
        <f t="shared" si="4"/>
        <v>0</v>
      </c>
      <c r="AC84" s="170">
        <f t="shared" si="5"/>
        <v>0</v>
      </c>
      <c r="AD84" s="170">
        <f t="shared" si="6"/>
        <v>0</v>
      </c>
      <c r="AE84" s="170"/>
      <c r="AF84" s="225">
        <f t="shared" si="8"/>
        <v>0</v>
      </c>
    </row>
    <row r="85" ht="12.75" customHeight="1">
      <c r="V85" s="30">
        <f t="shared" si="1"/>
        <v>0</v>
      </c>
      <c r="Y85" s="30"/>
      <c r="Z85" s="224">
        <f t="shared" si="2"/>
        <v>0</v>
      </c>
      <c r="AA85" s="223">
        <f t="shared" si="3"/>
        <v>0</v>
      </c>
      <c r="AB85" s="170">
        <f t="shared" si="4"/>
        <v>0</v>
      </c>
      <c r="AC85" s="170">
        <f t="shared" si="5"/>
        <v>0</v>
      </c>
      <c r="AD85" s="170">
        <f t="shared" si="6"/>
        <v>0</v>
      </c>
      <c r="AE85" s="170"/>
      <c r="AF85" s="225">
        <f t="shared" si="8"/>
        <v>0</v>
      </c>
    </row>
    <row r="86" ht="12.75" customHeight="1">
      <c r="V86" s="30">
        <f t="shared" si="1"/>
        <v>0</v>
      </c>
      <c r="Y86" s="30"/>
      <c r="Z86" s="224">
        <f t="shared" si="2"/>
        <v>0</v>
      </c>
      <c r="AA86" s="223">
        <f t="shared" si="3"/>
        <v>0</v>
      </c>
      <c r="AB86" s="170">
        <f t="shared" si="4"/>
        <v>0</v>
      </c>
      <c r="AC86" s="170">
        <f t="shared" si="5"/>
        <v>0</v>
      </c>
      <c r="AD86" s="170">
        <f t="shared" si="6"/>
        <v>0</v>
      </c>
      <c r="AE86" s="170"/>
      <c r="AF86" s="225">
        <f t="shared" si="8"/>
        <v>0</v>
      </c>
    </row>
    <row r="87" ht="12.75" customHeight="1">
      <c r="V87" s="30">
        <f t="shared" si="1"/>
        <v>0</v>
      </c>
      <c r="Y87" s="30"/>
      <c r="Z87" s="224">
        <f t="shared" si="2"/>
        <v>0</v>
      </c>
      <c r="AA87" s="223">
        <f t="shared" si="3"/>
        <v>0</v>
      </c>
      <c r="AB87" s="170">
        <f t="shared" si="4"/>
        <v>0</v>
      </c>
      <c r="AC87" s="170">
        <f t="shared" si="5"/>
        <v>0</v>
      </c>
      <c r="AD87" s="170">
        <f t="shared" si="6"/>
        <v>0</v>
      </c>
      <c r="AE87" s="170"/>
      <c r="AF87" s="225">
        <f t="shared" si="8"/>
        <v>0</v>
      </c>
    </row>
    <row r="88" ht="12.75" customHeight="1">
      <c r="V88" s="30">
        <f t="shared" si="1"/>
        <v>0</v>
      </c>
      <c r="Y88" s="30"/>
      <c r="Z88" s="224">
        <f t="shared" si="2"/>
        <v>0</v>
      </c>
      <c r="AA88" s="223">
        <f t="shared" si="3"/>
        <v>0</v>
      </c>
      <c r="AB88" s="170">
        <f t="shared" si="4"/>
        <v>0</v>
      </c>
      <c r="AC88" s="170">
        <f t="shared" si="5"/>
        <v>0</v>
      </c>
      <c r="AD88" s="170">
        <f t="shared" si="6"/>
        <v>0</v>
      </c>
      <c r="AE88" s="170"/>
      <c r="AF88" s="225">
        <f t="shared" si="8"/>
        <v>0</v>
      </c>
    </row>
    <row r="89" ht="12.75" customHeight="1">
      <c r="V89" s="30">
        <f t="shared" si="1"/>
        <v>0</v>
      </c>
      <c r="Y89" s="30"/>
      <c r="Z89" s="224">
        <f t="shared" si="2"/>
        <v>0</v>
      </c>
      <c r="AA89" s="223">
        <f t="shared" si="3"/>
        <v>0</v>
      </c>
      <c r="AB89" s="170">
        <f t="shared" si="4"/>
        <v>0</v>
      </c>
      <c r="AC89" s="170">
        <f t="shared" si="5"/>
        <v>0</v>
      </c>
      <c r="AD89" s="170">
        <f t="shared" si="6"/>
        <v>0</v>
      </c>
      <c r="AE89" s="170"/>
      <c r="AF89" s="225">
        <f t="shared" si="8"/>
        <v>0</v>
      </c>
    </row>
    <row r="90" ht="12.75" customHeight="1">
      <c r="V90" s="30">
        <f t="shared" si="1"/>
        <v>0</v>
      </c>
      <c r="Y90" s="30"/>
      <c r="Z90" s="224">
        <f t="shared" si="2"/>
        <v>0</v>
      </c>
      <c r="AA90" s="223">
        <f t="shared" si="3"/>
        <v>0</v>
      </c>
      <c r="AB90" s="170">
        <f t="shared" si="4"/>
        <v>0</v>
      </c>
      <c r="AC90" s="170">
        <f t="shared" si="5"/>
        <v>0</v>
      </c>
      <c r="AD90" s="170">
        <f t="shared" si="6"/>
        <v>0</v>
      </c>
      <c r="AE90" s="170"/>
      <c r="AF90" s="225">
        <f t="shared" si="8"/>
        <v>0</v>
      </c>
    </row>
    <row r="91" ht="12.75" customHeight="1">
      <c r="V91" s="30">
        <f t="shared" si="1"/>
        <v>0</v>
      </c>
      <c r="Y91" s="30"/>
      <c r="Z91" s="224">
        <f t="shared" si="2"/>
        <v>0</v>
      </c>
      <c r="AA91" s="223">
        <f t="shared" si="3"/>
        <v>0</v>
      </c>
      <c r="AB91" s="170">
        <f t="shared" si="4"/>
        <v>0</v>
      </c>
      <c r="AC91" s="170">
        <f t="shared" si="5"/>
        <v>0</v>
      </c>
      <c r="AD91" s="170">
        <f t="shared" si="6"/>
        <v>0</v>
      </c>
      <c r="AE91" s="170"/>
      <c r="AF91" s="225">
        <f t="shared" si="8"/>
        <v>0</v>
      </c>
    </row>
    <row r="92" ht="12.75" customHeight="1">
      <c r="V92" s="30">
        <f t="shared" si="1"/>
        <v>0</v>
      </c>
      <c r="Y92" s="30"/>
      <c r="Z92" s="224">
        <f t="shared" si="2"/>
        <v>0</v>
      </c>
      <c r="AA92" s="223">
        <f t="shared" si="3"/>
        <v>0</v>
      </c>
      <c r="AB92" s="170">
        <f t="shared" si="4"/>
        <v>0</v>
      </c>
      <c r="AC92" s="170">
        <f t="shared" si="5"/>
        <v>0</v>
      </c>
      <c r="AD92" s="170">
        <f t="shared" si="6"/>
        <v>0</v>
      </c>
      <c r="AE92" s="170"/>
      <c r="AF92" s="225">
        <f t="shared" si="8"/>
        <v>0</v>
      </c>
    </row>
    <row r="93" ht="12.75" customHeight="1">
      <c r="V93" s="30">
        <f t="shared" si="1"/>
        <v>0</v>
      </c>
      <c r="Y93" s="30"/>
      <c r="Z93" s="224">
        <f t="shared" si="2"/>
        <v>0</v>
      </c>
      <c r="AA93" s="223">
        <f t="shared" si="3"/>
        <v>0</v>
      </c>
      <c r="AB93" s="170">
        <f t="shared" si="4"/>
        <v>0</v>
      </c>
      <c r="AC93" s="170">
        <f t="shared" si="5"/>
        <v>0</v>
      </c>
      <c r="AD93" s="170">
        <f t="shared" si="6"/>
        <v>0</v>
      </c>
      <c r="AE93" s="170"/>
      <c r="AF93" s="225">
        <f t="shared" si="8"/>
        <v>0</v>
      </c>
    </row>
    <row r="94" ht="12.75" customHeight="1">
      <c r="V94" s="30">
        <f t="shared" si="1"/>
        <v>0</v>
      </c>
      <c r="Y94" s="30"/>
      <c r="Z94" s="224">
        <f t="shared" si="2"/>
        <v>0</v>
      </c>
      <c r="AA94" s="223">
        <f t="shared" si="3"/>
        <v>0</v>
      </c>
      <c r="AB94" s="170">
        <f t="shared" si="4"/>
        <v>0</v>
      </c>
      <c r="AC94" s="170">
        <f t="shared" si="5"/>
        <v>0</v>
      </c>
      <c r="AD94" s="170">
        <f t="shared" si="6"/>
        <v>0</v>
      </c>
      <c r="AE94" s="170"/>
      <c r="AF94" s="225">
        <f t="shared" si="8"/>
        <v>0</v>
      </c>
    </row>
    <row r="95" ht="12.75" customHeight="1">
      <c r="V95" s="30">
        <f t="shared" si="1"/>
        <v>0</v>
      </c>
      <c r="Y95" s="30"/>
      <c r="Z95" s="224">
        <f t="shared" si="2"/>
        <v>0</v>
      </c>
      <c r="AA95" s="223">
        <f t="shared" si="3"/>
        <v>0</v>
      </c>
      <c r="AB95" s="170">
        <f t="shared" si="4"/>
        <v>0</v>
      </c>
      <c r="AC95" s="170">
        <f t="shared" si="5"/>
        <v>0</v>
      </c>
      <c r="AD95" s="170">
        <f t="shared" si="6"/>
        <v>0</v>
      </c>
      <c r="AE95" s="170"/>
      <c r="AF95" s="225">
        <f t="shared" si="8"/>
        <v>0</v>
      </c>
    </row>
    <row r="96" ht="12.75" customHeight="1">
      <c r="V96" s="30">
        <f t="shared" si="1"/>
        <v>0</v>
      </c>
      <c r="Y96" s="30"/>
      <c r="Z96" s="224">
        <f t="shared" si="2"/>
        <v>0</v>
      </c>
      <c r="AA96" s="223">
        <f t="shared" si="3"/>
        <v>0</v>
      </c>
      <c r="AB96" s="170">
        <f t="shared" si="4"/>
        <v>0</v>
      </c>
      <c r="AC96" s="170">
        <f t="shared" si="5"/>
        <v>0</v>
      </c>
      <c r="AD96" s="170">
        <f t="shared" si="6"/>
        <v>0</v>
      </c>
      <c r="AE96" s="170"/>
      <c r="AF96" s="225">
        <f t="shared" si="8"/>
        <v>0</v>
      </c>
    </row>
    <row r="97" ht="12.75" customHeight="1">
      <c r="V97" s="30">
        <f t="shared" si="1"/>
        <v>0</v>
      </c>
      <c r="Y97" s="30"/>
      <c r="Z97" s="224">
        <f t="shared" si="2"/>
        <v>0</v>
      </c>
      <c r="AA97" s="223">
        <f t="shared" si="3"/>
        <v>0</v>
      </c>
      <c r="AB97" s="170">
        <f t="shared" si="4"/>
        <v>0</v>
      </c>
      <c r="AC97" s="170">
        <f t="shared" si="5"/>
        <v>0</v>
      </c>
      <c r="AD97" s="170">
        <f t="shared" si="6"/>
        <v>0</v>
      </c>
      <c r="AE97" s="170"/>
      <c r="AF97" s="225">
        <f t="shared" si="8"/>
        <v>0</v>
      </c>
    </row>
    <row r="98" ht="12.75" customHeight="1">
      <c r="V98" s="30">
        <f t="shared" si="1"/>
        <v>0</v>
      </c>
      <c r="Y98" s="30"/>
      <c r="Z98" s="224">
        <f t="shared" si="2"/>
        <v>0</v>
      </c>
      <c r="AA98" s="223">
        <f t="shared" si="3"/>
        <v>0</v>
      </c>
      <c r="AB98" s="170">
        <f t="shared" si="4"/>
        <v>0</v>
      </c>
      <c r="AC98" s="170">
        <f t="shared" si="5"/>
        <v>0</v>
      </c>
      <c r="AD98" s="170">
        <f t="shared" si="6"/>
        <v>0</v>
      </c>
      <c r="AE98" s="170"/>
      <c r="AF98" s="225">
        <f t="shared" si="8"/>
        <v>0</v>
      </c>
    </row>
    <row r="99" ht="12.75" customHeight="1">
      <c r="V99" s="30">
        <f t="shared" si="1"/>
        <v>0</v>
      </c>
      <c r="Y99" s="30"/>
      <c r="Z99" s="224">
        <f t="shared" si="2"/>
        <v>0</v>
      </c>
      <c r="AA99" s="223">
        <f t="shared" si="3"/>
        <v>0</v>
      </c>
      <c r="AB99" s="170">
        <f t="shared" si="4"/>
        <v>0</v>
      </c>
      <c r="AC99" s="170">
        <f t="shared" si="5"/>
        <v>0</v>
      </c>
      <c r="AD99" s="170">
        <f t="shared" si="6"/>
        <v>0</v>
      </c>
      <c r="AE99" s="170"/>
      <c r="AF99" s="225">
        <f t="shared" si="8"/>
        <v>0</v>
      </c>
    </row>
    <row r="100" ht="12.75" customHeight="1">
      <c r="V100" s="30">
        <f t="shared" si="1"/>
        <v>0</v>
      </c>
      <c r="Y100" s="30"/>
      <c r="Z100" s="224">
        <f t="shared" si="2"/>
        <v>0</v>
      </c>
      <c r="AA100" s="223">
        <f t="shared" si="3"/>
        <v>0</v>
      </c>
      <c r="AB100" s="170">
        <f t="shared" si="4"/>
        <v>0</v>
      </c>
      <c r="AC100" s="170">
        <f t="shared" si="5"/>
        <v>0</v>
      </c>
      <c r="AD100" s="170">
        <f t="shared" si="6"/>
        <v>0</v>
      </c>
      <c r="AE100" s="170"/>
      <c r="AF100" s="225">
        <f t="shared" si="8"/>
        <v>0</v>
      </c>
    </row>
    <row r="101" ht="12.75" customHeight="1">
      <c r="V101" s="30">
        <f t="shared" si="1"/>
        <v>0</v>
      </c>
      <c r="Y101" s="30"/>
      <c r="Z101" s="224">
        <f t="shared" si="2"/>
        <v>0</v>
      </c>
      <c r="AA101" s="223">
        <f t="shared" si="3"/>
        <v>0</v>
      </c>
      <c r="AB101" s="170">
        <f t="shared" si="4"/>
        <v>0</v>
      </c>
      <c r="AC101" s="170">
        <f t="shared" si="5"/>
        <v>0</v>
      </c>
      <c r="AD101" s="170">
        <f t="shared" si="6"/>
        <v>0</v>
      </c>
      <c r="AE101" s="170"/>
      <c r="AF101" s="225">
        <f t="shared" si="8"/>
        <v>0</v>
      </c>
    </row>
    <row r="102" ht="12.75" customHeight="1">
      <c r="V102" s="30">
        <f t="shared" si="1"/>
        <v>0</v>
      </c>
      <c r="Y102" s="30"/>
      <c r="Z102" s="224">
        <f t="shared" si="2"/>
        <v>0</v>
      </c>
      <c r="AA102" s="223">
        <f t="shared" si="3"/>
        <v>0</v>
      </c>
      <c r="AB102" s="170">
        <f t="shared" si="4"/>
        <v>0</v>
      </c>
      <c r="AC102" s="170">
        <f t="shared" si="5"/>
        <v>0</v>
      </c>
      <c r="AD102" s="170">
        <f t="shared" si="6"/>
        <v>0</v>
      </c>
      <c r="AE102" s="170"/>
      <c r="AF102" s="225">
        <f t="shared" si="8"/>
        <v>0</v>
      </c>
    </row>
    <row r="103" ht="12.75" customHeight="1">
      <c r="V103" s="30">
        <f t="shared" si="1"/>
        <v>0</v>
      </c>
      <c r="Y103" s="30"/>
      <c r="Z103" s="224">
        <f t="shared" si="2"/>
        <v>0</v>
      </c>
      <c r="AA103" s="223">
        <f t="shared" si="3"/>
        <v>0</v>
      </c>
      <c r="AB103" s="170">
        <f t="shared" si="4"/>
        <v>0</v>
      </c>
      <c r="AC103" s="170">
        <f t="shared" si="5"/>
        <v>0</v>
      </c>
      <c r="AD103" s="170">
        <f t="shared" si="6"/>
        <v>0</v>
      </c>
      <c r="AE103" s="170"/>
      <c r="AF103" s="225">
        <f t="shared" si="8"/>
        <v>0</v>
      </c>
    </row>
    <row r="104" ht="12.75" customHeight="1">
      <c r="V104" s="30">
        <f t="shared" si="1"/>
        <v>0</v>
      </c>
      <c r="Y104" s="30"/>
      <c r="Z104" s="224">
        <f t="shared" si="2"/>
        <v>0</v>
      </c>
      <c r="AA104" s="223">
        <f t="shared" si="3"/>
        <v>0</v>
      </c>
      <c r="AB104" s="170">
        <f t="shared" si="4"/>
        <v>0</v>
      </c>
      <c r="AC104" s="170">
        <f t="shared" si="5"/>
        <v>0</v>
      </c>
      <c r="AD104" s="170">
        <f t="shared" si="6"/>
        <v>0</v>
      </c>
      <c r="AE104" s="170"/>
      <c r="AF104" s="225">
        <f t="shared" si="8"/>
        <v>0</v>
      </c>
    </row>
    <row r="105" ht="12.75" customHeight="1">
      <c r="V105" s="30">
        <f t="shared" si="1"/>
        <v>0</v>
      </c>
      <c r="Y105" s="30"/>
      <c r="Z105" s="224">
        <f t="shared" si="2"/>
        <v>0</v>
      </c>
      <c r="AA105" s="223">
        <f t="shared" si="3"/>
        <v>0</v>
      </c>
      <c r="AB105" s="170">
        <f t="shared" si="4"/>
        <v>0</v>
      </c>
      <c r="AC105" s="170">
        <f t="shared" si="5"/>
        <v>0</v>
      </c>
      <c r="AD105" s="170">
        <f t="shared" si="6"/>
        <v>0</v>
      </c>
      <c r="AE105" s="170"/>
      <c r="AF105" s="225">
        <f t="shared" si="8"/>
        <v>0</v>
      </c>
    </row>
    <row r="106" ht="12.75" customHeight="1">
      <c r="V106" s="30">
        <f t="shared" si="1"/>
        <v>0</v>
      </c>
      <c r="Y106" s="30"/>
      <c r="Z106" s="224">
        <f t="shared" si="2"/>
        <v>0</v>
      </c>
      <c r="AA106" s="223">
        <f t="shared" si="3"/>
        <v>0</v>
      </c>
      <c r="AB106" s="170">
        <f t="shared" si="4"/>
        <v>0</v>
      </c>
      <c r="AC106" s="170">
        <f t="shared" si="5"/>
        <v>0</v>
      </c>
      <c r="AD106" s="170">
        <f t="shared" si="6"/>
        <v>0</v>
      </c>
      <c r="AE106" s="170"/>
      <c r="AF106" s="225">
        <f t="shared" si="8"/>
        <v>0</v>
      </c>
    </row>
    <row r="107" ht="12.75" customHeight="1">
      <c r="V107" s="30">
        <f t="shared" si="1"/>
        <v>0</v>
      </c>
      <c r="Y107" s="30"/>
      <c r="Z107" s="224">
        <f t="shared" si="2"/>
        <v>0</v>
      </c>
      <c r="AA107" s="223">
        <f t="shared" si="3"/>
        <v>0</v>
      </c>
      <c r="AB107" s="170">
        <f t="shared" si="4"/>
        <v>0</v>
      </c>
      <c r="AC107" s="170">
        <f t="shared" si="5"/>
        <v>0</v>
      </c>
      <c r="AD107" s="170">
        <f t="shared" si="6"/>
        <v>0</v>
      </c>
      <c r="AE107" s="170"/>
      <c r="AF107" s="225">
        <f t="shared" si="8"/>
        <v>0</v>
      </c>
    </row>
    <row r="108" ht="12.75" customHeight="1">
      <c r="V108" s="30">
        <f t="shared" si="1"/>
        <v>0</v>
      </c>
      <c r="Y108" s="30"/>
      <c r="Z108" s="224">
        <f t="shared" si="2"/>
        <v>0</v>
      </c>
      <c r="AA108" s="223">
        <f t="shared" si="3"/>
        <v>0</v>
      </c>
      <c r="AB108" s="170">
        <f t="shared" si="4"/>
        <v>0</v>
      </c>
      <c r="AC108" s="170">
        <f t="shared" si="5"/>
        <v>0</v>
      </c>
      <c r="AD108" s="170">
        <f t="shared" si="6"/>
        <v>0</v>
      </c>
      <c r="AE108" s="170"/>
      <c r="AF108" s="225">
        <f t="shared" si="8"/>
        <v>0</v>
      </c>
    </row>
    <row r="109" ht="12.75" customHeight="1">
      <c r="V109" s="30">
        <f t="shared" si="1"/>
        <v>0</v>
      </c>
      <c r="Y109" s="30"/>
      <c r="Z109" s="224">
        <f t="shared" si="2"/>
        <v>0</v>
      </c>
      <c r="AA109" s="223">
        <f t="shared" si="3"/>
        <v>0</v>
      </c>
      <c r="AB109" s="170">
        <f t="shared" si="4"/>
        <v>0</v>
      </c>
      <c r="AC109" s="170">
        <f t="shared" si="5"/>
        <v>0</v>
      </c>
      <c r="AD109" s="170">
        <f t="shared" si="6"/>
        <v>0</v>
      </c>
      <c r="AE109" s="170"/>
      <c r="AF109" s="225">
        <f t="shared" si="8"/>
        <v>0</v>
      </c>
    </row>
    <row r="110" ht="12.75" customHeight="1">
      <c r="V110" s="30">
        <f t="shared" si="1"/>
        <v>0</v>
      </c>
      <c r="Y110" s="30"/>
      <c r="Z110" s="224">
        <f t="shared" si="2"/>
        <v>0</v>
      </c>
      <c r="AA110" s="223">
        <f t="shared" si="3"/>
        <v>0</v>
      </c>
      <c r="AB110" s="170">
        <f t="shared" si="4"/>
        <v>0</v>
      </c>
      <c r="AC110" s="170">
        <f t="shared" si="5"/>
        <v>0</v>
      </c>
      <c r="AD110" s="170">
        <f t="shared" si="6"/>
        <v>0</v>
      </c>
      <c r="AE110" s="170"/>
      <c r="AF110" s="225">
        <f t="shared" si="8"/>
        <v>0</v>
      </c>
    </row>
    <row r="111" ht="12.75" customHeight="1">
      <c r="V111" s="30">
        <f t="shared" si="1"/>
        <v>0</v>
      </c>
      <c r="Y111" s="30"/>
      <c r="Z111" s="224">
        <f t="shared" si="2"/>
        <v>0</v>
      </c>
      <c r="AA111" s="223">
        <f t="shared" si="3"/>
        <v>0</v>
      </c>
      <c r="AB111" s="170">
        <f t="shared" si="4"/>
        <v>0</v>
      </c>
      <c r="AC111" s="170">
        <f t="shared" si="5"/>
        <v>0</v>
      </c>
      <c r="AD111" s="170">
        <f t="shared" si="6"/>
        <v>0</v>
      </c>
      <c r="AE111" s="170"/>
      <c r="AF111" s="225">
        <f t="shared" si="8"/>
        <v>0</v>
      </c>
    </row>
    <row r="112" ht="12.75" customHeight="1">
      <c r="V112" s="30">
        <f t="shared" si="1"/>
        <v>0</v>
      </c>
      <c r="Y112" s="30"/>
      <c r="Z112" s="224">
        <f t="shared" si="2"/>
        <v>0</v>
      </c>
      <c r="AA112" s="223">
        <f t="shared" si="3"/>
        <v>0</v>
      </c>
      <c r="AB112" s="170">
        <f t="shared" si="4"/>
        <v>0</v>
      </c>
      <c r="AC112" s="170">
        <f t="shared" si="5"/>
        <v>0</v>
      </c>
      <c r="AD112" s="170">
        <f t="shared" si="6"/>
        <v>0</v>
      </c>
      <c r="AE112" s="170"/>
      <c r="AF112" s="225">
        <f t="shared" si="8"/>
        <v>0</v>
      </c>
    </row>
    <row r="113" ht="12.75" customHeight="1">
      <c r="V113" s="30">
        <f t="shared" si="1"/>
        <v>0</v>
      </c>
      <c r="Y113" s="30"/>
      <c r="Z113" s="224">
        <f t="shared" si="2"/>
        <v>0</v>
      </c>
      <c r="AA113" s="223">
        <f t="shared" si="3"/>
        <v>0</v>
      </c>
      <c r="AB113" s="170">
        <f t="shared" si="4"/>
        <v>0</v>
      </c>
      <c r="AC113" s="170">
        <f t="shared" si="5"/>
        <v>0</v>
      </c>
      <c r="AD113" s="170">
        <f t="shared" si="6"/>
        <v>0</v>
      </c>
      <c r="AE113" s="170"/>
      <c r="AF113" s="225">
        <f t="shared" si="8"/>
        <v>0</v>
      </c>
    </row>
    <row r="114" ht="12.75" customHeight="1">
      <c r="V114" s="30">
        <f t="shared" si="1"/>
        <v>0</v>
      </c>
      <c r="Y114" s="30"/>
      <c r="Z114" s="224">
        <f t="shared" si="2"/>
        <v>0</v>
      </c>
      <c r="AA114" s="223">
        <f t="shared" si="3"/>
        <v>0</v>
      </c>
      <c r="AB114" s="170">
        <f t="shared" si="4"/>
        <v>0</v>
      </c>
      <c r="AC114" s="170">
        <f t="shared" si="5"/>
        <v>0</v>
      </c>
      <c r="AD114" s="170">
        <f t="shared" si="6"/>
        <v>0</v>
      </c>
      <c r="AE114" s="170"/>
      <c r="AF114" s="225">
        <f t="shared" si="8"/>
        <v>0</v>
      </c>
    </row>
    <row r="115" ht="12.75" customHeight="1">
      <c r="V115" s="30">
        <f t="shared" si="1"/>
        <v>0</v>
      </c>
      <c r="Y115" s="30"/>
      <c r="Z115" s="224">
        <f t="shared" si="2"/>
        <v>0</v>
      </c>
      <c r="AA115" s="223">
        <f t="shared" si="3"/>
        <v>0</v>
      </c>
      <c r="AB115" s="170">
        <f t="shared" si="4"/>
        <v>0</v>
      </c>
      <c r="AC115" s="170">
        <f t="shared" si="5"/>
        <v>0</v>
      </c>
      <c r="AD115" s="170">
        <f t="shared" si="6"/>
        <v>0</v>
      </c>
      <c r="AE115" s="170"/>
      <c r="AF115" s="225">
        <f t="shared" si="8"/>
        <v>0</v>
      </c>
    </row>
    <row r="116" ht="12.75" customHeight="1">
      <c r="V116" s="30">
        <f t="shared" si="1"/>
        <v>0</v>
      </c>
      <c r="Y116" s="30"/>
      <c r="Z116" s="224">
        <f t="shared" si="2"/>
        <v>0</v>
      </c>
      <c r="AA116" s="223">
        <f t="shared" si="3"/>
        <v>0</v>
      </c>
      <c r="AB116" s="170">
        <f t="shared" si="4"/>
        <v>0</v>
      </c>
      <c r="AC116" s="170">
        <f t="shared" si="5"/>
        <v>0</v>
      </c>
      <c r="AD116" s="170">
        <f t="shared" si="6"/>
        <v>0</v>
      </c>
      <c r="AE116" s="170"/>
      <c r="AF116" s="225">
        <f t="shared" si="8"/>
        <v>0</v>
      </c>
    </row>
    <row r="117" ht="12.75" customHeight="1">
      <c r="V117" s="30">
        <f t="shared" si="1"/>
        <v>0</v>
      </c>
      <c r="Y117" s="30"/>
      <c r="Z117" s="224">
        <f t="shared" si="2"/>
        <v>0</v>
      </c>
      <c r="AA117" s="223">
        <f t="shared" si="3"/>
        <v>0</v>
      </c>
      <c r="AB117" s="170">
        <f t="shared" si="4"/>
        <v>0</v>
      </c>
      <c r="AC117" s="170">
        <f t="shared" si="5"/>
        <v>0</v>
      </c>
      <c r="AD117" s="170">
        <f t="shared" si="6"/>
        <v>0</v>
      </c>
      <c r="AE117" s="170"/>
      <c r="AF117" s="225">
        <f t="shared" si="8"/>
        <v>0</v>
      </c>
    </row>
    <row r="118" ht="12.75" customHeight="1">
      <c r="V118" s="30">
        <f t="shared" si="1"/>
        <v>0</v>
      </c>
      <c r="Y118" s="30"/>
      <c r="Z118" s="224">
        <f t="shared" si="2"/>
        <v>0</v>
      </c>
      <c r="AA118" s="223">
        <f t="shared" si="3"/>
        <v>0</v>
      </c>
      <c r="AB118" s="170">
        <f t="shared" si="4"/>
        <v>0</v>
      </c>
      <c r="AC118" s="170">
        <f t="shared" si="5"/>
        <v>0</v>
      </c>
      <c r="AD118" s="170">
        <f t="shared" si="6"/>
        <v>0</v>
      </c>
      <c r="AE118" s="170"/>
      <c r="AF118" s="225">
        <f t="shared" si="8"/>
        <v>0</v>
      </c>
    </row>
    <row r="119" ht="12.75" customHeight="1">
      <c r="V119" s="30">
        <f t="shared" si="1"/>
        <v>0</v>
      </c>
      <c r="Y119" s="30"/>
      <c r="Z119" s="224">
        <f t="shared" si="2"/>
        <v>0</v>
      </c>
      <c r="AA119" s="223">
        <f t="shared" si="3"/>
        <v>0</v>
      </c>
      <c r="AB119" s="170">
        <f t="shared" si="4"/>
        <v>0</v>
      </c>
      <c r="AC119" s="170">
        <f t="shared" si="5"/>
        <v>0</v>
      </c>
      <c r="AD119" s="170">
        <f t="shared" si="6"/>
        <v>0</v>
      </c>
      <c r="AE119" s="170"/>
      <c r="AF119" s="225">
        <f t="shared" si="8"/>
        <v>0</v>
      </c>
    </row>
    <row r="120" ht="12.75" customHeight="1">
      <c r="V120" s="30">
        <f t="shared" si="1"/>
        <v>0</v>
      </c>
      <c r="Y120" s="30"/>
      <c r="Z120" s="224">
        <f t="shared" si="2"/>
        <v>0</v>
      </c>
      <c r="AA120" s="223">
        <f t="shared" si="3"/>
        <v>0</v>
      </c>
      <c r="AB120" s="170">
        <f t="shared" si="4"/>
        <v>0</v>
      </c>
      <c r="AC120" s="170">
        <f t="shared" si="5"/>
        <v>0</v>
      </c>
      <c r="AD120" s="170">
        <f t="shared" si="6"/>
        <v>0</v>
      </c>
      <c r="AE120" s="170"/>
      <c r="AF120" s="225">
        <f t="shared" si="8"/>
        <v>0</v>
      </c>
    </row>
    <row r="121" ht="12.75" customHeight="1">
      <c r="V121" s="30">
        <f t="shared" si="1"/>
        <v>0</v>
      </c>
      <c r="Y121" s="30"/>
      <c r="Z121" s="224">
        <f t="shared" si="2"/>
        <v>0</v>
      </c>
      <c r="AA121" s="223">
        <f t="shared" si="3"/>
        <v>0</v>
      </c>
      <c r="AB121" s="170">
        <f t="shared" si="4"/>
        <v>0</v>
      </c>
      <c r="AC121" s="170">
        <f t="shared" si="5"/>
        <v>0</v>
      </c>
      <c r="AD121" s="170">
        <f t="shared" si="6"/>
        <v>0</v>
      </c>
      <c r="AE121" s="170"/>
      <c r="AF121" s="225">
        <f t="shared" si="8"/>
        <v>0</v>
      </c>
    </row>
    <row r="122" ht="12.75" customHeight="1">
      <c r="V122" s="30">
        <f t="shared" si="1"/>
        <v>0</v>
      </c>
      <c r="Y122" s="30"/>
      <c r="Z122" s="224">
        <f t="shared" si="2"/>
        <v>0</v>
      </c>
      <c r="AA122" s="223">
        <f t="shared" si="3"/>
        <v>0</v>
      </c>
      <c r="AB122" s="170">
        <f t="shared" si="4"/>
        <v>0</v>
      </c>
      <c r="AC122" s="170">
        <f t="shared" si="5"/>
        <v>0</v>
      </c>
      <c r="AD122" s="170">
        <f t="shared" si="6"/>
        <v>0</v>
      </c>
      <c r="AE122" s="170"/>
      <c r="AF122" s="225">
        <f t="shared" si="8"/>
        <v>0</v>
      </c>
    </row>
    <row r="123" ht="12.75" customHeight="1">
      <c r="V123" s="30">
        <f t="shared" si="1"/>
        <v>0</v>
      </c>
      <c r="Y123" s="30"/>
      <c r="Z123" s="224">
        <f t="shared" si="2"/>
        <v>0</v>
      </c>
      <c r="AA123" s="223">
        <f t="shared" si="3"/>
        <v>0</v>
      </c>
      <c r="AB123" s="170">
        <f t="shared" si="4"/>
        <v>0</v>
      </c>
      <c r="AC123" s="170">
        <f t="shared" si="5"/>
        <v>0</v>
      </c>
      <c r="AD123" s="170">
        <f t="shared" si="6"/>
        <v>0</v>
      </c>
      <c r="AE123" s="170"/>
      <c r="AF123" s="225">
        <f t="shared" si="8"/>
        <v>0</v>
      </c>
    </row>
    <row r="124" ht="12.75" customHeight="1">
      <c r="V124" s="30">
        <f t="shared" si="1"/>
        <v>0</v>
      </c>
      <c r="Y124" s="30"/>
      <c r="Z124" s="224">
        <f t="shared" si="2"/>
        <v>0</v>
      </c>
      <c r="AA124" s="223">
        <f t="shared" si="3"/>
        <v>0</v>
      </c>
      <c r="AB124" s="170">
        <f t="shared" si="4"/>
        <v>0</v>
      </c>
      <c r="AC124" s="170">
        <f t="shared" si="5"/>
        <v>0</v>
      </c>
      <c r="AD124" s="170">
        <f t="shared" si="6"/>
        <v>0</v>
      </c>
      <c r="AE124" s="170"/>
      <c r="AF124" s="225">
        <f t="shared" si="8"/>
        <v>0</v>
      </c>
    </row>
    <row r="125" ht="12.75" customHeight="1">
      <c r="V125" s="30">
        <f t="shared" si="1"/>
        <v>0</v>
      </c>
      <c r="Y125" s="30"/>
      <c r="Z125" s="224">
        <f t="shared" si="2"/>
        <v>0</v>
      </c>
      <c r="AA125" s="223">
        <f t="shared" si="3"/>
        <v>0</v>
      </c>
      <c r="AB125" s="170">
        <f t="shared" si="4"/>
        <v>0</v>
      </c>
      <c r="AC125" s="170">
        <f t="shared" si="5"/>
        <v>0</v>
      </c>
      <c r="AD125" s="170">
        <f t="shared" si="6"/>
        <v>0</v>
      </c>
      <c r="AE125" s="170"/>
      <c r="AF125" s="225">
        <f t="shared" si="8"/>
        <v>0</v>
      </c>
    </row>
    <row r="126" ht="12.75" customHeight="1">
      <c r="V126" s="30">
        <f t="shared" si="1"/>
        <v>0</v>
      </c>
      <c r="Y126" s="30"/>
      <c r="Z126" s="224">
        <f t="shared" si="2"/>
        <v>0</v>
      </c>
      <c r="AA126" s="223">
        <f t="shared" si="3"/>
        <v>0</v>
      </c>
      <c r="AB126" s="170">
        <f t="shared" si="4"/>
        <v>0</v>
      </c>
      <c r="AC126" s="170">
        <f t="shared" si="5"/>
        <v>0</v>
      </c>
      <c r="AD126" s="170">
        <f t="shared" si="6"/>
        <v>0</v>
      </c>
      <c r="AE126" s="170"/>
      <c r="AF126" s="225">
        <f t="shared" si="8"/>
        <v>0</v>
      </c>
    </row>
    <row r="127" ht="12.75" customHeight="1">
      <c r="V127" s="30">
        <f t="shared" si="1"/>
        <v>0</v>
      </c>
      <c r="Y127" s="30"/>
      <c r="Z127" s="224">
        <f t="shared" si="2"/>
        <v>0</v>
      </c>
      <c r="AA127" s="223">
        <f t="shared" si="3"/>
        <v>0</v>
      </c>
      <c r="AB127" s="170">
        <f t="shared" si="4"/>
        <v>0</v>
      </c>
      <c r="AC127" s="170">
        <f t="shared" si="5"/>
        <v>0</v>
      </c>
      <c r="AD127" s="170">
        <f t="shared" si="6"/>
        <v>0</v>
      </c>
      <c r="AE127" s="170"/>
      <c r="AF127" s="225">
        <f t="shared" si="8"/>
        <v>0</v>
      </c>
    </row>
    <row r="128" ht="12.75" customHeight="1">
      <c r="V128" s="30">
        <f t="shared" si="1"/>
        <v>0</v>
      </c>
      <c r="Y128" s="30"/>
      <c r="Z128" s="224">
        <f t="shared" si="2"/>
        <v>0</v>
      </c>
      <c r="AA128" s="223">
        <f t="shared" si="3"/>
        <v>0</v>
      </c>
      <c r="AB128" s="170">
        <f t="shared" si="4"/>
        <v>0</v>
      </c>
      <c r="AC128" s="170">
        <f t="shared" si="5"/>
        <v>0</v>
      </c>
      <c r="AD128" s="170">
        <f t="shared" si="6"/>
        <v>0</v>
      </c>
      <c r="AE128" s="170"/>
      <c r="AF128" s="225">
        <f t="shared" si="8"/>
        <v>0</v>
      </c>
    </row>
    <row r="129" ht="12.75" customHeight="1">
      <c r="V129" s="30">
        <f t="shared" si="1"/>
        <v>0</v>
      </c>
      <c r="Y129" s="30"/>
      <c r="Z129" s="224">
        <f t="shared" si="2"/>
        <v>0</v>
      </c>
      <c r="AA129" s="223">
        <f t="shared" si="3"/>
        <v>0</v>
      </c>
      <c r="AB129" s="170">
        <f t="shared" si="4"/>
        <v>0</v>
      </c>
      <c r="AC129" s="170">
        <f t="shared" si="5"/>
        <v>0</v>
      </c>
      <c r="AD129" s="170">
        <f t="shared" si="6"/>
        <v>0</v>
      </c>
      <c r="AE129" s="170"/>
      <c r="AF129" s="225">
        <f t="shared" si="8"/>
        <v>0</v>
      </c>
    </row>
    <row r="130" ht="12.75" customHeight="1">
      <c r="V130" s="30">
        <f t="shared" si="1"/>
        <v>0</v>
      </c>
      <c r="Y130" s="30"/>
      <c r="Z130" s="224">
        <f t="shared" si="2"/>
        <v>0</v>
      </c>
      <c r="AA130" s="223">
        <f t="shared" si="3"/>
        <v>0</v>
      </c>
      <c r="AB130" s="170">
        <f t="shared" si="4"/>
        <v>0</v>
      </c>
      <c r="AC130" s="170">
        <f t="shared" si="5"/>
        <v>0</v>
      </c>
      <c r="AD130" s="170">
        <f t="shared" si="6"/>
        <v>0</v>
      </c>
      <c r="AE130" s="170"/>
      <c r="AF130" s="225">
        <f t="shared" si="8"/>
        <v>0</v>
      </c>
    </row>
    <row r="131" ht="12.75" customHeight="1">
      <c r="V131" s="30">
        <f t="shared" si="1"/>
        <v>0</v>
      </c>
      <c r="Y131" s="30"/>
      <c r="Z131" s="224">
        <f t="shared" si="2"/>
        <v>0</v>
      </c>
      <c r="AA131" s="223">
        <f t="shared" si="3"/>
        <v>0</v>
      </c>
      <c r="AB131" s="170">
        <f t="shared" si="4"/>
        <v>0</v>
      </c>
      <c r="AC131" s="170">
        <f t="shared" si="5"/>
        <v>0</v>
      </c>
      <c r="AD131" s="170">
        <f t="shared" si="6"/>
        <v>0</v>
      </c>
      <c r="AE131" s="170"/>
      <c r="AF131" s="225">
        <f t="shared" si="8"/>
        <v>0</v>
      </c>
    </row>
    <row r="132" ht="12.75" customHeight="1">
      <c r="V132" s="30">
        <f t="shared" si="1"/>
        <v>0</v>
      </c>
      <c r="Y132" s="30"/>
      <c r="Z132" s="224">
        <f t="shared" si="2"/>
        <v>0</v>
      </c>
      <c r="AA132" s="223">
        <f t="shared" si="3"/>
        <v>0</v>
      </c>
      <c r="AB132" s="170">
        <f t="shared" si="4"/>
        <v>0</v>
      </c>
      <c r="AC132" s="170">
        <f t="shared" si="5"/>
        <v>0</v>
      </c>
      <c r="AD132" s="170">
        <f t="shared" si="6"/>
        <v>0</v>
      </c>
      <c r="AE132" s="170"/>
      <c r="AF132" s="225">
        <f t="shared" si="8"/>
        <v>0</v>
      </c>
    </row>
    <row r="133" ht="12.75" customHeight="1">
      <c r="V133" s="30">
        <f t="shared" si="1"/>
        <v>0</v>
      </c>
      <c r="Y133" s="30"/>
      <c r="Z133" s="224">
        <f t="shared" si="2"/>
        <v>0</v>
      </c>
      <c r="AA133" s="223">
        <f t="shared" si="3"/>
        <v>0</v>
      </c>
      <c r="AB133" s="170">
        <f t="shared" si="4"/>
        <v>0</v>
      </c>
      <c r="AC133" s="170">
        <f t="shared" si="5"/>
        <v>0</v>
      </c>
      <c r="AD133" s="170">
        <f t="shared" si="6"/>
        <v>0</v>
      </c>
      <c r="AE133" s="170"/>
      <c r="AF133" s="225">
        <f t="shared" si="8"/>
        <v>0</v>
      </c>
    </row>
    <row r="134" ht="12.75" customHeight="1">
      <c r="V134" s="30">
        <f t="shared" si="1"/>
        <v>0</v>
      </c>
      <c r="Y134" s="30"/>
      <c r="Z134" s="224">
        <f t="shared" si="2"/>
        <v>0</v>
      </c>
      <c r="AA134" s="223">
        <f t="shared" si="3"/>
        <v>0</v>
      </c>
      <c r="AB134" s="170">
        <f t="shared" si="4"/>
        <v>0</v>
      </c>
      <c r="AC134" s="170">
        <f t="shared" si="5"/>
        <v>0</v>
      </c>
      <c r="AD134" s="170">
        <f t="shared" si="6"/>
        <v>0</v>
      </c>
      <c r="AE134" s="170"/>
      <c r="AF134" s="225">
        <f t="shared" si="8"/>
        <v>0</v>
      </c>
    </row>
    <row r="135" ht="12.75" customHeight="1">
      <c r="V135" s="30">
        <f t="shared" si="1"/>
        <v>0</v>
      </c>
      <c r="Y135" s="30"/>
      <c r="Z135" s="224">
        <f t="shared" si="2"/>
        <v>0</v>
      </c>
      <c r="AA135" s="223">
        <f t="shared" si="3"/>
        <v>0</v>
      </c>
      <c r="AB135" s="170">
        <f t="shared" si="4"/>
        <v>0</v>
      </c>
      <c r="AC135" s="170">
        <f t="shared" si="5"/>
        <v>0</v>
      </c>
      <c r="AD135" s="170">
        <f t="shared" si="6"/>
        <v>0</v>
      </c>
      <c r="AE135" s="170"/>
      <c r="AF135" s="225">
        <f t="shared" si="8"/>
        <v>0</v>
      </c>
    </row>
    <row r="136" ht="12.75" customHeight="1">
      <c r="V136" s="30">
        <f t="shared" si="1"/>
        <v>0</v>
      </c>
      <c r="Y136" s="30"/>
      <c r="Z136" s="224">
        <f t="shared" si="2"/>
        <v>0</v>
      </c>
      <c r="AA136" s="223">
        <f t="shared" si="3"/>
        <v>0</v>
      </c>
      <c r="AB136" s="170">
        <f t="shared" si="4"/>
        <v>0</v>
      </c>
      <c r="AC136" s="170">
        <f t="shared" si="5"/>
        <v>0</v>
      </c>
      <c r="AD136" s="170">
        <f t="shared" si="6"/>
        <v>0</v>
      </c>
      <c r="AE136" s="170"/>
      <c r="AF136" s="225">
        <f t="shared" si="8"/>
        <v>0</v>
      </c>
    </row>
    <row r="137" ht="12.75" customHeight="1">
      <c r="V137" s="30">
        <f t="shared" si="1"/>
        <v>0</v>
      </c>
      <c r="Y137" s="30"/>
      <c r="Z137" s="224">
        <f t="shared" si="2"/>
        <v>0</v>
      </c>
      <c r="AA137" s="223">
        <f t="shared" si="3"/>
        <v>0</v>
      </c>
      <c r="AB137" s="170">
        <f t="shared" si="4"/>
        <v>0</v>
      </c>
      <c r="AC137" s="170">
        <f t="shared" si="5"/>
        <v>0</v>
      </c>
      <c r="AD137" s="170">
        <f t="shared" si="6"/>
        <v>0</v>
      </c>
      <c r="AE137" s="170"/>
      <c r="AF137" s="225">
        <f t="shared" si="8"/>
        <v>0</v>
      </c>
    </row>
    <row r="138" ht="12.75" customHeight="1">
      <c r="V138" s="30">
        <f t="shared" si="1"/>
        <v>0</v>
      </c>
      <c r="Y138" s="30"/>
      <c r="Z138" s="224">
        <f t="shared" si="2"/>
        <v>0</v>
      </c>
      <c r="AA138" s="223">
        <f t="shared" si="3"/>
        <v>0</v>
      </c>
      <c r="AB138" s="170">
        <f t="shared" si="4"/>
        <v>0</v>
      </c>
      <c r="AC138" s="170">
        <f t="shared" si="5"/>
        <v>0</v>
      </c>
      <c r="AD138" s="170">
        <f t="shared" si="6"/>
        <v>0</v>
      </c>
      <c r="AE138" s="170"/>
      <c r="AF138" s="225">
        <f t="shared" si="8"/>
        <v>0</v>
      </c>
    </row>
    <row r="139" ht="12.75" customHeight="1">
      <c r="V139" s="30">
        <f t="shared" si="1"/>
        <v>0</v>
      </c>
      <c r="Y139" s="30"/>
      <c r="Z139" s="224">
        <f t="shared" si="2"/>
        <v>0</v>
      </c>
      <c r="AA139" s="223">
        <f t="shared" si="3"/>
        <v>0</v>
      </c>
      <c r="AB139" s="170">
        <f t="shared" si="4"/>
        <v>0</v>
      </c>
      <c r="AC139" s="170">
        <f t="shared" si="5"/>
        <v>0</v>
      </c>
      <c r="AD139" s="170">
        <f t="shared" si="6"/>
        <v>0</v>
      </c>
      <c r="AE139" s="170"/>
      <c r="AF139" s="225">
        <f t="shared" si="8"/>
        <v>0</v>
      </c>
    </row>
    <row r="140" ht="12.75" customHeight="1">
      <c r="V140" s="30">
        <f t="shared" si="1"/>
        <v>0</v>
      </c>
      <c r="Y140" s="30"/>
      <c r="Z140" s="224">
        <f t="shared" si="2"/>
        <v>0</v>
      </c>
      <c r="AA140" s="223">
        <f t="shared" si="3"/>
        <v>0</v>
      </c>
      <c r="AB140" s="170">
        <f t="shared" si="4"/>
        <v>0</v>
      </c>
      <c r="AC140" s="170">
        <f t="shared" si="5"/>
        <v>0</v>
      </c>
      <c r="AD140" s="170">
        <f t="shared" si="6"/>
        <v>0</v>
      </c>
      <c r="AE140" s="170"/>
      <c r="AF140" s="225">
        <f t="shared" si="8"/>
        <v>0</v>
      </c>
    </row>
    <row r="141" ht="12.75" customHeight="1">
      <c r="V141" s="30">
        <f t="shared" si="1"/>
        <v>0</v>
      </c>
      <c r="Y141" s="30"/>
      <c r="Z141" s="224">
        <f t="shared" si="2"/>
        <v>0</v>
      </c>
      <c r="AA141" s="223">
        <f t="shared" si="3"/>
        <v>0</v>
      </c>
      <c r="AB141" s="170">
        <f t="shared" si="4"/>
        <v>0</v>
      </c>
      <c r="AC141" s="170">
        <f t="shared" si="5"/>
        <v>0</v>
      </c>
      <c r="AD141" s="170">
        <f t="shared" si="6"/>
        <v>0</v>
      </c>
      <c r="AE141" s="170"/>
      <c r="AF141" s="225">
        <f t="shared" si="8"/>
        <v>0</v>
      </c>
    </row>
    <row r="142" ht="12.75" customHeight="1">
      <c r="V142" s="30">
        <f t="shared" si="1"/>
        <v>0</v>
      </c>
      <c r="Y142" s="30"/>
      <c r="Z142" s="224">
        <f t="shared" si="2"/>
        <v>0</v>
      </c>
      <c r="AA142" s="223">
        <f t="shared" si="3"/>
        <v>0</v>
      </c>
      <c r="AB142" s="170">
        <f t="shared" si="4"/>
        <v>0</v>
      </c>
      <c r="AC142" s="170">
        <f t="shared" si="5"/>
        <v>0</v>
      </c>
      <c r="AD142" s="170">
        <f t="shared" si="6"/>
        <v>0</v>
      </c>
      <c r="AE142" s="170"/>
      <c r="AF142" s="225">
        <f t="shared" si="8"/>
        <v>0</v>
      </c>
    </row>
    <row r="143" ht="12.75" customHeight="1">
      <c r="V143" s="30">
        <f t="shared" si="1"/>
        <v>0</v>
      </c>
      <c r="Y143" s="30"/>
      <c r="Z143" s="224">
        <f t="shared" si="2"/>
        <v>0</v>
      </c>
      <c r="AA143" s="223">
        <f t="shared" si="3"/>
        <v>0</v>
      </c>
      <c r="AB143" s="170">
        <f t="shared" si="4"/>
        <v>0</v>
      </c>
      <c r="AC143" s="170">
        <f t="shared" si="5"/>
        <v>0</v>
      </c>
      <c r="AD143" s="170">
        <f t="shared" si="6"/>
        <v>0</v>
      </c>
      <c r="AE143" s="170"/>
      <c r="AF143" s="225">
        <f t="shared" si="8"/>
        <v>0</v>
      </c>
    </row>
    <row r="144" ht="12.75" customHeight="1">
      <c r="V144" s="30">
        <f t="shared" si="1"/>
        <v>0</v>
      </c>
      <c r="Y144" s="30"/>
      <c r="Z144" s="224">
        <f t="shared" si="2"/>
        <v>0</v>
      </c>
      <c r="AA144" s="223">
        <f t="shared" si="3"/>
        <v>0</v>
      </c>
      <c r="AB144" s="170">
        <f t="shared" si="4"/>
        <v>0</v>
      </c>
      <c r="AC144" s="170">
        <f t="shared" si="5"/>
        <v>0</v>
      </c>
      <c r="AD144" s="170">
        <f t="shared" si="6"/>
        <v>0</v>
      </c>
      <c r="AE144" s="170"/>
      <c r="AF144" s="225">
        <f t="shared" si="8"/>
        <v>0</v>
      </c>
    </row>
    <row r="145" ht="12.75" customHeight="1">
      <c r="V145" s="30">
        <f t="shared" si="1"/>
        <v>0</v>
      </c>
      <c r="Y145" s="30"/>
      <c r="Z145" s="224">
        <f t="shared" si="2"/>
        <v>0</v>
      </c>
      <c r="AA145" s="223">
        <f t="shared" si="3"/>
        <v>0</v>
      </c>
      <c r="AB145" s="170">
        <f t="shared" si="4"/>
        <v>0</v>
      </c>
      <c r="AC145" s="170">
        <f t="shared" si="5"/>
        <v>0</v>
      </c>
      <c r="AD145" s="170">
        <f t="shared" si="6"/>
        <v>0</v>
      </c>
      <c r="AE145" s="170"/>
      <c r="AF145" s="225">
        <f t="shared" si="8"/>
        <v>0</v>
      </c>
    </row>
    <row r="146" ht="12.75" customHeight="1">
      <c r="V146" s="30">
        <f t="shared" si="1"/>
        <v>0</v>
      </c>
      <c r="Y146" s="30"/>
      <c r="Z146" s="224">
        <f t="shared" si="2"/>
        <v>0</v>
      </c>
      <c r="AA146" s="223">
        <f t="shared" si="3"/>
        <v>0</v>
      </c>
      <c r="AB146" s="170">
        <f t="shared" si="4"/>
        <v>0</v>
      </c>
      <c r="AC146" s="170">
        <f t="shared" si="5"/>
        <v>0</v>
      </c>
      <c r="AD146" s="170">
        <f t="shared" si="6"/>
        <v>0</v>
      </c>
      <c r="AE146" s="170"/>
      <c r="AF146" s="225">
        <f t="shared" si="8"/>
        <v>0</v>
      </c>
    </row>
    <row r="147" ht="12.75" customHeight="1">
      <c r="V147" s="30">
        <f t="shared" si="1"/>
        <v>0</v>
      </c>
      <c r="Y147" s="30"/>
      <c r="Z147" s="224">
        <f t="shared" si="2"/>
        <v>0</v>
      </c>
      <c r="AA147" s="223">
        <f t="shared" si="3"/>
        <v>0</v>
      </c>
      <c r="AB147" s="170">
        <f t="shared" si="4"/>
        <v>0</v>
      </c>
      <c r="AC147" s="170">
        <f t="shared" si="5"/>
        <v>0</v>
      </c>
      <c r="AD147" s="170">
        <f t="shared" si="6"/>
        <v>0</v>
      </c>
      <c r="AE147" s="170"/>
      <c r="AF147" s="225">
        <f t="shared" si="8"/>
        <v>0</v>
      </c>
    </row>
    <row r="148" ht="12.75" customHeight="1">
      <c r="V148" s="30">
        <f t="shared" si="1"/>
        <v>0</v>
      </c>
      <c r="Y148" s="30"/>
      <c r="Z148" s="224">
        <f t="shared" si="2"/>
        <v>0</v>
      </c>
      <c r="AA148" s="223">
        <f t="shared" si="3"/>
        <v>0</v>
      </c>
      <c r="AB148" s="170">
        <f t="shared" si="4"/>
        <v>0</v>
      </c>
      <c r="AC148" s="170">
        <f t="shared" si="5"/>
        <v>0</v>
      </c>
      <c r="AD148" s="170">
        <f t="shared" si="6"/>
        <v>0</v>
      </c>
      <c r="AE148" s="170"/>
      <c r="AF148" s="225">
        <f t="shared" si="8"/>
        <v>0</v>
      </c>
    </row>
    <row r="149" ht="12.75" customHeight="1">
      <c r="V149" s="30">
        <f t="shared" si="1"/>
        <v>0</v>
      </c>
      <c r="Y149" s="30"/>
      <c r="Z149" s="224">
        <f t="shared" si="2"/>
        <v>0</v>
      </c>
      <c r="AA149" s="223">
        <f t="shared" si="3"/>
        <v>0</v>
      </c>
      <c r="AB149" s="170">
        <f t="shared" si="4"/>
        <v>0</v>
      </c>
      <c r="AC149" s="170">
        <f t="shared" si="5"/>
        <v>0</v>
      </c>
      <c r="AD149" s="170">
        <f t="shared" si="6"/>
        <v>0</v>
      </c>
      <c r="AE149" s="170"/>
      <c r="AF149" s="225">
        <f t="shared" si="8"/>
        <v>0</v>
      </c>
    </row>
    <row r="150" ht="12.75" customHeight="1">
      <c r="V150" s="30">
        <f t="shared" si="1"/>
        <v>0</v>
      </c>
      <c r="Y150" s="30"/>
      <c r="Z150" s="224">
        <f t="shared" si="2"/>
        <v>0</v>
      </c>
      <c r="AA150" s="223">
        <f t="shared" si="3"/>
        <v>0</v>
      </c>
      <c r="AB150" s="170">
        <f t="shared" si="4"/>
        <v>0</v>
      </c>
      <c r="AC150" s="170">
        <f t="shared" si="5"/>
        <v>0</v>
      </c>
      <c r="AD150" s="170">
        <f t="shared" si="6"/>
        <v>0</v>
      </c>
      <c r="AE150" s="170"/>
      <c r="AF150" s="225">
        <f t="shared" si="8"/>
        <v>0</v>
      </c>
    </row>
    <row r="151" ht="12.75" customHeight="1">
      <c r="V151" s="30">
        <f t="shared" si="1"/>
        <v>0</v>
      </c>
      <c r="Y151" s="30"/>
      <c r="Z151" s="224">
        <f t="shared" si="2"/>
        <v>0</v>
      </c>
      <c r="AA151" s="223">
        <f t="shared" si="3"/>
        <v>0</v>
      </c>
      <c r="AB151" s="170">
        <f t="shared" si="4"/>
        <v>0</v>
      </c>
      <c r="AC151" s="170">
        <f t="shared" si="5"/>
        <v>0</v>
      </c>
      <c r="AD151" s="170">
        <f t="shared" si="6"/>
        <v>0</v>
      </c>
      <c r="AE151" s="170"/>
      <c r="AF151" s="225">
        <f t="shared" si="8"/>
        <v>0</v>
      </c>
    </row>
    <row r="152" ht="12.75" customHeight="1">
      <c r="V152" s="30">
        <f t="shared" si="1"/>
        <v>0</v>
      </c>
      <c r="Y152" s="30"/>
      <c r="Z152" s="224">
        <f t="shared" si="2"/>
        <v>0</v>
      </c>
      <c r="AA152" s="223">
        <f t="shared" si="3"/>
        <v>0</v>
      </c>
      <c r="AB152" s="170">
        <f t="shared" si="4"/>
        <v>0</v>
      </c>
      <c r="AC152" s="170">
        <f t="shared" si="5"/>
        <v>0</v>
      </c>
      <c r="AD152" s="170">
        <f t="shared" si="6"/>
        <v>0</v>
      </c>
      <c r="AE152" s="170"/>
      <c r="AF152" s="225">
        <f t="shared" si="8"/>
        <v>0</v>
      </c>
    </row>
    <row r="153" ht="12.75" customHeight="1">
      <c r="V153" s="30">
        <f t="shared" si="1"/>
        <v>0</v>
      </c>
      <c r="Y153" s="30"/>
      <c r="Z153" s="224">
        <f t="shared" si="2"/>
        <v>0</v>
      </c>
      <c r="AA153" s="223">
        <f t="shared" si="3"/>
        <v>0</v>
      </c>
      <c r="AB153" s="170">
        <f t="shared" si="4"/>
        <v>0</v>
      </c>
      <c r="AC153" s="170">
        <f t="shared" si="5"/>
        <v>0</v>
      </c>
      <c r="AD153" s="170">
        <f t="shared" si="6"/>
        <v>0</v>
      </c>
      <c r="AE153" s="170"/>
      <c r="AF153" s="225">
        <f t="shared" si="8"/>
        <v>0</v>
      </c>
    </row>
    <row r="154" ht="12.75" customHeight="1">
      <c r="V154" s="30">
        <f t="shared" si="1"/>
        <v>0</v>
      </c>
      <c r="Y154" s="30"/>
      <c r="Z154" s="224">
        <f t="shared" si="2"/>
        <v>0</v>
      </c>
      <c r="AA154" s="223">
        <f t="shared" si="3"/>
        <v>0</v>
      </c>
      <c r="AB154" s="170">
        <f t="shared" si="4"/>
        <v>0</v>
      </c>
      <c r="AC154" s="170">
        <f t="shared" si="5"/>
        <v>0</v>
      </c>
      <c r="AD154" s="170">
        <f t="shared" si="6"/>
        <v>0</v>
      </c>
      <c r="AE154" s="170"/>
      <c r="AF154" s="225">
        <f t="shared" si="8"/>
        <v>0</v>
      </c>
    </row>
    <row r="155" ht="12.75" customHeight="1">
      <c r="V155" s="30">
        <f t="shared" si="1"/>
        <v>0</v>
      </c>
      <c r="Y155" s="30"/>
      <c r="Z155" s="224">
        <f t="shared" si="2"/>
        <v>0</v>
      </c>
      <c r="AA155" s="223">
        <f t="shared" si="3"/>
        <v>0</v>
      </c>
      <c r="AB155" s="170">
        <f t="shared" si="4"/>
        <v>0</v>
      </c>
      <c r="AC155" s="170">
        <f t="shared" si="5"/>
        <v>0</v>
      </c>
      <c r="AD155" s="170">
        <f t="shared" si="6"/>
        <v>0</v>
      </c>
      <c r="AE155" s="170"/>
      <c r="AF155" s="225">
        <f t="shared" si="8"/>
        <v>0</v>
      </c>
    </row>
    <row r="156" ht="12.75" customHeight="1">
      <c r="V156" s="30">
        <f t="shared" si="1"/>
        <v>0</v>
      </c>
      <c r="Y156" s="30"/>
      <c r="Z156" s="224">
        <f t="shared" si="2"/>
        <v>0</v>
      </c>
      <c r="AA156" s="223">
        <f t="shared" si="3"/>
        <v>0</v>
      </c>
      <c r="AB156" s="170">
        <f t="shared" si="4"/>
        <v>0</v>
      </c>
      <c r="AC156" s="170">
        <f t="shared" si="5"/>
        <v>0</v>
      </c>
      <c r="AD156" s="170">
        <f t="shared" si="6"/>
        <v>0</v>
      </c>
      <c r="AE156" s="170"/>
      <c r="AF156" s="225">
        <f t="shared" si="8"/>
        <v>0</v>
      </c>
    </row>
    <row r="157" ht="12.75" customHeight="1">
      <c r="V157" s="30">
        <f t="shared" si="1"/>
        <v>0</v>
      </c>
      <c r="Y157" s="30"/>
      <c r="Z157" s="224">
        <f t="shared" si="2"/>
        <v>0</v>
      </c>
      <c r="AA157" s="223">
        <f t="shared" si="3"/>
        <v>0</v>
      </c>
      <c r="AB157" s="170">
        <f t="shared" si="4"/>
        <v>0</v>
      </c>
      <c r="AC157" s="170">
        <f t="shared" si="5"/>
        <v>0</v>
      </c>
      <c r="AD157" s="170">
        <f t="shared" si="6"/>
        <v>0</v>
      </c>
      <c r="AE157" s="170"/>
      <c r="AF157" s="225">
        <f t="shared" si="8"/>
        <v>0</v>
      </c>
    </row>
    <row r="158" ht="12.75" customHeight="1">
      <c r="V158" s="30">
        <f t="shared" si="1"/>
        <v>0</v>
      </c>
      <c r="Y158" s="30"/>
      <c r="Z158" s="224">
        <f t="shared" si="2"/>
        <v>0</v>
      </c>
      <c r="AA158" s="223">
        <f t="shared" si="3"/>
        <v>0</v>
      </c>
      <c r="AB158" s="170">
        <f t="shared" si="4"/>
        <v>0</v>
      </c>
      <c r="AC158" s="170">
        <f t="shared" si="5"/>
        <v>0</v>
      </c>
      <c r="AD158" s="170">
        <f t="shared" si="6"/>
        <v>0</v>
      </c>
      <c r="AE158" s="170"/>
      <c r="AF158" s="225">
        <f t="shared" si="8"/>
        <v>0</v>
      </c>
    </row>
    <row r="159" ht="12.75" customHeight="1">
      <c r="V159" s="30">
        <f t="shared" si="1"/>
        <v>0</v>
      </c>
      <c r="Y159" s="30"/>
      <c r="Z159" s="224">
        <f t="shared" si="2"/>
        <v>0</v>
      </c>
      <c r="AA159" s="223">
        <f t="shared" si="3"/>
        <v>0</v>
      </c>
      <c r="AB159" s="170">
        <f t="shared" si="4"/>
        <v>0</v>
      </c>
      <c r="AC159" s="170">
        <f t="shared" si="5"/>
        <v>0</v>
      </c>
      <c r="AD159" s="170">
        <f t="shared" si="6"/>
        <v>0</v>
      </c>
      <c r="AE159" s="170"/>
      <c r="AF159" s="225">
        <f t="shared" si="8"/>
        <v>0</v>
      </c>
    </row>
    <row r="160" ht="12.75" customHeight="1">
      <c r="V160" s="30">
        <f t="shared" si="1"/>
        <v>0</v>
      </c>
      <c r="Y160" s="30"/>
      <c r="Z160" s="224">
        <f t="shared" si="2"/>
        <v>0</v>
      </c>
      <c r="AA160" s="223">
        <f t="shared" si="3"/>
        <v>0</v>
      </c>
      <c r="AB160" s="170">
        <f t="shared" si="4"/>
        <v>0</v>
      </c>
      <c r="AC160" s="170">
        <f t="shared" si="5"/>
        <v>0</v>
      </c>
      <c r="AD160" s="170">
        <f t="shared" si="6"/>
        <v>0</v>
      </c>
      <c r="AE160" s="170"/>
      <c r="AF160" s="225">
        <f t="shared" si="8"/>
        <v>0</v>
      </c>
    </row>
    <row r="161" ht="12.75" customHeight="1">
      <c r="V161" s="30">
        <f t="shared" si="1"/>
        <v>0</v>
      </c>
      <c r="Y161" s="30"/>
      <c r="Z161" s="224">
        <f t="shared" si="2"/>
        <v>0</v>
      </c>
      <c r="AA161" s="223">
        <f t="shared" si="3"/>
        <v>0</v>
      </c>
      <c r="AB161" s="170">
        <f t="shared" si="4"/>
        <v>0</v>
      </c>
      <c r="AC161" s="170">
        <f t="shared" si="5"/>
        <v>0</v>
      </c>
      <c r="AD161" s="170">
        <f t="shared" si="6"/>
        <v>0</v>
      </c>
      <c r="AE161" s="170"/>
      <c r="AF161" s="225">
        <f t="shared" si="8"/>
        <v>0</v>
      </c>
    </row>
    <row r="162" ht="12.75" customHeight="1">
      <c r="V162" s="30">
        <f t="shared" si="1"/>
        <v>0</v>
      </c>
      <c r="Y162" s="30"/>
      <c r="Z162" s="224">
        <f t="shared" si="2"/>
        <v>0</v>
      </c>
      <c r="AA162" s="223">
        <f t="shared" si="3"/>
        <v>0</v>
      </c>
      <c r="AB162" s="170">
        <f t="shared" si="4"/>
        <v>0</v>
      </c>
      <c r="AC162" s="170">
        <f t="shared" si="5"/>
        <v>0</v>
      </c>
      <c r="AD162" s="170">
        <f t="shared" si="6"/>
        <v>0</v>
      </c>
      <c r="AE162" s="170"/>
      <c r="AF162" s="225">
        <f t="shared" si="8"/>
        <v>0</v>
      </c>
    </row>
    <row r="163" ht="12.75" customHeight="1">
      <c r="V163" s="30">
        <f t="shared" si="1"/>
        <v>0</v>
      </c>
      <c r="Y163" s="30"/>
      <c r="Z163" s="224">
        <f t="shared" si="2"/>
        <v>0</v>
      </c>
      <c r="AA163" s="223">
        <f t="shared" si="3"/>
        <v>0</v>
      </c>
      <c r="AB163" s="170">
        <f t="shared" si="4"/>
        <v>0</v>
      </c>
      <c r="AC163" s="170">
        <f t="shared" si="5"/>
        <v>0</v>
      </c>
      <c r="AD163" s="170">
        <f t="shared" si="6"/>
        <v>0</v>
      </c>
      <c r="AE163" s="170"/>
      <c r="AF163" s="225">
        <f t="shared" si="8"/>
        <v>0</v>
      </c>
    </row>
    <row r="164" ht="12.75" customHeight="1">
      <c r="V164" s="30">
        <f t="shared" si="1"/>
        <v>0</v>
      </c>
      <c r="Y164" s="30"/>
      <c r="Z164" s="224">
        <f t="shared" si="2"/>
        <v>0</v>
      </c>
      <c r="AA164" s="223">
        <f t="shared" si="3"/>
        <v>0</v>
      </c>
      <c r="AB164" s="170">
        <f t="shared" si="4"/>
        <v>0</v>
      </c>
      <c r="AC164" s="170">
        <f t="shared" si="5"/>
        <v>0</v>
      </c>
      <c r="AD164" s="170">
        <f t="shared" si="6"/>
        <v>0</v>
      </c>
      <c r="AE164" s="170"/>
      <c r="AF164" s="225">
        <f t="shared" si="8"/>
        <v>0</v>
      </c>
    </row>
    <row r="165" ht="12.75" customHeight="1">
      <c r="V165" s="30">
        <f t="shared" si="1"/>
        <v>0</v>
      </c>
      <c r="Y165" s="30"/>
      <c r="Z165" s="224">
        <f t="shared" si="2"/>
        <v>0</v>
      </c>
      <c r="AA165" s="223">
        <f t="shared" si="3"/>
        <v>0</v>
      </c>
      <c r="AB165" s="170">
        <f t="shared" si="4"/>
        <v>0</v>
      </c>
      <c r="AC165" s="170">
        <f t="shared" si="5"/>
        <v>0</v>
      </c>
      <c r="AD165" s="170">
        <f t="shared" si="6"/>
        <v>0</v>
      </c>
      <c r="AE165" s="170"/>
      <c r="AF165" s="225">
        <f t="shared" si="8"/>
        <v>0</v>
      </c>
    </row>
    <row r="166" ht="12.75" customHeight="1">
      <c r="V166" s="30">
        <f t="shared" si="1"/>
        <v>0</v>
      </c>
      <c r="Y166" s="30"/>
      <c r="Z166" s="224">
        <f t="shared" si="2"/>
        <v>0</v>
      </c>
      <c r="AA166" s="223">
        <f t="shared" si="3"/>
        <v>0</v>
      </c>
      <c r="AB166" s="170">
        <f t="shared" si="4"/>
        <v>0</v>
      </c>
      <c r="AC166" s="170">
        <f t="shared" si="5"/>
        <v>0</v>
      </c>
      <c r="AD166" s="170">
        <f t="shared" si="6"/>
        <v>0</v>
      </c>
      <c r="AE166" s="170"/>
      <c r="AF166" s="225">
        <f t="shared" si="8"/>
        <v>0</v>
      </c>
    </row>
    <row r="167" ht="12.75" customHeight="1">
      <c r="V167" s="30">
        <f t="shared" si="1"/>
        <v>0</v>
      </c>
      <c r="Y167" s="30"/>
      <c r="Z167" s="224">
        <f t="shared" si="2"/>
        <v>0</v>
      </c>
      <c r="AA167" s="223">
        <f t="shared" si="3"/>
        <v>0</v>
      </c>
      <c r="AB167" s="170">
        <f t="shared" si="4"/>
        <v>0</v>
      </c>
      <c r="AC167" s="170">
        <f t="shared" si="5"/>
        <v>0</v>
      </c>
      <c r="AD167" s="170">
        <f t="shared" si="6"/>
        <v>0</v>
      </c>
      <c r="AE167" s="170"/>
      <c r="AF167" s="225">
        <f t="shared" si="8"/>
        <v>0</v>
      </c>
    </row>
    <row r="168" ht="12.75" customHeight="1">
      <c r="V168" s="30">
        <f t="shared" si="1"/>
        <v>0</v>
      </c>
      <c r="Y168" s="30"/>
      <c r="Z168" s="224">
        <f t="shared" si="2"/>
        <v>0</v>
      </c>
      <c r="AA168" s="223">
        <f t="shared" si="3"/>
        <v>0</v>
      </c>
      <c r="AB168" s="170">
        <f t="shared" si="4"/>
        <v>0</v>
      </c>
      <c r="AC168" s="170">
        <f t="shared" si="5"/>
        <v>0</v>
      </c>
      <c r="AD168" s="170">
        <f t="shared" si="6"/>
        <v>0</v>
      </c>
      <c r="AE168" s="170"/>
      <c r="AF168" s="225">
        <f t="shared" si="8"/>
        <v>0</v>
      </c>
    </row>
    <row r="169" ht="12.75" customHeight="1">
      <c r="V169" s="30">
        <f t="shared" si="1"/>
        <v>0</v>
      </c>
      <c r="Y169" s="30"/>
      <c r="Z169" s="224">
        <f t="shared" si="2"/>
        <v>0</v>
      </c>
      <c r="AA169" s="223">
        <f t="shared" si="3"/>
        <v>0</v>
      </c>
      <c r="AB169" s="170">
        <f t="shared" si="4"/>
        <v>0</v>
      </c>
      <c r="AC169" s="170">
        <f t="shared" si="5"/>
        <v>0</v>
      </c>
      <c r="AD169" s="170">
        <f t="shared" si="6"/>
        <v>0</v>
      </c>
      <c r="AE169" s="170"/>
      <c r="AF169" s="225">
        <f t="shared" si="8"/>
        <v>0</v>
      </c>
    </row>
    <row r="170" ht="12.75" customHeight="1">
      <c r="V170" s="30">
        <f t="shared" si="1"/>
        <v>0</v>
      </c>
      <c r="Y170" s="30"/>
      <c r="Z170" s="224">
        <f t="shared" si="2"/>
        <v>0</v>
      </c>
      <c r="AA170" s="223">
        <f t="shared" si="3"/>
        <v>0</v>
      </c>
      <c r="AB170" s="170">
        <f t="shared" si="4"/>
        <v>0</v>
      </c>
      <c r="AC170" s="170">
        <f t="shared" si="5"/>
        <v>0</v>
      </c>
      <c r="AD170" s="170">
        <f t="shared" si="6"/>
        <v>0</v>
      </c>
      <c r="AE170" s="170"/>
      <c r="AF170" s="225">
        <f t="shared" si="8"/>
        <v>0</v>
      </c>
    </row>
    <row r="171" ht="12.75" customHeight="1">
      <c r="V171" s="30">
        <f t="shared" si="1"/>
        <v>0</v>
      </c>
      <c r="Y171" s="30"/>
      <c r="Z171" s="224">
        <f t="shared" si="2"/>
        <v>0</v>
      </c>
      <c r="AA171" s="223">
        <f t="shared" si="3"/>
        <v>0</v>
      </c>
      <c r="AB171" s="170">
        <f t="shared" si="4"/>
        <v>0</v>
      </c>
      <c r="AC171" s="170">
        <f t="shared" si="5"/>
        <v>0</v>
      </c>
      <c r="AD171" s="170">
        <f t="shared" si="6"/>
        <v>0</v>
      </c>
      <c r="AE171" s="170"/>
      <c r="AF171" s="225">
        <f t="shared" si="8"/>
        <v>0</v>
      </c>
    </row>
    <row r="172" ht="12.75" customHeight="1">
      <c r="V172" s="30">
        <f t="shared" si="1"/>
        <v>0</v>
      </c>
      <c r="Y172" s="30"/>
      <c r="Z172" s="224">
        <f t="shared" si="2"/>
        <v>0</v>
      </c>
      <c r="AA172" s="223">
        <f t="shared" si="3"/>
        <v>0</v>
      </c>
      <c r="AB172" s="170">
        <f t="shared" si="4"/>
        <v>0</v>
      </c>
      <c r="AC172" s="170">
        <f t="shared" si="5"/>
        <v>0</v>
      </c>
      <c r="AD172" s="170">
        <f t="shared" si="6"/>
        <v>0</v>
      </c>
      <c r="AE172" s="170"/>
      <c r="AF172" s="225">
        <f t="shared" si="8"/>
        <v>0</v>
      </c>
    </row>
    <row r="173" ht="12.75" customHeight="1">
      <c r="V173" s="30">
        <f t="shared" si="1"/>
        <v>0</v>
      </c>
      <c r="Y173" s="30"/>
      <c r="Z173" s="224">
        <f t="shared" si="2"/>
        <v>0</v>
      </c>
      <c r="AA173" s="223">
        <f t="shared" si="3"/>
        <v>0</v>
      </c>
      <c r="AB173" s="170">
        <f t="shared" si="4"/>
        <v>0</v>
      </c>
      <c r="AC173" s="170">
        <f t="shared" si="5"/>
        <v>0</v>
      </c>
      <c r="AD173" s="170">
        <f t="shared" si="6"/>
        <v>0</v>
      </c>
      <c r="AE173" s="170"/>
      <c r="AF173" s="225">
        <f t="shared" si="8"/>
        <v>0</v>
      </c>
    </row>
    <row r="174" ht="12.75" customHeight="1">
      <c r="V174" s="30">
        <f t="shared" si="1"/>
        <v>0</v>
      </c>
      <c r="Y174" s="30"/>
      <c r="Z174" s="224">
        <f t="shared" si="2"/>
        <v>0</v>
      </c>
      <c r="AA174" s="223">
        <f t="shared" si="3"/>
        <v>0</v>
      </c>
      <c r="AB174" s="170">
        <f t="shared" si="4"/>
        <v>0</v>
      </c>
      <c r="AC174" s="170">
        <f t="shared" si="5"/>
        <v>0</v>
      </c>
      <c r="AD174" s="170">
        <f t="shared" si="6"/>
        <v>0</v>
      </c>
      <c r="AE174" s="170"/>
      <c r="AF174" s="225">
        <f t="shared" si="8"/>
        <v>0</v>
      </c>
    </row>
    <row r="175" ht="12.75" customHeight="1">
      <c r="V175" s="30">
        <f t="shared" si="1"/>
        <v>0</v>
      </c>
      <c r="Y175" s="30"/>
      <c r="Z175" s="224">
        <f t="shared" si="2"/>
        <v>0</v>
      </c>
      <c r="AA175" s="223">
        <f t="shared" si="3"/>
        <v>0</v>
      </c>
      <c r="AB175" s="170">
        <f t="shared" si="4"/>
        <v>0</v>
      </c>
      <c r="AC175" s="170">
        <f t="shared" si="5"/>
        <v>0</v>
      </c>
      <c r="AD175" s="170">
        <f t="shared" si="6"/>
        <v>0</v>
      </c>
      <c r="AE175" s="170"/>
      <c r="AF175" s="225">
        <f t="shared" si="8"/>
        <v>0</v>
      </c>
    </row>
    <row r="176" ht="12.75" customHeight="1">
      <c r="V176" s="30">
        <f t="shared" si="1"/>
        <v>0</v>
      </c>
      <c r="Y176" s="30"/>
      <c r="Z176" s="224">
        <f t="shared" si="2"/>
        <v>0</v>
      </c>
      <c r="AA176" s="223">
        <f t="shared" si="3"/>
        <v>0</v>
      </c>
      <c r="AB176" s="170">
        <f t="shared" si="4"/>
        <v>0</v>
      </c>
      <c r="AC176" s="170">
        <f t="shared" si="5"/>
        <v>0</v>
      </c>
      <c r="AD176" s="170">
        <f t="shared" si="6"/>
        <v>0</v>
      </c>
      <c r="AE176" s="170"/>
      <c r="AF176" s="225">
        <f t="shared" si="8"/>
        <v>0</v>
      </c>
    </row>
    <row r="177" ht="12.75" customHeight="1">
      <c r="V177" s="30">
        <f t="shared" si="1"/>
        <v>0</v>
      </c>
      <c r="Y177" s="30"/>
      <c r="Z177" s="224">
        <f t="shared" si="2"/>
        <v>0</v>
      </c>
      <c r="AA177" s="223">
        <f t="shared" si="3"/>
        <v>0</v>
      </c>
      <c r="AB177" s="170">
        <f t="shared" si="4"/>
        <v>0</v>
      </c>
      <c r="AC177" s="170">
        <f t="shared" si="5"/>
        <v>0</v>
      </c>
      <c r="AD177" s="170">
        <f t="shared" si="6"/>
        <v>0</v>
      </c>
      <c r="AE177" s="170"/>
      <c r="AF177" s="225">
        <f t="shared" si="8"/>
        <v>0</v>
      </c>
    </row>
    <row r="178" ht="12.75" customHeight="1">
      <c r="V178" s="30">
        <f t="shared" si="1"/>
        <v>0</v>
      </c>
      <c r="Y178" s="30"/>
      <c r="Z178" s="224">
        <f t="shared" si="2"/>
        <v>0</v>
      </c>
      <c r="AA178" s="223">
        <f t="shared" si="3"/>
        <v>0</v>
      </c>
      <c r="AB178" s="170">
        <f t="shared" si="4"/>
        <v>0</v>
      </c>
      <c r="AC178" s="170">
        <f t="shared" si="5"/>
        <v>0</v>
      </c>
      <c r="AD178" s="170">
        <f t="shared" si="6"/>
        <v>0</v>
      </c>
      <c r="AE178" s="170"/>
      <c r="AF178" s="225">
        <f t="shared" si="8"/>
        <v>0</v>
      </c>
    </row>
    <row r="179" ht="12.75" customHeight="1">
      <c r="V179" s="30">
        <f t="shared" si="1"/>
        <v>0</v>
      </c>
      <c r="Y179" s="30"/>
      <c r="Z179" s="224">
        <f t="shared" si="2"/>
        <v>0</v>
      </c>
      <c r="AA179" s="223">
        <f t="shared" si="3"/>
        <v>0</v>
      </c>
      <c r="AB179" s="170">
        <f t="shared" si="4"/>
        <v>0</v>
      </c>
      <c r="AC179" s="170">
        <f t="shared" si="5"/>
        <v>0</v>
      </c>
      <c r="AD179" s="170">
        <f t="shared" si="6"/>
        <v>0</v>
      </c>
      <c r="AE179" s="170"/>
      <c r="AF179" s="225">
        <f t="shared" si="8"/>
        <v>0</v>
      </c>
    </row>
    <row r="180" ht="12.75" customHeight="1">
      <c r="V180" s="30">
        <f t="shared" si="1"/>
        <v>0</v>
      </c>
      <c r="Y180" s="30"/>
      <c r="Z180" s="224">
        <f t="shared" si="2"/>
        <v>0</v>
      </c>
      <c r="AA180" s="223">
        <f t="shared" si="3"/>
        <v>0</v>
      </c>
      <c r="AB180" s="170">
        <f t="shared" si="4"/>
        <v>0</v>
      </c>
      <c r="AC180" s="170">
        <f t="shared" si="5"/>
        <v>0</v>
      </c>
      <c r="AD180" s="170">
        <f t="shared" si="6"/>
        <v>0</v>
      </c>
      <c r="AE180" s="170"/>
      <c r="AF180" s="225">
        <f t="shared" si="8"/>
        <v>0</v>
      </c>
    </row>
    <row r="181" ht="12.75" customHeight="1">
      <c r="V181" s="30">
        <f t="shared" si="1"/>
        <v>0</v>
      </c>
      <c r="Y181" s="30"/>
      <c r="Z181" s="224">
        <f t="shared" si="2"/>
        <v>0</v>
      </c>
      <c r="AA181" s="223">
        <f t="shared" si="3"/>
        <v>0</v>
      </c>
      <c r="AB181" s="170">
        <f t="shared" si="4"/>
        <v>0</v>
      </c>
      <c r="AC181" s="170">
        <f t="shared" si="5"/>
        <v>0</v>
      </c>
      <c r="AD181" s="170">
        <f t="shared" si="6"/>
        <v>0</v>
      </c>
      <c r="AE181" s="170"/>
      <c r="AF181" s="225">
        <f t="shared" si="8"/>
        <v>0</v>
      </c>
    </row>
    <row r="182" ht="12.75" customHeight="1">
      <c r="V182" s="30">
        <f t="shared" si="1"/>
        <v>0</v>
      </c>
      <c r="Y182" s="30"/>
      <c r="Z182" s="224">
        <f t="shared" si="2"/>
        <v>0</v>
      </c>
      <c r="AA182" s="223">
        <f t="shared" si="3"/>
        <v>0</v>
      </c>
      <c r="AB182" s="170">
        <f t="shared" si="4"/>
        <v>0</v>
      </c>
      <c r="AC182" s="170">
        <f t="shared" si="5"/>
        <v>0</v>
      </c>
      <c r="AD182" s="170">
        <f t="shared" si="6"/>
        <v>0</v>
      </c>
      <c r="AE182" s="170"/>
      <c r="AF182" s="225">
        <f t="shared" si="8"/>
        <v>0</v>
      </c>
    </row>
    <row r="183" ht="12.75" customHeight="1">
      <c r="V183" s="30">
        <f t="shared" si="1"/>
        <v>0</v>
      </c>
      <c r="Y183" s="30"/>
      <c r="Z183" s="224">
        <f t="shared" si="2"/>
        <v>0</v>
      </c>
      <c r="AA183" s="223">
        <f t="shared" si="3"/>
        <v>0</v>
      </c>
      <c r="AB183" s="170">
        <f t="shared" si="4"/>
        <v>0</v>
      </c>
      <c r="AC183" s="170">
        <f t="shared" si="5"/>
        <v>0</v>
      </c>
      <c r="AD183" s="170">
        <f t="shared" si="6"/>
        <v>0</v>
      </c>
      <c r="AE183" s="170"/>
      <c r="AF183" s="225">
        <f t="shared" si="8"/>
        <v>0</v>
      </c>
    </row>
    <row r="184" ht="12.75" customHeight="1">
      <c r="V184" s="30">
        <f t="shared" si="1"/>
        <v>0</v>
      </c>
      <c r="Y184" s="30"/>
      <c r="Z184" s="224">
        <f t="shared" si="2"/>
        <v>0</v>
      </c>
      <c r="AA184" s="223">
        <f t="shared" si="3"/>
        <v>0</v>
      </c>
      <c r="AB184" s="170">
        <f t="shared" si="4"/>
        <v>0</v>
      </c>
      <c r="AC184" s="170">
        <f t="shared" si="5"/>
        <v>0</v>
      </c>
      <c r="AD184" s="170">
        <f t="shared" si="6"/>
        <v>0</v>
      </c>
      <c r="AE184" s="170"/>
      <c r="AF184" s="225">
        <f t="shared" si="8"/>
        <v>0</v>
      </c>
    </row>
    <row r="185" ht="12.75" customHeight="1">
      <c r="V185" s="30">
        <f t="shared" si="1"/>
        <v>0</v>
      </c>
      <c r="Y185" s="30"/>
      <c r="Z185" s="224">
        <f t="shared" si="2"/>
        <v>0</v>
      </c>
      <c r="AA185" s="223">
        <f t="shared" si="3"/>
        <v>0</v>
      </c>
      <c r="AB185" s="170">
        <f t="shared" si="4"/>
        <v>0</v>
      </c>
      <c r="AC185" s="170">
        <f t="shared" si="5"/>
        <v>0</v>
      </c>
      <c r="AD185" s="170">
        <f t="shared" si="6"/>
        <v>0</v>
      </c>
      <c r="AE185" s="170"/>
      <c r="AF185" s="225">
        <f t="shared" si="8"/>
        <v>0</v>
      </c>
    </row>
    <row r="186" ht="12.75" customHeight="1">
      <c r="V186" s="30">
        <f t="shared" si="1"/>
        <v>0</v>
      </c>
      <c r="Y186" s="30"/>
      <c r="Z186" s="224">
        <f t="shared" si="2"/>
        <v>0</v>
      </c>
      <c r="AA186" s="223">
        <f t="shared" si="3"/>
        <v>0</v>
      </c>
      <c r="AB186" s="170">
        <f t="shared" si="4"/>
        <v>0</v>
      </c>
      <c r="AC186" s="170">
        <f t="shared" si="5"/>
        <v>0</v>
      </c>
      <c r="AD186" s="170">
        <f t="shared" si="6"/>
        <v>0</v>
      </c>
      <c r="AE186" s="170"/>
      <c r="AF186" s="225">
        <f t="shared" si="8"/>
        <v>0</v>
      </c>
    </row>
    <row r="187" ht="12.75" customHeight="1">
      <c r="V187" s="30">
        <f t="shared" si="1"/>
        <v>0</v>
      </c>
      <c r="Y187" s="30"/>
      <c r="Z187" s="224">
        <f t="shared" si="2"/>
        <v>0</v>
      </c>
      <c r="AA187" s="223">
        <f t="shared" si="3"/>
        <v>0</v>
      </c>
      <c r="AB187" s="170">
        <f t="shared" si="4"/>
        <v>0</v>
      </c>
      <c r="AC187" s="170">
        <f t="shared" si="5"/>
        <v>0</v>
      </c>
      <c r="AD187" s="170">
        <f t="shared" si="6"/>
        <v>0</v>
      </c>
      <c r="AE187" s="170"/>
      <c r="AF187" s="225">
        <f t="shared" si="8"/>
        <v>0</v>
      </c>
    </row>
    <row r="188" ht="12.75" customHeight="1">
      <c r="V188" s="30">
        <f t="shared" si="1"/>
        <v>0</v>
      </c>
      <c r="Y188" s="30"/>
      <c r="Z188" s="224">
        <f t="shared" si="2"/>
        <v>0</v>
      </c>
      <c r="AA188" s="223">
        <f t="shared" si="3"/>
        <v>0</v>
      </c>
      <c r="AB188" s="170">
        <f t="shared" si="4"/>
        <v>0</v>
      </c>
      <c r="AC188" s="170">
        <f t="shared" si="5"/>
        <v>0</v>
      </c>
      <c r="AD188" s="170">
        <f t="shared" si="6"/>
        <v>0</v>
      </c>
      <c r="AE188" s="170"/>
      <c r="AF188" s="225">
        <f t="shared" si="8"/>
        <v>0</v>
      </c>
    </row>
    <row r="189" ht="12.75" customHeight="1">
      <c r="V189" s="30">
        <f t="shared" si="1"/>
        <v>0</v>
      </c>
      <c r="Y189" s="30"/>
      <c r="Z189" s="224">
        <f t="shared" si="2"/>
        <v>0</v>
      </c>
      <c r="AA189" s="223">
        <f t="shared" si="3"/>
        <v>0</v>
      </c>
      <c r="AB189" s="170">
        <f t="shared" si="4"/>
        <v>0</v>
      </c>
      <c r="AC189" s="170">
        <f t="shared" si="5"/>
        <v>0</v>
      </c>
      <c r="AD189" s="170">
        <f t="shared" si="6"/>
        <v>0</v>
      </c>
      <c r="AE189" s="170"/>
      <c r="AF189" s="225">
        <f t="shared" si="8"/>
        <v>0</v>
      </c>
    </row>
    <row r="190" ht="12.75" customHeight="1">
      <c r="V190" s="30">
        <f t="shared" si="1"/>
        <v>0</v>
      </c>
      <c r="Y190" s="30"/>
      <c r="Z190" s="224">
        <f t="shared" si="2"/>
        <v>0</v>
      </c>
      <c r="AA190" s="223">
        <f t="shared" si="3"/>
        <v>0</v>
      </c>
      <c r="AB190" s="170">
        <f t="shared" si="4"/>
        <v>0</v>
      </c>
      <c r="AC190" s="170">
        <f t="shared" si="5"/>
        <v>0</v>
      </c>
      <c r="AD190" s="170">
        <f t="shared" si="6"/>
        <v>0</v>
      </c>
      <c r="AE190" s="170"/>
      <c r="AF190" s="225">
        <f t="shared" si="8"/>
        <v>0</v>
      </c>
    </row>
    <row r="191" ht="12.75" customHeight="1">
      <c r="V191" s="30">
        <f t="shared" si="1"/>
        <v>0</v>
      </c>
      <c r="Y191" s="30"/>
      <c r="Z191" s="224">
        <f t="shared" si="2"/>
        <v>0</v>
      </c>
      <c r="AA191" s="223">
        <f t="shared" si="3"/>
        <v>0</v>
      </c>
      <c r="AB191" s="170">
        <f t="shared" si="4"/>
        <v>0</v>
      </c>
      <c r="AC191" s="170">
        <f t="shared" si="5"/>
        <v>0</v>
      </c>
      <c r="AD191" s="170">
        <f t="shared" si="6"/>
        <v>0</v>
      </c>
      <c r="AE191" s="170"/>
      <c r="AF191" s="225">
        <f t="shared" si="8"/>
        <v>0</v>
      </c>
    </row>
    <row r="192" ht="12.75" customHeight="1">
      <c r="V192" s="30">
        <f t="shared" si="1"/>
        <v>0</v>
      </c>
      <c r="Y192" s="30"/>
      <c r="Z192" s="224">
        <f t="shared" si="2"/>
        <v>0</v>
      </c>
      <c r="AA192" s="223">
        <f t="shared" si="3"/>
        <v>0</v>
      </c>
      <c r="AB192" s="170">
        <f t="shared" si="4"/>
        <v>0</v>
      </c>
      <c r="AC192" s="170">
        <f t="shared" si="5"/>
        <v>0</v>
      </c>
      <c r="AD192" s="170">
        <f t="shared" si="6"/>
        <v>0</v>
      </c>
      <c r="AE192" s="170"/>
      <c r="AF192" s="225">
        <f t="shared" si="8"/>
        <v>0</v>
      </c>
    </row>
    <row r="193" ht="12.75" customHeight="1">
      <c r="V193" s="30">
        <f t="shared" si="1"/>
        <v>0</v>
      </c>
      <c r="Y193" s="30"/>
      <c r="Z193" s="224">
        <f t="shared" si="2"/>
        <v>0</v>
      </c>
      <c r="AA193" s="223">
        <f t="shared" si="3"/>
        <v>0</v>
      </c>
      <c r="AB193" s="170">
        <f t="shared" si="4"/>
        <v>0</v>
      </c>
      <c r="AC193" s="170">
        <f t="shared" si="5"/>
        <v>0</v>
      </c>
      <c r="AD193" s="170">
        <f t="shared" si="6"/>
        <v>0</v>
      </c>
      <c r="AE193" s="170"/>
      <c r="AF193" s="225">
        <f t="shared" si="8"/>
        <v>0</v>
      </c>
    </row>
    <row r="194" ht="12.75" customHeight="1">
      <c r="V194" s="30">
        <f t="shared" si="1"/>
        <v>0</v>
      </c>
      <c r="Y194" s="30"/>
      <c r="Z194" s="224">
        <f t="shared" si="2"/>
        <v>0</v>
      </c>
      <c r="AA194" s="223">
        <f t="shared" si="3"/>
        <v>0</v>
      </c>
      <c r="AB194" s="170">
        <f t="shared" si="4"/>
        <v>0</v>
      </c>
      <c r="AC194" s="170">
        <f t="shared" si="5"/>
        <v>0</v>
      </c>
      <c r="AD194" s="170">
        <f t="shared" si="6"/>
        <v>0</v>
      </c>
      <c r="AE194" s="170"/>
      <c r="AF194" s="225">
        <f t="shared" si="8"/>
        <v>0</v>
      </c>
    </row>
    <row r="195" ht="12.75" customHeight="1">
      <c r="V195" s="30">
        <f t="shared" si="1"/>
        <v>0</v>
      </c>
      <c r="Y195" s="30"/>
      <c r="Z195" s="224">
        <f t="shared" si="2"/>
        <v>0</v>
      </c>
      <c r="AA195" s="223">
        <f t="shared" si="3"/>
        <v>0</v>
      </c>
      <c r="AB195" s="170">
        <f t="shared" si="4"/>
        <v>0</v>
      </c>
      <c r="AC195" s="170">
        <f t="shared" si="5"/>
        <v>0</v>
      </c>
      <c r="AD195" s="170">
        <f t="shared" si="6"/>
        <v>0</v>
      </c>
      <c r="AE195" s="170"/>
      <c r="AF195" s="225">
        <f t="shared" si="8"/>
        <v>0</v>
      </c>
    </row>
    <row r="196" ht="12.75" customHeight="1">
      <c r="V196" s="30">
        <f t="shared" si="1"/>
        <v>0</v>
      </c>
      <c r="Y196" s="30"/>
      <c r="Z196" s="224">
        <f t="shared" si="2"/>
        <v>0</v>
      </c>
      <c r="AA196" s="223">
        <f t="shared" si="3"/>
        <v>0</v>
      </c>
      <c r="AB196" s="170">
        <f t="shared" si="4"/>
        <v>0</v>
      </c>
      <c r="AC196" s="170">
        <f t="shared" si="5"/>
        <v>0</v>
      </c>
      <c r="AD196" s="170">
        <f t="shared" si="6"/>
        <v>0</v>
      </c>
      <c r="AE196" s="170"/>
      <c r="AF196" s="225">
        <f t="shared" si="8"/>
        <v>0</v>
      </c>
    </row>
    <row r="197" ht="12.75" customHeight="1">
      <c r="V197" s="30">
        <f t="shared" si="1"/>
        <v>0</v>
      </c>
      <c r="Y197" s="30"/>
      <c r="Z197" s="224">
        <f t="shared" si="2"/>
        <v>0</v>
      </c>
      <c r="AA197" s="223">
        <f t="shared" si="3"/>
        <v>0</v>
      </c>
      <c r="AB197" s="170">
        <f t="shared" si="4"/>
        <v>0</v>
      </c>
      <c r="AC197" s="170">
        <f t="shared" si="5"/>
        <v>0</v>
      </c>
      <c r="AD197" s="170">
        <f t="shared" si="6"/>
        <v>0</v>
      </c>
      <c r="AE197" s="170"/>
      <c r="AF197" s="225">
        <f t="shared" si="8"/>
        <v>0</v>
      </c>
    </row>
    <row r="198" ht="12.75" customHeight="1">
      <c r="V198" s="30">
        <f t="shared" si="1"/>
        <v>0</v>
      </c>
      <c r="Y198" s="30"/>
      <c r="Z198" s="224">
        <f t="shared" si="2"/>
        <v>0</v>
      </c>
      <c r="AA198" s="223">
        <f t="shared" si="3"/>
        <v>0</v>
      </c>
      <c r="AB198" s="170">
        <f t="shared" si="4"/>
        <v>0</v>
      </c>
      <c r="AC198" s="170">
        <f t="shared" si="5"/>
        <v>0</v>
      </c>
      <c r="AD198" s="170">
        <f t="shared" si="6"/>
        <v>0</v>
      </c>
      <c r="AE198" s="170"/>
      <c r="AF198" s="225">
        <f t="shared" si="8"/>
        <v>0</v>
      </c>
    </row>
    <row r="199" ht="12.75" customHeight="1">
      <c r="V199" s="30">
        <f t="shared" si="1"/>
        <v>0</v>
      </c>
      <c r="Y199" s="30"/>
      <c r="Z199" s="224">
        <f t="shared" si="2"/>
        <v>0</v>
      </c>
      <c r="AA199" s="223">
        <f t="shared" si="3"/>
        <v>0</v>
      </c>
      <c r="AB199" s="170">
        <f t="shared" si="4"/>
        <v>0</v>
      </c>
      <c r="AC199" s="170">
        <f t="shared" si="5"/>
        <v>0</v>
      </c>
      <c r="AD199" s="170">
        <f t="shared" si="6"/>
        <v>0</v>
      </c>
      <c r="AE199" s="170"/>
      <c r="AF199" s="225">
        <f t="shared" si="8"/>
        <v>0</v>
      </c>
    </row>
    <row r="200" ht="12.75" customHeight="1">
      <c r="V200" s="30">
        <f t="shared" si="1"/>
        <v>0</v>
      </c>
      <c r="Y200" s="30"/>
      <c r="Z200" s="224">
        <f t="shared" si="2"/>
        <v>0</v>
      </c>
      <c r="AA200" s="223">
        <f t="shared" si="3"/>
        <v>0</v>
      </c>
      <c r="AB200" s="170">
        <f t="shared" si="4"/>
        <v>0</v>
      </c>
      <c r="AC200" s="170">
        <f t="shared" si="5"/>
        <v>0</v>
      </c>
      <c r="AD200" s="170">
        <f t="shared" si="6"/>
        <v>0</v>
      </c>
      <c r="AE200" s="170"/>
      <c r="AF200" s="225">
        <f t="shared" si="8"/>
        <v>0</v>
      </c>
    </row>
    <row r="201" ht="12.75" customHeight="1">
      <c r="V201" s="30">
        <f t="shared" si="1"/>
        <v>0</v>
      </c>
      <c r="Y201" s="30"/>
      <c r="Z201" s="224">
        <f t="shared" si="2"/>
        <v>0</v>
      </c>
      <c r="AA201" s="223">
        <f t="shared" si="3"/>
        <v>0</v>
      </c>
      <c r="AB201" s="170">
        <f t="shared" si="4"/>
        <v>0</v>
      </c>
      <c r="AC201" s="170">
        <f t="shared" si="5"/>
        <v>0</v>
      </c>
      <c r="AD201" s="170">
        <f t="shared" si="6"/>
        <v>0</v>
      </c>
      <c r="AE201" s="170"/>
      <c r="AF201" s="225">
        <f t="shared" si="8"/>
        <v>0</v>
      </c>
    </row>
    <row r="202" ht="12.75" customHeight="1">
      <c r="V202" s="30">
        <f t="shared" si="1"/>
        <v>0</v>
      </c>
      <c r="Y202" s="30"/>
      <c r="Z202" s="224">
        <f t="shared" si="2"/>
        <v>0</v>
      </c>
      <c r="AA202" s="223">
        <f t="shared" si="3"/>
        <v>0</v>
      </c>
      <c r="AB202" s="170">
        <f t="shared" si="4"/>
        <v>0</v>
      </c>
      <c r="AC202" s="170">
        <f t="shared" si="5"/>
        <v>0</v>
      </c>
      <c r="AD202" s="170">
        <f t="shared" si="6"/>
        <v>0</v>
      </c>
      <c r="AE202" s="170"/>
      <c r="AF202" s="225">
        <f t="shared" si="8"/>
        <v>0</v>
      </c>
    </row>
    <row r="203" ht="12.75" customHeight="1">
      <c r="V203" s="30">
        <f t="shared" si="1"/>
        <v>0</v>
      </c>
      <c r="Y203" s="30"/>
      <c r="Z203" s="224">
        <f t="shared" si="2"/>
        <v>0</v>
      </c>
      <c r="AA203" s="223">
        <f t="shared" si="3"/>
        <v>0</v>
      </c>
      <c r="AB203" s="170">
        <f t="shared" si="4"/>
        <v>0</v>
      </c>
      <c r="AC203" s="170">
        <f t="shared" si="5"/>
        <v>0</v>
      </c>
      <c r="AD203" s="170">
        <f t="shared" si="6"/>
        <v>0</v>
      </c>
      <c r="AE203" s="170"/>
      <c r="AF203" s="225">
        <f t="shared" si="8"/>
        <v>0</v>
      </c>
    </row>
    <row r="204" ht="12.75" customHeight="1">
      <c r="V204" s="30">
        <f t="shared" si="1"/>
        <v>0</v>
      </c>
      <c r="Y204" s="30"/>
      <c r="Z204" s="224">
        <f t="shared" si="2"/>
        <v>0</v>
      </c>
      <c r="AA204" s="223">
        <f t="shared" si="3"/>
        <v>0</v>
      </c>
      <c r="AB204" s="170">
        <f t="shared" si="4"/>
        <v>0</v>
      </c>
      <c r="AC204" s="170">
        <f t="shared" si="5"/>
        <v>0</v>
      </c>
      <c r="AD204" s="170">
        <f t="shared" si="6"/>
        <v>0</v>
      </c>
      <c r="AE204" s="170"/>
      <c r="AF204" s="225">
        <f t="shared" si="8"/>
        <v>0</v>
      </c>
    </row>
    <row r="205" ht="12.75" customHeight="1">
      <c r="V205" s="30">
        <f t="shared" si="1"/>
        <v>0</v>
      </c>
      <c r="Y205" s="30"/>
      <c r="Z205" s="224">
        <f t="shared" si="2"/>
        <v>0</v>
      </c>
      <c r="AA205" s="223">
        <f t="shared" si="3"/>
        <v>0</v>
      </c>
      <c r="AB205" s="170">
        <f t="shared" si="4"/>
        <v>0</v>
      </c>
      <c r="AC205" s="170">
        <f t="shared" si="5"/>
        <v>0</v>
      </c>
      <c r="AD205" s="170">
        <f t="shared" si="6"/>
        <v>0</v>
      </c>
      <c r="AE205" s="170"/>
      <c r="AF205" s="225">
        <f t="shared" si="8"/>
        <v>0</v>
      </c>
    </row>
    <row r="206" ht="12.75" customHeight="1">
      <c r="V206" s="30">
        <f t="shared" si="1"/>
        <v>0</v>
      </c>
      <c r="Y206" s="30"/>
      <c r="Z206" s="224">
        <f t="shared" si="2"/>
        <v>0</v>
      </c>
      <c r="AA206" s="223">
        <f t="shared" si="3"/>
        <v>0</v>
      </c>
      <c r="AB206" s="170">
        <f t="shared" si="4"/>
        <v>0</v>
      </c>
      <c r="AC206" s="170">
        <f t="shared" si="5"/>
        <v>0</v>
      </c>
      <c r="AD206" s="170">
        <f t="shared" si="6"/>
        <v>0</v>
      </c>
      <c r="AE206" s="170"/>
      <c r="AF206" s="225">
        <f t="shared" si="8"/>
        <v>0</v>
      </c>
    </row>
    <row r="207" ht="12.75" customHeight="1">
      <c r="V207" s="30">
        <f t="shared" si="1"/>
        <v>0</v>
      </c>
      <c r="Y207" s="30"/>
      <c r="Z207" s="224">
        <f t="shared" si="2"/>
        <v>0</v>
      </c>
      <c r="AA207" s="223">
        <f t="shared" si="3"/>
        <v>0</v>
      </c>
      <c r="AB207" s="170">
        <f t="shared" si="4"/>
        <v>0</v>
      </c>
      <c r="AC207" s="170">
        <f t="shared" si="5"/>
        <v>0</v>
      </c>
      <c r="AD207" s="170">
        <f t="shared" si="6"/>
        <v>0</v>
      </c>
      <c r="AE207" s="170"/>
      <c r="AF207" s="225">
        <f t="shared" si="8"/>
        <v>0</v>
      </c>
    </row>
    <row r="208" ht="12.75" customHeight="1">
      <c r="V208" s="30">
        <f t="shared" si="1"/>
        <v>0</v>
      </c>
      <c r="Y208" s="30"/>
      <c r="Z208" s="224">
        <f t="shared" si="2"/>
        <v>0</v>
      </c>
      <c r="AA208" s="223">
        <f t="shared" si="3"/>
        <v>0</v>
      </c>
      <c r="AB208" s="170">
        <f t="shared" si="4"/>
        <v>0</v>
      </c>
      <c r="AC208" s="170">
        <f t="shared" si="5"/>
        <v>0</v>
      </c>
      <c r="AD208" s="170">
        <f t="shared" si="6"/>
        <v>0</v>
      </c>
      <c r="AE208" s="170"/>
      <c r="AF208" s="225">
        <f t="shared" si="8"/>
        <v>0</v>
      </c>
    </row>
    <row r="209" ht="12.75" customHeight="1">
      <c r="V209" s="30">
        <f t="shared" si="1"/>
        <v>0</v>
      </c>
      <c r="Y209" s="30"/>
      <c r="Z209" s="224">
        <f t="shared" si="2"/>
        <v>0</v>
      </c>
      <c r="AA209" s="223">
        <f t="shared" si="3"/>
        <v>0</v>
      </c>
      <c r="AB209" s="170">
        <f t="shared" si="4"/>
        <v>0</v>
      </c>
      <c r="AC209" s="170">
        <f t="shared" si="5"/>
        <v>0</v>
      </c>
      <c r="AD209" s="170">
        <f t="shared" si="6"/>
        <v>0</v>
      </c>
      <c r="AE209" s="170"/>
      <c r="AF209" s="225">
        <f t="shared" si="8"/>
        <v>0</v>
      </c>
    </row>
    <row r="210" ht="12.75" customHeight="1">
      <c r="V210" s="30">
        <f t="shared" si="1"/>
        <v>0</v>
      </c>
      <c r="Y210" s="30"/>
      <c r="Z210" s="224">
        <f t="shared" si="2"/>
        <v>0</v>
      </c>
      <c r="AA210" s="223">
        <f t="shared" si="3"/>
        <v>0</v>
      </c>
      <c r="AB210" s="170">
        <f t="shared" si="4"/>
        <v>0</v>
      </c>
      <c r="AC210" s="170">
        <f t="shared" si="5"/>
        <v>0</v>
      </c>
      <c r="AD210" s="170">
        <f t="shared" si="6"/>
        <v>0</v>
      </c>
      <c r="AE210" s="170"/>
      <c r="AF210" s="225">
        <f t="shared" si="8"/>
        <v>0</v>
      </c>
    </row>
    <row r="211" ht="12.75" customHeight="1">
      <c r="V211" s="30">
        <f t="shared" si="1"/>
        <v>0</v>
      </c>
      <c r="Y211" s="30"/>
      <c r="Z211" s="224">
        <f t="shared" si="2"/>
        <v>0</v>
      </c>
      <c r="AA211" s="223">
        <f t="shared" si="3"/>
        <v>0</v>
      </c>
      <c r="AB211" s="170">
        <f t="shared" si="4"/>
        <v>0</v>
      </c>
      <c r="AC211" s="170">
        <f t="shared" si="5"/>
        <v>0</v>
      </c>
      <c r="AD211" s="170">
        <f t="shared" si="6"/>
        <v>0</v>
      </c>
      <c r="AE211" s="170"/>
      <c r="AF211" s="225">
        <f t="shared" si="8"/>
        <v>0</v>
      </c>
    </row>
    <row r="212" ht="12.75" customHeight="1">
      <c r="V212" s="30">
        <f t="shared" si="1"/>
        <v>0</v>
      </c>
      <c r="Y212" s="30"/>
      <c r="Z212" s="224">
        <f t="shared" si="2"/>
        <v>0</v>
      </c>
      <c r="AA212" s="223">
        <f t="shared" si="3"/>
        <v>0</v>
      </c>
      <c r="AB212" s="170">
        <f t="shared" si="4"/>
        <v>0</v>
      </c>
      <c r="AC212" s="170">
        <f t="shared" si="5"/>
        <v>0</v>
      </c>
      <c r="AD212" s="170">
        <f t="shared" si="6"/>
        <v>0</v>
      </c>
      <c r="AE212" s="170"/>
      <c r="AF212" s="225">
        <f t="shared" si="8"/>
        <v>0</v>
      </c>
    </row>
    <row r="213" ht="12.75" customHeight="1">
      <c r="V213" s="30">
        <f t="shared" si="1"/>
        <v>0</v>
      </c>
      <c r="Y213" s="30"/>
      <c r="Z213" s="224">
        <f t="shared" si="2"/>
        <v>0</v>
      </c>
      <c r="AA213" s="223">
        <f t="shared" si="3"/>
        <v>0</v>
      </c>
      <c r="AB213" s="170">
        <f t="shared" si="4"/>
        <v>0</v>
      </c>
      <c r="AC213" s="170">
        <f t="shared" si="5"/>
        <v>0</v>
      </c>
      <c r="AD213" s="170">
        <f t="shared" si="6"/>
        <v>0</v>
      </c>
      <c r="AE213" s="170"/>
      <c r="AF213" s="225">
        <f t="shared" si="8"/>
        <v>0</v>
      </c>
    </row>
    <row r="214" ht="12.75" customHeight="1">
      <c r="V214" s="30">
        <f t="shared" si="1"/>
        <v>0</v>
      </c>
      <c r="Y214" s="30"/>
      <c r="Z214" s="224">
        <f t="shared" si="2"/>
        <v>0</v>
      </c>
      <c r="AA214" s="223">
        <f t="shared" si="3"/>
        <v>0</v>
      </c>
      <c r="AB214" s="170">
        <f t="shared" si="4"/>
        <v>0</v>
      </c>
      <c r="AC214" s="170">
        <f t="shared" si="5"/>
        <v>0</v>
      </c>
      <c r="AD214" s="170">
        <f t="shared" si="6"/>
        <v>0</v>
      </c>
      <c r="AE214" s="170"/>
      <c r="AF214" s="225">
        <f t="shared" si="8"/>
        <v>0</v>
      </c>
    </row>
    <row r="215" ht="12.75" customHeight="1">
      <c r="V215" s="30">
        <f t="shared" si="1"/>
        <v>0</v>
      </c>
      <c r="Y215" s="30"/>
      <c r="Z215" s="224">
        <f t="shared" si="2"/>
        <v>0</v>
      </c>
      <c r="AA215" s="223">
        <f t="shared" si="3"/>
        <v>0</v>
      </c>
      <c r="AB215" s="170">
        <f t="shared" si="4"/>
        <v>0</v>
      </c>
      <c r="AC215" s="170">
        <f t="shared" si="5"/>
        <v>0</v>
      </c>
      <c r="AD215" s="170">
        <f t="shared" si="6"/>
        <v>0</v>
      </c>
      <c r="AE215" s="170"/>
      <c r="AF215" s="225">
        <f t="shared" si="8"/>
        <v>0</v>
      </c>
    </row>
    <row r="216" ht="12.75" customHeight="1">
      <c r="V216" s="30">
        <f t="shared" si="1"/>
        <v>0</v>
      </c>
      <c r="Y216" s="30"/>
      <c r="Z216" s="224">
        <f t="shared" si="2"/>
        <v>0</v>
      </c>
      <c r="AA216" s="223">
        <f t="shared" si="3"/>
        <v>0</v>
      </c>
      <c r="AB216" s="170">
        <f t="shared" si="4"/>
        <v>0</v>
      </c>
      <c r="AC216" s="170">
        <f t="shared" si="5"/>
        <v>0</v>
      </c>
      <c r="AD216" s="170">
        <f t="shared" si="6"/>
        <v>0</v>
      </c>
      <c r="AE216" s="170"/>
      <c r="AF216" s="225">
        <f t="shared" si="8"/>
        <v>0</v>
      </c>
    </row>
    <row r="217" ht="12.75" customHeight="1">
      <c r="V217" s="30">
        <f t="shared" si="1"/>
        <v>0</v>
      </c>
      <c r="Y217" s="30"/>
      <c r="Z217" s="224">
        <f t="shared" si="2"/>
        <v>0</v>
      </c>
      <c r="AA217" s="223">
        <f t="shared" si="3"/>
        <v>0</v>
      </c>
      <c r="AB217" s="170">
        <f t="shared" si="4"/>
        <v>0</v>
      </c>
      <c r="AC217" s="170">
        <f t="shared" si="5"/>
        <v>0</v>
      </c>
      <c r="AD217" s="170">
        <f t="shared" si="6"/>
        <v>0</v>
      </c>
      <c r="AE217" s="170"/>
      <c r="AF217" s="225">
        <f t="shared" si="8"/>
        <v>0</v>
      </c>
    </row>
    <row r="218" ht="12.75" customHeight="1">
      <c r="V218" s="30">
        <f t="shared" si="1"/>
        <v>0</v>
      </c>
      <c r="Y218" s="30"/>
      <c r="Z218" s="224">
        <f t="shared" si="2"/>
        <v>0</v>
      </c>
      <c r="AA218" s="223">
        <f t="shared" si="3"/>
        <v>0</v>
      </c>
      <c r="AB218" s="170">
        <f t="shared" si="4"/>
        <v>0</v>
      </c>
      <c r="AC218" s="170">
        <f t="shared" si="5"/>
        <v>0</v>
      </c>
      <c r="AD218" s="170">
        <f t="shared" si="6"/>
        <v>0</v>
      </c>
      <c r="AE218" s="170"/>
      <c r="AF218" s="225">
        <f t="shared" si="8"/>
        <v>0</v>
      </c>
    </row>
    <row r="219" ht="12.75" customHeight="1">
      <c r="V219" s="30">
        <f t="shared" si="1"/>
        <v>0</v>
      </c>
      <c r="Y219" s="30"/>
      <c r="Z219" s="224">
        <f t="shared" si="2"/>
        <v>0</v>
      </c>
      <c r="AA219" s="223">
        <f t="shared" si="3"/>
        <v>0</v>
      </c>
      <c r="AB219" s="170">
        <f t="shared" si="4"/>
        <v>0</v>
      </c>
      <c r="AC219" s="170">
        <f t="shared" si="5"/>
        <v>0</v>
      </c>
      <c r="AD219" s="170">
        <f t="shared" si="6"/>
        <v>0</v>
      </c>
      <c r="AE219" s="170"/>
      <c r="AF219" s="225">
        <f t="shared" si="8"/>
        <v>0</v>
      </c>
    </row>
    <row r="220" ht="12.75" customHeight="1">
      <c r="V220" s="30">
        <f t="shared" si="1"/>
        <v>0</v>
      </c>
      <c r="Y220" s="30"/>
      <c r="Z220" s="224">
        <f t="shared" si="2"/>
        <v>0</v>
      </c>
      <c r="AA220" s="223">
        <f t="shared" si="3"/>
        <v>0</v>
      </c>
      <c r="AB220" s="170">
        <f t="shared" si="4"/>
        <v>0</v>
      </c>
      <c r="AC220" s="170">
        <f t="shared" si="5"/>
        <v>0</v>
      </c>
      <c r="AD220" s="170">
        <f t="shared" si="6"/>
        <v>0</v>
      </c>
      <c r="AE220" s="170"/>
      <c r="AF220" s="225">
        <f t="shared" si="8"/>
        <v>0</v>
      </c>
    </row>
    <row r="221" ht="12.75" customHeight="1">
      <c r="V221" s="30">
        <f t="shared" si="1"/>
        <v>0</v>
      </c>
      <c r="Y221" s="30"/>
      <c r="Z221" s="224">
        <f t="shared" si="2"/>
        <v>0</v>
      </c>
      <c r="AA221" s="223">
        <f t="shared" si="3"/>
        <v>0</v>
      </c>
      <c r="AB221" s="170">
        <f t="shared" si="4"/>
        <v>0</v>
      </c>
      <c r="AC221" s="170">
        <f t="shared" si="5"/>
        <v>0</v>
      </c>
      <c r="AD221" s="170">
        <f t="shared" si="6"/>
        <v>0</v>
      </c>
      <c r="AE221" s="170"/>
      <c r="AF221" s="225">
        <f t="shared" si="8"/>
        <v>0</v>
      </c>
    </row>
    <row r="222" ht="12.75" customHeight="1">
      <c r="V222" s="30">
        <f t="shared" si="1"/>
        <v>0</v>
      </c>
      <c r="Y222" s="30"/>
      <c r="Z222" s="224">
        <f t="shared" si="2"/>
        <v>0</v>
      </c>
      <c r="AA222" s="223">
        <f t="shared" si="3"/>
        <v>0</v>
      </c>
      <c r="AB222" s="170">
        <f t="shared" si="4"/>
        <v>0</v>
      </c>
      <c r="AC222" s="170">
        <f t="shared" si="5"/>
        <v>0</v>
      </c>
      <c r="AD222" s="170">
        <f t="shared" si="6"/>
        <v>0</v>
      </c>
      <c r="AE222" s="170"/>
      <c r="AF222" s="225">
        <f t="shared" si="8"/>
        <v>0</v>
      </c>
    </row>
    <row r="223" ht="12.75" customHeight="1">
      <c r="V223" s="30">
        <f t="shared" si="1"/>
        <v>0</v>
      </c>
      <c r="Y223" s="30"/>
      <c r="Z223" s="224">
        <f t="shared" si="2"/>
        <v>0</v>
      </c>
      <c r="AA223" s="223">
        <f t="shared" si="3"/>
        <v>0</v>
      </c>
      <c r="AB223" s="170">
        <f t="shared" si="4"/>
        <v>0</v>
      </c>
      <c r="AC223" s="170">
        <f t="shared" si="5"/>
        <v>0</v>
      </c>
      <c r="AD223" s="170">
        <f t="shared" si="6"/>
        <v>0</v>
      </c>
      <c r="AE223" s="170"/>
      <c r="AF223" s="225">
        <f t="shared" si="8"/>
        <v>0</v>
      </c>
    </row>
    <row r="224" ht="12.75" customHeight="1">
      <c r="V224" s="30">
        <f t="shared" si="1"/>
        <v>0</v>
      </c>
      <c r="Y224" s="30"/>
      <c r="Z224" s="224">
        <f t="shared" si="2"/>
        <v>0</v>
      </c>
      <c r="AA224" s="223">
        <f t="shared" si="3"/>
        <v>0</v>
      </c>
      <c r="AB224" s="170">
        <f t="shared" si="4"/>
        <v>0</v>
      </c>
      <c r="AC224" s="170">
        <f t="shared" si="5"/>
        <v>0</v>
      </c>
      <c r="AD224" s="170">
        <f t="shared" si="6"/>
        <v>0</v>
      </c>
      <c r="AE224" s="170"/>
      <c r="AF224" s="225">
        <f t="shared" si="8"/>
        <v>0</v>
      </c>
    </row>
    <row r="225" ht="12.75" customHeight="1">
      <c r="V225" s="30">
        <f t="shared" si="1"/>
        <v>0</v>
      </c>
      <c r="Y225" s="30"/>
      <c r="Z225" s="224">
        <f t="shared" si="2"/>
        <v>0</v>
      </c>
      <c r="AA225" s="223">
        <f t="shared" si="3"/>
        <v>0</v>
      </c>
      <c r="AB225" s="170">
        <f t="shared" si="4"/>
        <v>0</v>
      </c>
      <c r="AC225" s="170">
        <f t="shared" si="5"/>
        <v>0</v>
      </c>
      <c r="AD225" s="170">
        <f t="shared" si="6"/>
        <v>0</v>
      </c>
      <c r="AE225" s="170"/>
      <c r="AF225" s="225">
        <f t="shared" si="8"/>
        <v>0</v>
      </c>
    </row>
    <row r="226" ht="12.75" customHeight="1">
      <c r="V226" s="30">
        <f t="shared" si="1"/>
        <v>0</v>
      </c>
      <c r="Y226" s="30"/>
      <c r="Z226" s="224">
        <f t="shared" si="2"/>
        <v>0</v>
      </c>
      <c r="AA226" s="223">
        <f t="shared" si="3"/>
        <v>0</v>
      </c>
      <c r="AB226" s="170">
        <f t="shared" si="4"/>
        <v>0</v>
      </c>
      <c r="AC226" s="170">
        <f t="shared" si="5"/>
        <v>0</v>
      </c>
      <c r="AD226" s="170">
        <f t="shared" si="6"/>
        <v>0</v>
      </c>
      <c r="AE226" s="170"/>
      <c r="AF226" s="225">
        <f t="shared" si="8"/>
        <v>0</v>
      </c>
    </row>
    <row r="227" ht="12.75" customHeight="1">
      <c r="V227" s="30">
        <f t="shared" si="1"/>
        <v>0</v>
      </c>
      <c r="Y227" s="30"/>
      <c r="Z227" s="224">
        <f t="shared" si="2"/>
        <v>0</v>
      </c>
      <c r="AA227" s="223">
        <f t="shared" si="3"/>
        <v>0</v>
      </c>
      <c r="AB227" s="170">
        <f t="shared" si="4"/>
        <v>0</v>
      </c>
      <c r="AC227" s="170">
        <f t="shared" si="5"/>
        <v>0</v>
      </c>
      <c r="AD227" s="170">
        <f t="shared" si="6"/>
        <v>0</v>
      </c>
      <c r="AE227" s="170"/>
      <c r="AF227" s="225">
        <f t="shared" si="8"/>
        <v>0</v>
      </c>
    </row>
    <row r="228" ht="12.75" customHeight="1">
      <c r="V228" s="30">
        <f t="shared" si="1"/>
        <v>0</v>
      </c>
      <c r="Y228" s="30"/>
      <c r="Z228" s="224">
        <f t="shared" si="2"/>
        <v>0</v>
      </c>
      <c r="AA228" s="223">
        <f t="shared" si="3"/>
        <v>0</v>
      </c>
      <c r="AB228" s="170">
        <f t="shared" si="4"/>
        <v>0</v>
      </c>
      <c r="AC228" s="170">
        <f t="shared" si="5"/>
        <v>0</v>
      </c>
      <c r="AD228" s="170">
        <f t="shared" si="6"/>
        <v>0</v>
      </c>
      <c r="AE228" s="170"/>
      <c r="AF228" s="225">
        <f t="shared" si="8"/>
        <v>0</v>
      </c>
    </row>
    <row r="229" ht="12.75" customHeight="1">
      <c r="V229" s="30">
        <f t="shared" si="1"/>
        <v>0</v>
      </c>
      <c r="Y229" s="30"/>
      <c r="Z229" s="224">
        <f t="shared" si="2"/>
        <v>0</v>
      </c>
      <c r="AA229" s="223">
        <f t="shared" si="3"/>
        <v>0</v>
      </c>
      <c r="AB229" s="170">
        <f t="shared" si="4"/>
        <v>0</v>
      </c>
      <c r="AC229" s="170">
        <f t="shared" si="5"/>
        <v>0</v>
      </c>
      <c r="AD229" s="170">
        <f t="shared" si="6"/>
        <v>0</v>
      </c>
      <c r="AE229" s="170"/>
      <c r="AF229" s="225">
        <f t="shared" si="8"/>
        <v>0</v>
      </c>
    </row>
    <row r="230" ht="12.75" customHeight="1">
      <c r="V230" s="30">
        <f t="shared" si="1"/>
        <v>0</v>
      </c>
      <c r="Y230" s="30"/>
      <c r="Z230" s="224">
        <f t="shared" si="2"/>
        <v>0</v>
      </c>
      <c r="AA230" s="223">
        <f t="shared" si="3"/>
        <v>0</v>
      </c>
      <c r="AB230" s="170">
        <f t="shared" si="4"/>
        <v>0</v>
      </c>
      <c r="AC230" s="170">
        <f t="shared" si="5"/>
        <v>0</v>
      </c>
      <c r="AD230" s="170">
        <f t="shared" si="6"/>
        <v>0</v>
      </c>
      <c r="AE230" s="170"/>
      <c r="AF230" s="225">
        <f t="shared" si="8"/>
        <v>0</v>
      </c>
    </row>
    <row r="231" ht="12.75" customHeight="1">
      <c r="V231" s="30">
        <f t="shared" si="1"/>
        <v>0</v>
      </c>
      <c r="Y231" s="30"/>
      <c r="Z231" s="224">
        <f t="shared" si="2"/>
        <v>0</v>
      </c>
      <c r="AA231" s="223">
        <f t="shared" si="3"/>
        <v>0</v>
      </c>
      <c r="AB231" s="170">
        <f t="shared" si="4"/>
        <v>0</v>
      </c>
      <c r="AC231" s="170">
        <f t="shared" si="5"/>
        <v>0</v>
      </c>
      <c r="AD231" s="170">
        <f t="shared" si="6"/>
        <v>0</v>
      </c>
      <c r="AE231" s="170"/>
      <c r="AF231" s="225">
        <f t="shared" si="8"/>
        <v>0</v>
      </c>
    </row>
    <row r="232" ht="12.75" customHeight="1">
      <c r="V232" s="30">
        <f t="shared" si="1"/>
        <v>0</v>
      </c>
      <c r="Y232" s="30"/>
      <c r="Z232" s="224">
        <f t="shared" si="2"/>
        <v>0</v>
      </c>
      <c r="AA232" s="223">
        <f t="shared" si="3"/>
        <v>0</v>
      </c>
      <c r="AB232" s="170">
        <f t="shared" si="4"/>
        <v>0</v>
      </c>
      <c r="AC232" s="170">
        <f t="shared" si="5"/>
        <v>0</v>
      </c>
      <c r="AD232" s="170">
        <f t="shared" si="6"/>
        <v>0</v>
      </c>
      <c r="AE232" s="170"/>
      <c r="AF232" s="225">
        <f t="shared" si="8"/>
        <v>0</v>
      </c>
    </row>
    <row r="233" ht="12.75" customHeight="1">
      <c r="V233" s="30">
        <f t="shared" si="1"/>
        <v>0</v>
      </c>
      <c r="Y233" s="30"/>
      <c r="Z233" s="224">
        <f t="shared" si="2"/>
        <v>0</v>
      </c>
      <c r="AA233" s="223">
        <f t="shared" si="3"/>
        <v>0</v>
      </c>
      <c r="AB233" s="170">
        <f t="shared" si="4"/>
        <v>0</v>
      </c>
      <c r="AC233" s="170">
        <f t="shared" si="5"/>
        <v>0</v>
      </c>
      <c r="AD233" s="170">
        <f t="shared" si="6"/>
        <v>0</v>
      </c>
      <c r="AE233" s="170"/>
      <c r="AF233" s="225">
        <f t="shared" si="8"/>
        <v>0</v>
      </c>
    </row>
    <row r="234" ht="12.75" customHeight="1">
      <c r="V234" s="30">
        <f t="shared" si="1"/>
        <v>0</v>
      </c>
      <c r="Y234" s="30"/>
      <c r="Z234" s="224">
        <f t="shared" si="2"/>
        <v>0</v>
      </c>
      <c r="AA234" s="223">
        <f t="shared" si="3"/>
        <v>0</v>
      </c>
      <c r="AB234" s="170">
        <f t="shared" si="4"/>
        <v>0</v>
      </c>
      <c r="AC234" s="170">
        <f t="shared" si="5"/>
        <v>0</v>
      </c>
      <c r="AD234" s="170">
        <f t="shared" si="6"/>
        <v>0</v>
      </c>
      <c r="AE234" s="170"/>
      <c r="AF234" s="225">
        <f t="shared" si="8"/>
        <v>0</v>
      </c>
    </row>
    <row r="235" ht="12.75" customHeight="1">
      <c r="V235" s="30">
        <f t="shared" si="1"/>
        <v>0</v>
      </c>
      <c r="Y235" s="30"/>
      <c r="Z235" s="224">
        <f t="shared" si="2"/>
        <v>0</v>
      </c>
      <c r="AA235" s="223">
        <f t="shared" si="3"/>
        <v>0</v>
      </c>
      <c r="AB235" s="170">
        <f t="shared" si="4"/>
        <v>0</v>
      </c>
      <c r="AC235" s="170">
        <f t="shared" si="5"/>
        <v>0</v>
      </c>
      <c r="AD235" s="170">
        <f t="shared" si="6"/>
        <v>0</v>
      </c>
      <c r="AE235" s="170"/>
      <c r="AF235" s="225">
        <f t="shared" si="8"/>
        <v>0</v>
      </c>
    </row>
    <row r="236" ht="12.75" customHeight="1">
      <c r="V236" s="30">
        <f t="shared" si="1"/>
        <v>0</v>
      </c>
      <c r="Y236" s="30"/>
      <c r="Z236" s="224">
        <f t="shared" si="2"/>
        <v>0</v>
      </c>
      <c r="AA236" s="223">
        <f t="shared" si="3"/>
        <v>0</v>
      </c>
      <c r="AB236" s="170">
        <f t="shared" si="4"/>
        <v>0</v>
      </c>
      <c r="AC236" s="170">
        <f t="shared" si="5"/>
        <v>0</v>
      </c>
      <c r="AD236" s="170">
        <f t="shared" si="6"/>
        <v>0</v>
      </c>
      <c r="AE236" s="170"/>
      <c r="AF236" s="225">
        <f t="shared" si="8"/>
        <v>0</v>
      </c>
    </row>
    <row r="237" ht="12.75" customHeight="1">
      <c r="V237" s="30">
        <f t="shared" si="1"/>
        <v>0</v>
      </c>
      <c r="Y237" s="30"/>
      <c r="Z237" s="224">
        <f t="shared" si="2"/>
        <v>0</v>
      </c>
      <c r="AA237" s="223">
        <f t="shared" si="3"/>
        <v>0</v>
      </c>
      <c r="AB237" s="170">
        <f t="shared" si="4"/>
        <v>0</v>
      </c>
      <c r="AC237" s="170">
        <f t="shared" si="5"/>
        <v>0</v>
      </c>
      <c r="AD237" s="170">
        <f t="shared" si="6"/>
        <v>0</v>
      </c>
      <c r="AE237" s="170"/>
      <c r="AF237" s="225">
        <f t="shared" si="8"/>
        <v>0</v>
      </c>
    </row>
    <row r="238" ht="12.75" customHeight="1">
      <c r="V238" s="30">
        <f t="shared" si="1"/>
        <v>0</v>
      </c>
      <c r="Y238" s="30"/>
      <c r="Z238" s="224">
        <f t="shared" si="2"/>
        <v>0</v>
      </c>
      <c r="AA238" s="223">
        <f t="shared" si="3"/>
        <v>0</v>
      </c>
      <c r="AB238" s="170">
        <f t="shared" si="4"/>
        <v>0</v>
      </c>
      <c r="AC238" s="170">
        <f t="shared" si="5"/>
        <v>0</v>
      </c>
      <c r="AD238" s="170">
        <f t="shared" si="6"/>
        <v>0</v>
      </c>
      <c r="AE238" s="170"/>
      <c r="AF238" s="225">
        <f t="shared" si="8"/>
        <v>0</v>
      </c>
    </row>
    <row r="239" ht="12.75" customHeight="1">
      <c r="V239" s="30">
        <f t="shared" si="1"/>
        <v>0</v>
      </c>
      <c r="Y239" s="30"/>
      <c r="Z239" s="224">
        <f t="shared" si="2"/>
        <v>0</v>
      </c>
      <c r="AA239" s="223">
        <f t="shared" si="3"/>
        <v>0</v>
      </c>
      <c r="AB239" s="170">
        <f t="shared" si="4"/>
        <v>0</v>
      </c>
      <c r="AC239" s="170">
        <f t="shared" si="5"/>
        <v>0</v>
      </c>
      <c r="AD239" s="170">
        <f t="shared" si="6"/>
        <v>0</v>
      </c>
      <c r="AE239" s="170"/>
      <c r="AF239" s="225">
        <f t="shared" si="8"/>
        <v>0</v>
      </c>
    </row>
    <row r="240" ht="12.75" customHeight="1">
      <c r="V240" s="30">
        <f t="shared" si="1"/>
        <v>0</v>
      </c>
      <c r="Y240" s="30"/>
      <c r="Z240" s="224">
        <f t="shared" si="2"/>
        <v>0</v>
      </c>
      <c r="AA240" s="223">
        <f t="shared" si="3"/>
        <v>0</v>
      </c>
      <c r="AB240" s="170">
        <f t="shared" si="4"/>
        <v>0</v>
      </c>
      <c r="AC240" s="170">
        <f t="shared" si="5"/>
        <v>0</v>
      </c>
      <c r="AD240" s="170">
        <f t="shared" si="6"/>
        <v>0</v>
      </c>
      <c r="AE240" s="170"/>
      <c r="AF240" s="225">
        <f t="shared" si="8"/>
        <v>0</v>
      </c>
    </row>
    <row r="241" ht="12.75" customHeight="1">
      <c r="V241" s="30">
        <f t="shared" si="1"/>
        <v>0</v>
      </c>
      <c r="Y241" s="30"/>
      <c r="Z241" s="224">
        <f t="shared" si="2"/>
        <v>0</v>
      </c>
      <c r="AA241" s="223">
        <f t="shared" si="3"/>
        <v>0</v>
      </c>
      <c r="AB241" s="170">
        <f t="shared" si="4"/>
        <v>0</v>
      </c>
      <c r="AC241" s="170">
        <f t="shared" si="5"/>
        <v>0</v>
      </c>
      <c r="AD241" s="170">
        <f t="shared" si="6"/>
        <v>0</v>
      </c>
      <c r="AE241" s="170"/>
      <c r="AF241" s="225">
        <f t="shared" si="8"/>
        <v>0</v>
      </c>
    </row>
    <row r="242" ht="12.75" customHeight="1">
      <c r="V242" s="30">
        <f t="shared" si="1"/>
        <v>0</v>
      </c>
      <c r="Y242" s="30"/>
      <c r="Z242" s="224">
        <f t="shared" si="2"/>
        <v>0</v>
      </c>
      <c r="AA242" s="223">
        <f t="shared" si="3"/>
        <v>0</v>
      </c>
      <c r="AB242" s="170">
        <f t="shared" si="4"/>
        <v>0</v>
      </c>
      <c r="AC242" s="170">
        <f t="shared" si="5"/>
        <v>0</v>
      </c>
      <c r="AD242" s="170">
        <f t="shared" si="6"/>
        <v>0</v>
      </c>
      <c r="AE242" s="170"/>
      <c r="AF242" s="225">
        <f t="shared" si="8"/>
        <v>0</v>
      </c>
    </row>
    <row r="243" ht="12.75" customHeight="1">
      <c r="V243" s="30">
        <f t="shared" si="1"/>
        <v>0</v>
      </c>
      <c r="Y243" s="30"/>
      <c r="Z243" s="224">
        <f t="shared" si="2"/>
        <v>0</v>
      </c>
      <c r="AA243" s="223">
        <f t="shared" si="3"/>
        <v>0</v>
      </c>
      <c r="AB243" s="170">
        <f t="shared" si="4"/>
        <v>0</v>
      </c>
      <c r="AC243" s="170">
        <f t="shared" si="5"/>
        <v>0</v>
      </c>
      <c r="AD243" s="170">
        <f t="shared" si="6"/>
        <v>0</v>
      </c>
      <c r="AE243" s="170"/>
      <c r="AF243" s="225">
        <f t="shared" si="8"/>
        <v>0</v>
      </c>
    </row>
    <row r="244" ht="12.75" customHeight="1">
      <c r="V244" s="30">
        <f t="shared" si="1"/>
        <v>0</v>
      </c>
      <c r="Y244" s="30"/>
      <c r="Z244" s="224">
        <f t="shared" si="2"/>
        <v>0</v>
      </c>
      <c r="AA244" s="223">
        <f t="shared" si="3"/>
        <v>0</v>
      </c>
      <c r="AB244" s="170">
        <f t="shared" si="4"/>
        <v>0</v>
      </c>
      <c r="AC244" s="170">
        <f t="shared" si="5"/>
        <v>0</v>
      </c>
      <c r="AD244" s="170">
        <f t="shared" si="6"/>
        <v>0</v>
      </c>
      <c r="AE244" s="170"/>
      <c r="AF244" s="225">
        <f t="shared" si="8"/>
        <v>0</v>
      </c>
    </row>
    <row r="245" ht="12.75" customHeight="1">
      <c r="V245" s="30">
        <f t="shared" si="1"/>
        <v>0</v>
      </c>
      <c r="Y245" s="30"/>
      <c r="Z245" s="224">
        <f t="shared" si="2"/>
        <v>0</v>
      </c>
      <c r="AA245" s="223">
        <f t="shared" si="3"/>
        <v>0</v>
      </c>
      <c r="AB245" s="170">
        <f t="shared" si="4"/>
        <v>0</v>
      </c>
      <c r="AC245" s="170">
        <f t="shared" si="5"/>
        <v>0</v>
      </c>
      <c r="AD245" s="170">
        <f t="shared" si="6"/>
        <v>0</v>
      </c>
      <c r="AE245" s="170"/>
      <c r="AF245" s="225">
        <f t="shared" si="8"/>
        <v>0</v>
      </c>
    </row>
    <row r="246" ht="12.75" customHeight="1">
      <c r="V246" s="30">
        <f t="shared" si="1"/>
        <v>0</v>
      </c>
      <c r="Y246" s="30"/>
      <c r="Z246" s="224">
        <f t="shared" si="2"/>
        <v>0</v>
      </c>
      <c r="AA246" s="223">
        <f t="shared" si="3"/>
        <v>0</v>
      </c>
      <c r="AB246" s="170">
        <f t="shared" si="4"/>
        <v>0</v>
      </c>
      <c r="AC246" s="170">
        <f t="shared" si="5"/>
        <v>0</v>
      </c>
      <c r="AD246" s="170">
        <f t="shared" si="6"/>
        <v>0</v>
      </c>
      <c r="AE246" s="170"/>
      <c r="AF246" s="225">
        <f t="shared" si="8"/>
        <v>0</v>
      </c>
    </row>
    <row r="247" ht="12.75" customHeight="1">
      <c r="V247" s="30">
        <f t="shared" si="1"/>
        <v>0</v>
      </c>
      <c r="Y247" s="30"/>
      <c r="Z247" s="224">
        <f t="shared" si="2"/>
        <v>0</v>
      </c>
      <c r="AA247" s="223">
        <f t="shared" si="3"/>
        <v>0</v>
      </c>
      <c r="AB247" s="170">
        <f t="shared" si="4"/>
        <v>0</v>
      </c>
      <c r="AC247" s="170">
        <f t="shared" si="5"/>
        <v>0</v>
      </c>
      <c r="AD247" s="170">
        <f t="shared" si="6"/>
        <v>0</v>
      </c>
      <c r="AE247" s="170"/>
      <c r="AF247" s="225">
        <f t="shared" si="8"/>
        <v>0</v>
      </c>
    </row>
    <row r="248" ht="12.75" customHeight="1">
      <c r="V248" s="30">
        <f t="shared" si="1"/>
        <v>0</v>
      </c>
      <c r="Y248" s="30"/>
      <c r="Z248" s="224">
        <f t="shared" si="2"/>
        <v>0</v>
      </c>
      <c r="AA248" s="223">
        <f t="shared" si="3"/>
        <v>0</v>
      </c>
      <c r="AB248" s="170">
        <f t="shared" si="4"/>
        <v>0</v>
      </c>
      <c r="AC248" s="170">
        <f t="shared" si="5"/>
        <v>0</v>
      </c>
      <c r="AD248" s="170">
        <f t="shared" si="6"/>
        <v>0</v>
      </c>
      <c r="AE248" s="170"/>
      <c r="AF248" s="225">
        <f t="shared" si="8"/>
        <v>0</v>
      </c>
    </row>
    <row r="249" ht="12.75" customHeight="1">
      <c r="V249" s="30">
        <f t="shared" si="1"/>
        <v>0</v>
      </c>
      <c r="Y249" s="30"/>
      <c r="Z249" s="224">
        <f t="shared" si="2"/>
        <v>0</v>
      </c>
      <c r="AA249" s="223">
        <f t="shared" si="3"/>
        <v>0</v>
      </c>
      <c r="AB249" s="170">
        <f t="shared" si="4"/>
        <v>0</v>
      </c>
      <c r="AC249" s="170">
        <f t="shared" si="5"/>
        <v>0</v>
      </c>
      <c r="AD249" s="170">
        <f t="shared" si="6"/>
        <v>0</v>
      </c>
      <c r="AE249" s="170"/>
      <c r="AF249" s="225">
        <f t="shared" si="8"/>
        <v>0</v>
      </c>
    </row>
    <row r="250" ht="12.75" customHeight="1">
      <c r="V250" s="30">
        <f t="shared" si="1"/>
        <v>0</v>
      </c>
      <c r="Y250" s="30"/>
      <c r="Z250" s="224">
        <f t="shared" si="2"/>
        <v>0</v>
      </c>
      <c r="AA250" s="223">
        <f t="shared" si="3"/>
        <v>0</v>
      </c>
      <c r="AB250" s="170">
        <f t="shared" si="4"/>
        <v>0</v>
      </c>
      <c r="AC250" s="170">
        <f t="shared" si="5"/>
        <v>0</v>
      </c>
      <c r="AD250" s="170">
        <f t="shared" si="6"/>
        <v>0</v>
      </c>
      <c r="AE250" s="170"/>
      <c r="AF250" s="225">
        <f t="shared" si="8"/>
        <v>0</v>
      </c>
    </row>
    <row r="251" ht="12.75" customHeight="1">
      <c r="V251" s="30">
        <f t="shared" si="1"/>
        <v>0</v>
      </c>
      <c r="Y251" s="30"/>
      <c r="Z251" s="224">
        <f t="shared" si="2"/>
        <v>0</v>
      </c>
      <c r="AA251" s="223">
        <f t="shared" si="3"/>
        <v>0</v>
      </c>
      <c r="AB251" s="170">
        <f t="shared" si="4"/>
        <v>0</v>
      </c>
      <c r="AC251" s="170">
        <f t="shared" si="5"/>
        <v>0</v>
      </c>
      <c r="AD251" s="170">
        <f t="shared" si="6"/>
        <v>0</v>
      </c>
      <c r="AE251" s="170"/>
      <c r="AF251" s="225">
        <f t="shared" si="8"/>
        <v>0</v>
      </c>
    </row>
    <row r="252" ht="12.75" customHeight="1">
      <c r="V252" s="30">
        <f t="shared" si="1"/>
        <v>0</v>
      </c>
      <c r="Y252" s="30"/>
      <c r="Z252" s="224">
        <f t="shared" si="2"/>
        <v>0</v>
      </c>
      <c r="AA252" s="223">
        <f t="shared" si="3"/>
        <v>0</v>
      </c>
      <c r="AB252" s="170">
        <f t="shared" si="4"/>
        <v>0</v>
      </c>
      <c r="AC252" s="170">
        <f t="shared" si="5"/>
        <v>0</v>
      </c>
      <c r="AD252" s="170">
        <f t="shared" si="6"/>
        <v>0</v>
      </c>
      <c r="AE252" s="170"/>
      <c r="AF252" s="225">
        <f t="shared" si="8"/>
        <v>0</v>
      </c>
    </row>
    <row r="253" ht="12.75" customHeight="1">
      <c r="V253" s="30">
        <f t="shared" si="1"/>
        <v>0</v>
      </c>
      <c r="Y253" s="30"/>
      <c r="Z253" s="224">
        <f t="shared" si="2"/>
        <v>0</v>
      </c>
      <c r="AA253" s="223">
        <f t="shared" si="3"/>
        <v>0</v>
      </c>
      <c r="AB253" s="170">
        <f t="shared" si="4"/>
        <v>0</v>
      </c>
      <c r="AC253" s="170">
        <f t="shared" si="5"/>
        <v>0</v>
      </c>
      <c r="AD253" s="170">
        <f t="shared" si="6"/>
        <v>0</v>
      </c>
      <c r="AE253" s="170"/>
      <c r="AF253" s="225">
        <f t="shared" si="8"/>
        <v>0</v>
      </c>
    </row>
    <row r="254" ht="12.75" customHeight="1">
      <c r="V254" s="30">
        <f t="shared" si="1"/>
        <v>0</v>
      </c>
      <c r="Y254" s="30"/>
      <c r="Z254" s="224">
        <f t="shared" si="2"/>
        <v>0</v>
      </c>
      <c r="AA254" s="223">
        <f t="shared" si="3"/>
        <v>0</v>
      </c>
      <c r="AB254" s="170">
        <f t="shared" si="4"/>
        <v>0</v>
      </c>
      <c r="AC254" s="170">
        <f t="shared" si="5"/>
        <v>0</v>
      </c>
      <c r="AD254" s="170">
        <f t="shared" si="6"/>
        <v>0</v>
      </c>
      <c r="AE254" s="170"/>
      <c r="AF254" s="225">
        <f t="shared" si="8"/>
        <v>0</v>
      </c>
    </row>
    <row r="255" ht="12.75" customHeight="1">
      <c r="V255" s="30">
        <f t="shared" si="1"/>
        <v>0</v>
      </c>
      <c r="Y255" s="30"/>
      <c r="Z255" s="224">
        <f t="shared" si="2"/>
        <v>0</v>
      </c>
      <c r="AA255" s="223">
        <f t="shared" si="3"/>
        <v>0</v>
      </c>
      <c r="AB255" s="170">
        <f t="shared" si="4"/>
        <v>0</v>
      </c>
      <c r="AC255" s="170">
        <f t="shared" si="5"/>
        <v>0</v>
      </c>
      <c r="AD255" s="170">
        <f t="shared" si="6"/>
        <v>0</v>
      </c>
      <c r="AE255" s="170"/>
      <c r="AF255" s="225">
        <f t="shared" si="8"/>
        <v>0</v>
      </c>
    </row>
    <row r="256" ht="12.75" customHeight="1">
      <c r="V256" s="30">
        <f t="shared" si="1"/>
        <v>0</v>
      </c>
      <c r="Y256" s="30"/>
      <c r="Z256" s="224">
        <f t="shared" si="2"/>
        <v>0</v>
      </c>
      <c r="AA256" s="223">
        <f t="shared" si="3"/>
        <v>0</v>
      </c>
      <c r="AB256" s="170">
        <f t="shared" si="4"/>
        <v>0</v>
      </c>
      <c r="AC256" s="170">
        <f t="shared" si="5"/>
        <v>0</v>
      </c>
      <c r="AD256" s="170">
        <f t="shared" si="6"/>
        <v>0</v>
      </c>
      <c r="AE256" s="170"/>
      <c r="AF256" s="225">
        <f t="shared" si="8"/>
        <v>0</v>
      </c>
    </row>
    <row r="257" ht="12.75" customHeight="1">
      <c r="V257" s="30">
        <f t="shared" si="1"/>
        <v>0</v>
      </c>
      <c r="Y257" s="30"/>
      <c r="Z257" s="224">
        <f t="shared" si="2"/>
        <v>0</v>
      </c>
      <c r="AA257" s="223">
        <f t="shared" si="3"/>
        <v>0</v>
      </c>
      <c r="AB257" s="170">
        <f t="shared" si="4"/>
        <v>0</v>
      </c>
      <c r="AC257" s="170">
        <f t="shared" si="5"/>
        <v>0</v>
      </c>
      <c r="AD257" s="170">
        <f t="shared" si="6"/>
        <v>0</v>
      </c>
      <c r="AE257" s="170"/>
      <c r="AF257" s="225">
        <f t="shared" si="8"/>
        <v>0</v>
      </c>
    </row>
    <row r="258" ht="12.75" customHeight="1">
      <c r="V258" s="30">
        <f t="shared" si="1"/>
        <v>0</v>
      </c>
      <c r="Y258" s="30"/>
      <c r="Z258" s="224">
        <f t="shared" si="2"/>
        <v>0</v>
      </c>
      <c r="AA258" s="223">
        <f t="shared" si="3"/>
        <v>0</v>
      </c>
      <c r="AB258" s="170">
        <f t="shared" si="4"/>
        <v>0</v>
      </c>
      <c r="AC258" s="170">
        <f t="shared" si="5"/>
        <v>0</v>
      </c>
      <c r="AD258" s="170">
        <f t="shared" si="6"/>
        <v>0</v>
      </c>
      <c r="AE258" s="170"/>
      <c r="AF258" s="225">
        <f t="shared" si="8"/>
        <v>0</v>
      </c>
    </row>
    <row r="259" ht="12.75" customHeight="1">
      <c r="V259" s="30">
        <f t="shared" si="1"/>
        <v>0</v>
      </c>
      <c r="Y259" s="30"/>
      <c r="Z259" s="224">
        <f t="shared" si="2"/>
        <v>0</v>
      </c>
      <c r="AA259" s="223">
        <f t="shared" si="3"/>
        <v>0</v>
      </c>
      <c r="AB259" s="170">
        <f t="shared" si="4"/>
        <v>0</v>
      </c>
      <c r="AC259" s="170">
        <f t="shared" si="5"/>
        <v>0</v>
      </c>
      <c r="AD259" s="170">
        <f t="shared" si="6"/>
        <v>0</v>
      </c>
      <c r="AE259" s="170"/>
      <c r="AF259" s="225">
        <f t="shared" si="8"/>
        <v>0</v>
      </c>
    </row>
    <row r="260" ht="12.75" customHeight="1">
      <c r="V260" s="30">
        <f t="shared" si="1"/>
        <v>0</v>
      </c>
      <c r="Y260" s="30"/>
      <c r="Z260" s="224">
        <f t="shared" si="2"/>
        <v>0</v>
      </c>
      <c r="AA260" s="223">
        <f t="shared" si="3"/>
        <v>0</v>
      </c>
      <c r="AB260" s="170">
        <f t="shared" si="4"/>
        <v>0</v>
      </c>
      <c r="AC260" s="170">
        <f t="shared" si="5"/>
        <v>0</v>
      </c>
      <c r="AD260" s="170">
        <f t="shared" si="6"/>
        <v>0</v>
      </c>
      <c r="AE260" s="170"/>
      <c r="AF260" s="225">
        <f t="shared" si="8"/>
        <v>0</v>
      </c>
    </row>
    <row r="261" ht="12.75" customHeight="1">
      <c r="V261" s="30">
        <f t="shared" si="1"/>
        <v>0</v>
      </c>
      <c r="Y261" s="30"/>
      <c r="Z261" s="224">
        <f t="shared" si="2"/>
        <v>0</v>
      </c>
      <c r="AA261" s="223">
        <f t="shared" si="3"/>
        <v>0</v>
      </c>
      <c r="AB261" s="170">
        <f t="shared" si="4"/>
        <v>0</v>
      </c>
      <c r="AC261" s="170">
        <f t="shared" si="5"/>
        <v>0</v>
      </c>
      <c r="AD261" s="170">
        <f t="shared" si="6"/>
        <v>0</v>
      </c>
      <c r="AE261" s="170"/>
      <c r="AF261" s="225">
        <f t="shared" si="8"/>
        <v>0</v>
      </c>
    </row>
    <row r="262" ht="12.75" customHeight="1">
      <c r="V262" s="30">
        <f t="shared" si="1"/>
        <v>0</v>
      </c>
      <c r="Y262" s="30"/>
      <c r="Z262" s="224">
        <f t="shared" si="2"/>
        <v>0</v>
      </c>
      <c r="AA262" s="223">
        <f t="shared" si="3"/>
        <v>0</v>
      </c>
      <c r="AB262" s="170">
        <f t="shared" si="4"/>
        <v>0</v>
      </c>
      <c r="AC262" s="170">
        <f t="shared" si="5"/>
        <v>0</v>
      </c>
      <c r="AD262" s="170">
        <f t="shared" si="6"/>
        <v>0</v>
      </c>
      <c r="AE262" s="170"/>
      <c r="AF262" s="225">
        <f t="shared" si="8"/>
        <v>0</v>
      </c>
    </row>
    <row r="263" ht="12.75" customHeight="1">
      <c r="V263" s="30">
        <f t="shared" si="1"/>
        <v>0</v>
      </c>
      <c r="Y263" s="30"/>
      <c r="Z263" s="224">
        <f t="shared" si="2"/>
        <v>0</v>
      </c>
      <c r="AA263" s="223">
        <f t="shared" si="3"/>
        <v>0</v>
      </c>
      <c r="AB263" s="170">
        <f t="shared" si="4"/>
        <v>0</v>
      </c>
      <c r="AC263" s="170">
        <f t="shared" si="5"/>
        <v>0</v>
      </c>
      <c r="AD263" s="170">
        <f t="shared" si="6"/>
        <v>0</v>
      </c>
      <c r="AE263" s="170"/>
      <c r="AF263" s="225">
        <f t="shared" si="8"/>
        <v>0</v>
      </c>
    </row>
    <row r="264" ht="12.75" customHeight="1">
      <c r="V264" s="30">
        <f t="shared" si="1"/>
        <v>0</v>
      </c>
      <c r="Y264" s="30"/>
      <c r="Z264" s="224">
        <f t="shared" si="2"/>
        <v>0</v>
      </c>
      <c r="AA264" s="223">
        <f t="shared" si="3"/>
        <v>0</v>
      </c>
      <c r="AB264" s="170">
        <f t="shared" si="4"/>
        <v>0</v>
      </c>
      <c r="AC264" s="170">
        <f t="shared" si="5"/>
        <v>0</v>
      </c>
      <c r="AD264" s="170">
        <f t="shared" si="6"/>
        <v>0</v>
      </c>
      <c r="AE264" s="170"/>
      <c r="AF264" s="225">
        <f t="shared" si="8"/>
        <v>0</v>
      </c>
    </row>
    <row r="265" ht="12.75" customHeight="1">
      <c r="V265" s="30">
        <f t="shared" si="1"/>
        <v>0</v>
      </c>
      <c r="Y265" s="30"/>
      <c r="Z265" s="224">
        <f t="shared" si="2"/>
        <v>0</v>
      </c>
      <c r="AA265" s="223">
        <f t="shared" si="3"/>
        <v>0</v>
      </c>
      <c r="AB265" s="170">
        <f t="shared" si="4"/>
        <v>0</v>
      </c>
      <c r="AC265" s="170">
        <f t="shared" si="5"/>
        <v>0</v>
      </c>
      <c r="AD265" s="170">
        <f t="shared" si="6"/>
        <v>0</v>
      </c>
      <c r="AE265" s="170"/>
      <c r="AF265" s="225">
        <f t="shared" si="8"/>
        <v>0</v>
      </c>
    </row>
    <row r="266" ht="12.75" customHeight="1">
      <c r="V266" s="30">
        <f t="shared" si="1"/>
        <v>0</v>
      </c>
      <c r="Y266" s="30"/>
      <c r="Z266" s="224">
        <f t="shared" si="2"/>
        <v>0</v>
      </c>
      <c r="AA266" s="223">
        <f t="shared" si="3"/>
        <v>0</v>
      </c>
      <c r="AB266" s="170">
        <f t="shared" si="4"/>
        <v>0</v>
      </c>
      <c r="AC266" s="170">
        <f t="shared" si="5"/>
        <v>0</v>
      </c>
      <c r="AD266" s="170">
        <f t="shared" si="6"/>
        <v>0</v>
      </c>
      <c r="AE266" s="170"/>
      <c r="AF266" s="225">
        <f t="shared" si="8"/>
        <v>0</v>
      </c>
    </row>
    <row r="267" ht="12.75" customHeight="1">
      <c r="V267" s="30">
        <f t="shared" si="1"/>
        <v>0</v>
      </c>
      <c r="Y267" s="30"/>
      <c r="Z267" s="224">
        <f t="shared" si="2"/>
        <v>0</v>
      </c>
      <c r="AA267" s="223">
        <f t="shared" si="3"/>
        <v>0</v>
      </c>
      <c r="AB267" s="170">
        <f t="shared" si="4"/>
        <v>0</v>
      </c>
      <c r="AC267" s="170">
        <f t="shared" si="5"/>
        <v>0</v>
      </c>
      <c r="AD267" s="170">
        <f t="shared" si="6"/>
        <v>0</v>
      </c>
      <c r="AE267" s="170"/>
      <c r="AF267" s="225">
        <f t="shared" si="8"/>
        <v>0</v>
      </c>
    </row>
    <row r="268" ht="12.75" customHeight="1">
      <c r="V268" s="30">
        <f t="shared" si="1"/>
        <v>0</v>
      </c>
      <c r="Y268" s="30"/>
      <c r="Z268" s="224">
        <f t="shared" si="2"/>
        <v>0</v>
      </c>
      <c r="AA268" s="223">
        <f t="shared" si="3"/>
        <v>0</v>
      </c>
      <c r="AB268" s="170">
        <f t="shared" si="4"/>
        <v>0</v>
      </c>
      <c r="AC268" s="170">
        <f t="shared" si="5"/>
        <v>0</v>
      </c>
      <c r="AD268" s="170">
        <f t="shared" si="6"/>
        <v>0</v>
      </c>
      <c r="AE268" s="170"/>
      <c r="AF268" s="225">
        <f t="shared" si="8"/>
        <v>0</v>
      </c>
    </row>
    <row r="269" ht="12.75" customHeight="1">
      <c r="V269" s="30">
        <f t="shared" si="1"/>
        <v>0</v>
      </c>
      <c r="Y269" s="30"/>
      <c r="Z269" s="224">
        <f t="shared" si="2"/>
        <v>0</v>
      </c>
      <c r="AA269" s="223">
        <f t="shared" si="3"/>
        <v>0</v>
      </c>
      <c r="AB269" s="170">
        <f t="shared" si="4"/>
        <v>0</v>
      </c>
      <c r="AC269" s="170">
        <f t="shared" si="5"/>
        <v>0</v>
      </c>
      <c r="AD269" s="170">
        <f t="shared" si="6"/>
        <v>0</v>
      </c>
      <c r="AE269" s="170"/>
      <c r="AF269" s="225">
        <f t="shared" si="8"/>
        <v>0</v>
      </c>
    </row>
    <row r="270" ht="12.75" customHeight="1">
      <c r="V270" s="30">
        <f t="shared" si="1"/>
        <v>0</v>
      </c>
      <c r="Y270" s="30"/>
      <c r="Z270" s="224">
        <f t="shared" si="2"/>
        <v>0</v>
      </c>
      <c r="AA270" s="223">
        <f t="shared" si="3"/>
        <v>0</v>
      </c>
      <c r="AB270" s="170">
        <f t="shared" si="4"/>
        <v>0</v>
      </c>
      <c r="AC270" s="170">
        <f t="shared" si="5"/>
        <v>0</v>
      </c>
      <c r="AD270" s="170">
        <f t="shared" si="6"/>
        <v>0</v>
      </c>
      <c r="AE270" s="170"/>
      <c r="AF270" s="225">
        <f t="shared" si="8"/>
        <v>0</v>
      </c>
    </row>
    <row r="271" ht="12.75" customHeight="1">
      <c r="V271" s="30">
        <f t="shared" si="1"/>
        <v>0</v>
      </c>
      <c r="Y271" s="30"/>
      <c r="Z271" s="224">
        <f t="shared" si="2"/>
        <v>0</v>
      </c>
      <c r="AA271" s="223">
        <f t="shared" si="3"/>
        <v>0</v>
      </c>
      <c r="AB271" s="170">
        <f t="shared" si="4"/>
        <v>0</v>
      </c>
      <c r="AC271" s="170">
        <f t="shared" si="5"/>
        <v>0</v>
      </c>
      <c r="AD271" s="170">
        <f t="shared" si="6"/>
        <v>0</v>
      </c>
      <c r="AE271" s="170"/>
      <c r="AF271" s="225">
        <f t="shared" si="8"/>
        <v>0</v>
      </c>
    </row>
    <row r="272" ht="12.75" customHeight="1">
      <c r="V272" s="30">
        <f t="shared" si="1"/>
        <v>0</v>
      </c>
      <c r="Y272" s="30"/>
      <c r="Z272" s="224">
        <f t="shared" si="2"/>
        <v>0</v>
      </c>
      <c r="AA272" s="223">
        <f t="shared" si="3"/>
        <v>0</v>
      </c>
      <c r="AB272" s="170">
        <f t="shared" si="4"/>
        <v>0</v>
      </c>
      <c r="AC272" s="170">
        <f t="shared" si="5"/>
        <v>0</v>
      </c>
      <c r="AD272" s="170">
        <f t="shared" si="6"/>
        <v>0</v>
      </c>
      <c r="AE272" s="170"/>
      <c r="AF272" s="225">
        <f t="shared" si="8"/>
        <v>0</v>
      </c>
    </row>
    <row r="273" ht="12.75" customHeight="1">
      <c r="V273" s="30">
        <f t="shared" si="1"/>
        <v>0</v>
      </c>
      <c r="Y273" s="30"/>
      <c r="Z273" s="224">
        <f t="shared" si="2"/>
        <v>0</v>
      </c>
      <c r="AA273" s="223">
        <f t="shared" si="3"/>
        <v>0</v>
      </c>
      <c r="AB273" s="170">
        <f t="shared" si="4"/>
        <v>0</v>
      </c>
      <c r="AC273" s="170">
        <f t="shared" si="5"/>
        <v>0</v>
      </c>
      <c r="AD273" s="170">
        <f t="shared" si="6"/>
        <v>0</v>
      </c>
      <c r="AE273" s="170"/>
      <c r="AF273" s="225">
        <f t="shared" si="8"/>
        <v>0</v>
      </c>
    </row>
    <row r="274" ht="12.75" customHeight="1">
      <c r="V274" s="30">
        <f t="shared" si="1"/>
        <v>0</v>
      </c>
      <c r="Y274" s="30"/>
      <c r="Z274" s="224">
        <f t="shared" si="2"/>
        <v>0</v>
      </c>
      <c r="AA274" s="223">
        <f t="shared" si="3"/>
        <v>0</v>
      </c>
      <c r="AB274" s="170">
        <f t="shared" si="4"/>
        <v>0</v>
      </c>
      <c r="AC274" s="170">
        <f t="shared" si="5"/>
        <v>0</v>
      </c>
      <c r="AD274" s="170">
        <f t="shared" si="6"/>
        <v>0</v>
      </c>
      <c r="AE274" s="170"/>
      <c r="AF274" s="225">
        <f t="shared" si="8"/>
        <v>0</v>
      </c>
    </row>
    <row r="275" ht="12.75" customHeight="1">
      <c r="V275" s="30">
        <f t="shared" si="1"/>
        <v>0</v>
      </c>
      <c r="Y275" s="30"/>
      <c r="Z275" s="224">
        <f t="shared" si="2"/>
        <v>0</v>
      </c>
      <c r="AA275" s="223">
        <f t="shared" si="3"/>
        <v>0</v>
      </c>
      <c r="AB275" s="170">
        <f t="shared" si="4"/>
        <v>0</v>
      </c>
      <c r="AC275" s="170">
        <f t="shared" si="5"/>
        <v>0</v>
      </c>
      <c r="AD275" s="170">
        <f t="shared" si="6"/>
        <v>0</v>
      </c>
      <c r="AE275" s="170"/>
      <c r="AF275" s="225">
        <f t="shared" si="8"/>
        <v>0</v>
      </c>
    </row>
    <row r="276" ht="12.75" customHeight="1">
      <c r="V276" s="30">
        <f t="shared" si="1"/>
        <v>0</v>
      </c>
      <c r="Y276" s="30"/>
      <c r="Z276" s="224">
        <f t="shared" si="2"/>
        <v>0</v>
      </c>
      <c r="AA276" s="223">
        <f t="shared" si="3"/>
        <v>0</v>
      </c>
      <c r="AB276" s="170">
        <f t="shared" si="4"/>
        <v>0</v>
      </c>
      <c r="AC276" s="170">
        <f t="shared" si="5"/>
        <v>0</v>
      </c>
      <c r="AD276" s="170">
        <f t="shared" si="6"/>
        <v>0</v>
      </c>
      <c r="AE276" s="170"/>
      <c r="AF276" s="225">
        <f t="shared" si="8"/>
        <v>0</v>
      </c>
    </row>
    <row r="277" ht="12.75" customHeight="1">
      <c r="V277" s="30">
        <f t="shared" si="1"/>
        <v>0</v>
      </c>
      <c r="Y277" s="30"/>
      <c r="Z277" s="224">
        <f t="shared" si="2"/>
        <v>0</v>
      </c>
      <c r="AA277" s="223">
        <f t="shared" si="3"/>
        <v>0</v>
      </c>
      <c r="AB277" s="170">
        <f t="shared" si="4"/>
        <v>0</v>
      </c>
      <c r="AC277" s="170">
        <f t="shared" si="5"/>
        <v>0</v>
      </c>
      <c r="AD277" s="170">
        <f t="shared" si="6"/>
        <v>0</v>
      </c>
      <c r="AE277" s="170"/>
      <c r="AF277" s="225">
        <f t="shared" si="8"/>
        <v>0</v>
      </c>
    </row>
    <row r="278" ht="12.75" customHeight="1">
      <c r="V278" s="30">
        <f t="shared" si="1"/>
        <v>0</v>
      </c>
      <c r="Y278" s="30"/>
      <c r="Z278" s="224">
        <f t="shared" si="2"/>
        <v>0</v>
      </c>
      <c r="AA278" s="223">
        <f t="shared" si="3"/>
        <v>0</v>
      </c>
      <c r="AB278" s="170">
        <f t="shared" si="4"/>
        <v>0</v>
      </c>
      <c r="AC278" s="170">
        <f t="shared" si="5"/>
        <v>0</v>
      </c>
      <c r="AD278" s="170">
        <f t="shared" si="6"/>
        <v>0</v>
      </c>
      <c r="AE278" s="170"/>
      <c r="AF278" s="225">
        <f t="shared" si="8"/>
        <v>0</v>
      </c>
    </row>
    <row r="279" ht="12.75" customHeight="1">
      <c r="V279" s="30">
        <f t="shared" si="1"/>
        <v>0</v>
      </c>
      <c r="Y279" s="30"/>
      <c r="Z279" s="224">
        <f t="shared" si="2"/>
        <v>0</v>
      </c>
      <c r="AA279" s="223">
        <f t="shared" si="3"/>
        <v>0</v>
      </c>
      <c r="AB279" s="170">
        <f t="shared" si="4"/>
        <v>0</v>
      </c>
      <c r="AC279" s="170">
        <f t="shared" si="5"/>
        <v>0</v>
      </c>
      <c r="AD279" s="170">
        <f t="shared" si="6"/>
        <v>0</v>
      </c>
      <c r="AE279" s="170"/>
      <c r="AF279" s="225">
        <f t="shared" si="8"/>
        <v>0</v>
      </c>
    </row>
    <row r="280" ht="12.75" customHeight="1">
      <c r="V280" s="30">
        <f t="shared" si="1"/>
        <v>0</v>
      </c>
      <c r="Y280" s="30"/>
      <c r="Z280" s="224">
        <f t="shared" si="2"/>
        <v>0</v>
      </c>
      <c r="AA280" s="223">
        <f t="shared" si="3"/>
        <v>0</v>
      </c>
      <c r="AB280" s="170">
        <f t="shared" si="4"/>
        <v>0</v>
      </c>
      <c r="AC280" s="170">
        <f t="shared" si="5"/>
        <v>0</v>
      </c>
      <c r="AD280" s="170">
        <f t="shared" si="6"/>
        <v>0</v>
      </c>
      <c r="AE280" s="170"/>
      <c r="AF280" s="225">
        <f t="shared" si="8"/>
        <v>0</v>
      </c>
    </row>
    <row r="281" ht="12.75" customHeight="1">
      <c r="V281" s="30">
        <f t="shared" si="1"/>
        <v>0</v>
      </c>
      <c r="Y281" s="30"/>
      <c r="Z281" s="224">
        <f t="shared" si="2"/>
        <v>0</v>
      </c>
      <c r="AA281" s="223">
        <f t="shared" si="3"/>
        <v>0</v>
      </c>
      <c r="AB281" s="170">
        <f t="shared" si="4"/>
        <v>0</v>
      </c>
      <c r="AC281" s="170">
        <f t="shared" si="5"/>
        <v>0</v>
      </c>
      <c r="AD281" s="170">
        <f t="shared" si="6"/>
        <v>0</v>
      </c>
      <c r="AE281" s="170"/>
      <c r="AF281" s="225">
        <f t="shared" si="8"/>
        <v>0</v>
      </c>
    </row>
    <row r="282" ht="12.75" customHeight="1">
      <c r="V282" s="30">
        <f t="shared" si="1"/>
        <v>0</v>
      </c>
      <c r="Y282" s="30"/>
      <c r="Z282" s="224">
        <f t="shared" si="2"/>
        <v>0</v>
      </c>
      <c r="AA282" s="223">
        <f t="shared" si="3"/>
        <v>0</v>
      </c>
      <c r="AB282" s="170">
        <f t="shared" si="4"/>
        <v>0</v>
      </c>
      <c r="AC282" s="170">
        <f t="shared" si="5"/>
        <v>0</v>
      </c>
      <c r="AD282" s="170">
        <f t="shared" si="6"/>
        <v>0</v>
      </c>
      <c r="AE282" s="170"/>
      <c r="AF282" s="225">
        <f t="shared" si="8"/>
        <v>0</v>
      </c>
    </row>
    <row r="283" ht="12.75" customHeight="1">
      <c r="V283" s="30">
        <f t="shared" si="1"/>
        <v>0</v>
      </c>
      <c r="Y283" s="30"/>
      <c r="Z283" s="224">
        <f t="shared" si="2"/>
        <v>0</v>
      </c>
      <c r="AA283" s="223">
        <f t="shared" si="3"/>
        <v>0</v>
      </c>
      <c r="AB283" s="170">
        <f t="shared" si="4"/>
        <v>0</v>
      </c>
      <c r="AC283" s="170">
        <f t="shared" si="5"/>
        <v>0</v>
      </c>
      <c r="AD283" s="170">
        <f t="shared" si="6"/>
        <v>0</v>
      </c>
      <c r="AE283" s="170"/>
      <c r="AF283" s="225">
        <f t="shared" si="8"/>
        <v>0</v>
      </c>
    </row>
    <row r="284" ht="12.75" customHeight="1">
      <c r="V284" s="30">
        <f t="shared" si="1"/>
        <v>0</v>
      </c>
      <c r="Y284" s="30"/>
      <c r="Z284" s="224">
        <f t="shared" si="2"/>
        <v>0</v>
      </c>
      <c r="AA284" s="223">
        <f t="shared" si="3"/>
        <v>0</v>
      </c>
      <c r="AB284" s="170">
        <f t="shared" si="4"/>
        <v>0</v>
      </c>
      <c r="AC284" s="170">
        <f t="shared" si="5"/>
        <v>0</v>
      </c>
      <c r="AD284" s="170">
        <f t="shared" si="6"/>
        <v>0</v>
      </c>
      <c r="AE284" s="170"/>
      <c r="AF284" s="225">
        <f t="shared" si="8"/>
        <v>0</v>
      </c>
    </row>
    <row r="285" ht="12.75" customHeight="1">
      <c r="V285" s="30">
        <f t="shared" si="1"/>
        <v>0</v>
      </c>
      <c r="Y285" s="30"/>
      <c r="Z285" s="224">
        <f t="shared" si="2"/>
        <v>0</v>
      </c>
      <c r="AA285" s="223">
        <f t="shared" si="3"/>
        <v>0</v>
      </c>
      <c r="AB285" s="170">
        <f t="shared" si="4"/>
        <v>0</v>
      </c>
      <c r="AC285" s="170">
        <f t="shared" si="5"/>
        <v>0</v>
      </c>
      <c r="AD285" s="170">
        <f t="shared" si="6"/>
        <v>0</v>
      </c>
      <c r="AE285" s="170"/>
      <c r="AF285" s="225">
        <f t="shared" si="8"/>
        <v>0</v>
      </c>
    </row>
    <row r="286" ht="12.75" customHeight="1">
      <c r="V286" s="30">
        <f t="shared" si="1"/>
        <v>0</v>
      </c>
      <c r="Y286" s="30"/>
      <c r="Z286" s="224">
        <f t="shared" si="2"/>
        <v>0</v>
      </c>
      <c r="AA286" s="223">
        <f t="shared" si="3"/>
        <v>0</v>
      </c>
      <c r="AB286" s="170">
        <f t="shared" si="4"/>
        <v>0</v>
      </c>
      <c r="AC286" s="170">
        <f t="shared" si="5"/>
        <v>0</v>
      </c>
      <c r="AD286" s="170">
        <f t="shared" si="6"/>
        <v>0</v>
      </c>
      <c r="AE286" s="170"/>
      <c r="AF286" s="225">
        <f t="shared" si="8"/>
        <v>0</v>
      </c>
    </row>
    <row r="287" ht="12.75" customHeight="1">
      <c r="V287" s="30">
        <f t="shared" si="1"/>
        <v>0</v>
      </c>
      <c r="Y287" s="30"/>
      <c r="Z287" s="224">
        <f t="shared" si="2"/>
        <v>0</v>
      </c>
      <c r="AA287" s="223">
        <f t="shared" si="3"/>
        <v>0</v>
      </c>
      <c r="AB287" s="170">
        <f t="shared" si="4"/>
        <v>0</v>
      </c>
      <c r="AC287" s="170">
        <f t="shared" si="5"/>
        <v>0</v>
      </c>
      <c r="AD287" s="170">
        <f t="shared" si="6"/>
        <v>0</v>
      </c>
      <c r="AE287" s="170"/>
      <c r="AF287" s="225">
        <f t="shared" si="8"/>
        <v>0</v>
      </c>
    </row>
    <row r="288" ht="12.75" customHeight="1">
      <c r="V288" s="30">
        <f t="shared" si="1"/>
        <v>0</v>
      </c>
      <c r="Y288" s="30"/>
      <c r="Z288" s="224">
        <f t="shared" si="2"/>
        <v>0</v>
      </c>
      <c r="AA288" s="223">
        <f t="shared" si="3"/>
        <v>0</v>
      </c>
      <c r="AB288" s="170">
        <f t="shared" si="4"/>
        <v>0</v>
      </c>
      <c r="AC288" s="170">
        <f t="shared" si="5"/>
        <v>0</v>
      </c>
      <c r="AD288" s="170">
        <f t="shared" si="6"/>
        <v>0</v>
      </c>
      <c r="AE288" s="170"/>
      <c r="AF288" s="225">
        <f t="shared" si="8"/>
        <v>0</v>
      </c>
    </row>
    <row r="289" ht="12.75" customHeight="1">
      <c r="V289" s="30">
        <f t="shared" si="1"/>
        <v>0</v>
      </c>
      <c r="Y289" s="30"/>
      <c r="Z289" s="224">
        <f t="shared" si="2"/>
        <v>0</v>
      </c>
      <c r="AA289" s="223">
        <f t="shared" si="3"/>
        <v>0</v>
      </c>
      <c r="AB289" s="170">
        <f t="shared" si="4"/>
        <v>0</v>
      </c>
      <c r="AC289" s="170">
        <f t="shared" si="5"/>
        <v>0</v>
      </c>
      <c r="AD289" s="170">
        <f t="shared" si="6"/>
        <v>0</v>
      </c>
      <c r="AE289" s="170"/>
      <c r="AF289" s="225">
        <f t="shared" si="8"/>
        <v>0</v>
      </c>
    </row>
    <row r="290" ht="12.75" customHeight="1">
      <c r="V290" s="30">
        <f t="shared" si="1"/>
        <v>0</v>
      </c>
      <c r="Y290" s="30"/>
      <c r="Z290" s="224">
        <f t="shared" si="2"/>
        <v>0</v>
      </c>
      <c r="AA290" s="223">
        <f t="shared" si="3"/>
        <v>0</v>
      </c>
      <c r="AB290" s="170">
        <f t="shared" si="4"/>
        <v>0</v>
      </c>
      <c r="AC290" s="170">
        <f t="shared" si="5"/>
        <v>0</v>
      </c>
      <c r="AD290" s="170">
        <f t="shared" si="6"/>
        <v>0</v>
      </c>
      <c r="AE290" s="170"/>
      <c r="AF290" s="225">
        <f t="shared" si="8"/>
        <v>0</v>
      </c>
    </row>
    <row r="291" ht="12.75" customHeight="1">
      <c r="V291" s="30">
        <f t="shared" si="1"/>
        <v>0</v>
      </c>
      <c r="Y291" s="30"/>
      <c r="Z291" s="224">
        <f t="shared" si="2"/>
        <v>0</v>
      </c>
      <c r="AA291" s="223">
        <f t="shared" si="3"/>
        <v>0</v>
      </c>
      <c r="AB291" s="170">
        <f t="shared" si="4"/>
        <v>0</v>
      </c>
      <c r="AC291" s="170">
        <f t="shared" si="5"/>
        <v>0</v>
      </c>
      <c r="AD291" s="170">
        <f t="shared" si="6"/>
        <v>0</v>
      </c>
      <c r="AE291" s="170"/>
      <c r="AF291" s="225">
        <f t="shared" si="8"/>
        <v>0</v>
      </c>
    </row>
    <row r="292" ht="12.75" customHeight="1">
      <c r="V292" s="30">
        <f t="shared" si="1"/>
        <v>0</v>
      </c>
      <c r="Y292" s="30"/>
      <c r="Z292" s="224">
        <f t="shared" si="2"/>
        <v>0</v>
      </c>
      <c r="AA292" s="223">
        <f t="shared" si="3"/>
        <v>0</v>
      </c>
      <c r="AB292" s="170">
        <f t="shared" si="4"/>
        <v>0</v>
      </c>
      <c r="AC292" s="170">
        <f t="shared" si="5"/>
        <v>0</v>
      </c>
      <c r="AD292" s="170">
        <f t="shared" si="6"/>
        <v>0</v>
      </c>
      <c r="AE292" s="170"/>
      <c r="AF292" s="225">
        <f t="shared" si="8"/>
        <v>0</v>
      </c>
    </row>
    <row r="293" ht="12.75" customHeight="1">
      <c r="V293" s="30">
        <f t="shared" si="1"/>
        <v>0</v>
      </c>
      <c r="Y293" s="30"/>
      <c r="Z293" s="224">
        <f t="shared" si="2"/>
        <v>0</v>
      </c>
      <c r="AA293" s="223">
        <f t="shared" si="3"/>
        <v>0</v>
      </c>
      <c r="AB293" s="170">
        <f t="shared" si="4"/>
        <v>0</v>
      </c>
      <c r="AC293" s="170">
        <f t="shared" si="5"/>
        <v>0</v>
      </c>
      <c r="AD293" s="170">
        <f t="shared" si="6"/>
        <v>0</v>
      </c>
      <c r="AE293" s="170"/>
      <c r="AF293" s="225">
        <f t="shared" si="8"/>
        <v>0</v>
      </c>
    </row>
    <row r="294" ht="12.75" customHeight="1">
      <c r="V294" s="30">
        <f t="shared" si="1"/>
        <v>0</v>
      </c>
      <c r="Y294" s="30"/>
      <c r="Z294" s="224">
        <f t="shared" si="2"/>
        <v>0</v>
      </c>
      <c r="AA294" s="223">
        <f t="shared" si="3"/>
        <v>0</v>
      </c>
      <c r="AB294" s="170">
        <f t="shared" si="4"/>
        <v>0</v>
      </c>
      <c r="AC294" s="170">
        <f t="shared" si="5"/>
        <v>0</v>
      </c>
      <c r="AD294" s="170">
        <f t="shared" si="6"/>
        <v>0</v>
      </c>
      <c r="AE294" s="170"/>
      <c r="AF294" s="225">
        <f t="shared" si="8"/>
        <v>0</v>
      </c>
    </row>
    <row r="295" ht="12.75" customHeight="1">
      <c r="V295" s="30">
        <f t="shared" si="1"/>
        <v>0</v>
      </c>
      <c r="Y295" s="30"/>
      <c r="Z295" s="224">
        <f t="shared" si="2"/>
        <v>0</v>
      </c>
      <c r="AA295" s="223">
        <f t="shared" si="3"/>
        <v>0</v>
      </c>
      <c r="AB295" s="170">
        <f t="shared" si="4"/>
        <v>0</v>
      </c>
      <c r="AC295" s="170">
        <f t="shared" si="5"/>
        <v>0</v>
      </c>
      <c r="AD295" s="170">
        <f t="shared" si="6"/>
        <v>0</v>
      </c>
      <c r="AE295" s="170"/>
      <c r="AF295" s="225">
        <f t="shared" si="8"/>
        <v>0</v>
      </c>
    </row>
    <row r="296" ht="12.75" customHeight="1">
      <c r="V296" s="30">
        <f t="shared" si="1"/>
        <v>0</v>
      </c>
      <c r="Y296" s="30"/>
      <c r="Z296" s="224">
        <f t="shared" si="2"/>
        <v>0</v>
      </c>
      <c r="AA296" s="223">
        <f t="shared" si="3"/>
        <v>0</v>
      </c>
      <c r="AB296" s="170">
        <f t="shared" si="4"/>
        <v>0</v>
      </c>
      <c r="AC296" s="170">
        <f t="shared" si="5"/>
        <v>0</v>
      </c>
      <c r="AD296" s="170">
        <f t="shared" si="6"/>
        <v>0</v>
      </c>
      <c r="AE296" s="170"/>
      <c r="AF296" s="225">
        <f t="shared" si="8"/>
        <v>0</v>
      </c>
    </row>
    <row r="297" ht="12.75" customHeight="1">
      <c r="V297" s="30">
        <f t="shared" si="1"/>
        <v>0</v>
      </c>
      <c r="Y297" s="30"/>
      <c r="Z297" s="224">
        <f t="shared" si="2"/>
        <v>0</v>
      </c>
      <c r="AA297" s="223">
        <f t="shared" si="3"/>
        <v>0</v>
      </c>
      <c r="AB297" s="170">
        <f t="shared" si="4"/>
        <v>0</v>
      </c>
      <c r="AC297" s="170">
        <f t="shared" si="5"/>
        <v>0</v>
      </c>
      <c r="AD297" s="170">
        <f t="shared" si="6"/>
        <v>0</v>
      </c>
      <c r="AE297" s="170"/>
      <c r="AF297" s="225">
        <f t="shared" si="8"/>
        <v>0</v>
      </c>
    </row>
    <row r="298" ht="12.75" customHeight="1">
      <c r="V298" s="30">
        <f t="shared" si="1"/>
        <v>0</v>
      </c>
      <c r="Y298" s="30"/>
      <c r="Z298" s="224">
        <f t="shared" si="2"/>
        <v>0</v>
      </c>
      <c r="AA298" s="223">
        <f t="shared" si="3"/>
        <v>0</v>
      </c>
      <c r="AB298" s="170">
        <f t="shared" si="4"/>
        <v>0</v>
      </c>
      <c r="AC298" s="170">
        <f t="shared" si="5"/>
        <v>0</v>
      </c>
      <c r="AD298" s="170">
        <f t="shared" si="6"/>
        <v>0</v>
      </c>
      <c r="AE298" s="170"/>
      <c r="AF298" s="225">
        <f t="shared" si="8"/>
        <v>0</v>
      </c>
    </row>
    <row r="299" ht="12.75" customHeight="1">
      <c r="V299" s="30">
        <f t="shared" si="1"/>
        <v>0</v>
      </c>
      <c r="Y299" s="30"/>
      <c r="Z299" s="224">
        <f t="shared" si="2"/>
        <v>0</v>
      </c>
      <c r="AA299" s="223">
        <f t="shared" si="3"/>
        <v>0</v>
      </c>
      <c r="AB299" s="170">
        <f t="shared" si="4"/>
        <v>0</v>
      </c>
      <c r="AC299" s="170">
        <f t="shared" si="5"/>
        <v>0</v>
      </c>
      <c r="AD299" s="170">
        <f t="shared" si="6"/>
        <v>0</v>
      </c>
      <c r="AE299" s="170"/>
      <c r="AF299" s="225">
        <f t="shared" si="8"/>
        <v>0</v>
      </c>
    </row>
    <row r="300" ht="12.75" customHeight="1">
      <c r="V300" s="30">
        <f t="shared" si="1"/>
        <v>0</v>
      </c>
      <c r="Y300" s="30"/>
      <c r="Z300" s="224">
        <f t="shared" si="2"/>
        <v>0</v>
      </c>
      <c r="AA300" s="223">
        <f t="shared" si="3"/>
        <v>0</v>
      </c>
      <c r="AB300" s="170">
        <f t="shared" si="4"/>
        <v>0</v>
      </c>
      <c r="AC300" s="170">
        <f t="shared" si="5"/>
        <v>0</v>
      </c>
      <c r="AD300" s="170">
        <f t="shared" si="6"/>
        <v>0</v>
      </c>
      <c r="AE300" s="170"/>
      <c r="AF300" s="225">
        <f t="shared" si="8"/>
        <v>0</v>
      </c>
    </row>
    <row r="301" ht="12.75" customHeight="1">
      <c r="V301" s="30">
        <f t="shared" si="1"/>
        <v>0</v>
      </c>
      <c r="Y301" s="30"/>
      <c r="Z301" s="224">
        <f t="shared" si="2"/>
        <v>0</v>
      </c>
      <c r="AA301" s="223">
        <f t="shared" si="3"/>
        <v>0</v>
      </c>
      <c r="AB301" s="170">
        <f t="shared" si="4"/>
        <v>0</v>
      </c>
      <c r="AC301" s="170">
        <f t="shared" si="5"/>
        <v>0</v>
      </c>
      <c r="AD301" s="170">
        <f t="shared" si="6"/>
        <v>0</v>
      </c>
      <c r="AE301" s="170"/>
      <c r="AF301" s="225">
        <f t="shared" si="8"/>
        <v>0</v>
      </c>
    </row>
    <row r="302" ht="12.75" customHeight="1">
      <c r="V302" s="30">
        <f t="shared" si="1"/>
        <v>0</v>
      </c>
      <c r="Y302" s="30"/>
      <c r="Z302" s="224">
        <f t="shared" si="2"/>
        <v>0</v>
      </c>
      <c r="AA302" s="223">
        <f t="shared" si="3"/>
        <v>0</v>
      </c>
      <c r="AB302" s="170">
        <f t="shared" si="4"/>
        <v>0</v>
      </c>
      <c r="AC302" s="170">
        <f t="shared" si="5"/>
        <v>0</v>
      </c>
      <c r="AD302" s="170">
        <f t="shared" si="6"/>
        <v>0</v>
      </c>
      <c r="AE302" s="170"/>
      <c r="AF302" s="225">
        <f t="shared" si="8"/>
        <v>0</v>
      </c>
    </row>
    <row r="303" ht="12.75" customHeight="1">
      <c r="V303" s="30">
        <f t="shared" si="1"/>
        <v>0</v>
      </c>
      <c r="Y303" s="30"/>
      <c r="Z303" s="224">
        <f t="shared" si="2"/>
        <v>0</v>
      </c>
      <c r="AA303" s="223">
        <f t="shared" si="3"/>
        <v>0</v>
      </c>
      <c r="AB303" s="170">
        <f t="shared" si="4"/>
        <v>0</v>
      </c>
      <c r="AC303" s="170">
        <f t="shared" si="5"/>
        <v>0</v>
      </c>
      <c r="AD303" s="170">
        <f t="shared" si="6"/>
        <v>0</v>
      </c>
      <c r="AE303" s="170"/>
      <c r="AF303" s="225">
        <f t="shared" si="8"/>
        <v>0</v>
      </c>
    </row>
    <row r="304" ht="12.75" customHeight="1">
      <c r="V304" s="30">
        <f t="shared" si="1"/>
        <v>0</v>
      </c>
      <c r="Y304" s="30"/>
      <c r="Z304" s="224">
        <f t="shared" si="2"/>
        <v>0</v>
      </c>
      <c r="AA304" s="223">
        <f t="shared" si="3"/>
        <v>0</v>
      </c>
      <c r="AB304" s="170">
        <f t="shared" si="4"/>
        <v>0</v>
      </c>
      <c r="AC304" s="170">
        <f t="shared" si="5"/>
        <v>0</v>
      </c>
      <c r="AD304" s="170">
        <f t="shared" si="6"/>
        <v>0</v>
      </c>
      <c r="AE304" s="170"/>
      <c r="AF304" s="225">
        <f t="shared" si="8"/>
        <v>0</v>
      </c>
    </row>
    <row r="305" ht="12.75" customHeight="1">
      <c r="V305" s="30">
        <f t="shared" si="1"/>
        <v>0</v>
      </c>
      <c r="Y305" s="30"/>
      <c r="Z305" s="224">
        <f t="shared" si="2"/>
        <v>0</v>
      </c>
      <c r="AA305" s="223">
        <f t="shared" si="3"/>
        <v>0</v>
      </c>
      <c r="AB305" s="170">
        <f t="shared" si="4"/>
        <v>0</v>
      </c>
      <c r="AC305" s="170">
        <f t="shared" si="5"/>
        <v>0</v>
      </c>
      <c r="AD305" s="170">
        <f t="shared" si="6"/>
        <v>0</v>
      </c>
      <c r="AE305" s="170"/>
      <c r="AF305" s="225">
        <f t="shared" si="8"/>
        <v>0</v>
      </c>
    </row>
    <row r="306" ht="12.75" customHeight="1">
      <c r="V306" s="30">
        <f t="shared" si="1"/>
        <v>0</v>
      </c>
      <c r="Y306" s="30"/>
      <c r="Z306" s="224">
        <f t="shared" si="2"/>
        <v>0</v>
      </c>
      <c r="AA306" s="223">
        <f t="shared" si="3"/>
        <v>0</v>
      </c>
      <c r="AB306" s="170">
        <f t="shared" si="4"/>
        <v>0</v>
      </c>
      <c r="AC306" s="170">
        <f t="shared" si="5"/>
        <v>0</v>
      </c>
      <c r="AD306" s="170">
        <f t="shared" si="6"/>
        <v>0</v>
      </c>
      <c r="AE306" s="170"/>
      <c r="AF306" s="225">
        <f t="shared" si="8"/>
        <v>0</v>
      </c>
    </row>
    <row r="307" ht="12.75" customHeight="1">
      <c r="V307" s="30">
        <f t="shared" si="1"/>
        <v>0</v>
      </c>
      <c r="Y307" s="30"/>
      <c r="Z307" s="224">
        <f t="shared" si="2"/>
        <v>0</v>
      </c>
      <c r="AA307" s="223">
        <f t="shared" si="3"/>
        <v>0</v>
      </c>
      <c r="AB307" s="170">
        <f t="shared" si="4"/>
        <v>0</v>
      </c>
      <c r="AC307" s="170">
        <f t="shared" si="5"/>
        <v>0</v>
      </c>
      <c r="AD307" s="170">
        <f t="shared" si="6"/>
        <v>0</v>
      </c>
      <c r="AE307" s="170"/>
      <c r="AF307" s="225">
        <f t="shared" si="8"/>
        <v>0</v>
      </c>
    </row>
    <row r="308" ht="12.75" customHeight="1">
      <c r="V308" s="30">
        <f t="shared" si="1"/>
        <v>0</v>
      </c>
      <c r="Y308" s="30"/>
      <c r="Z308" s="224">
        <f t="shared" si="2"/>
        <v>0</v>
      </c>
      <c r="AA308" s="223">
        <f t="shared" si="3"/>
        <v>0</v>
      </c>
      <c r="AB308" s="170">
        <f t="shared" si="4"/>
        <v>0</v>
      </c>
      <c r="AC308" s="170">
        <f t="shared" si="5"/>
        <v>0</v>
      </c>
      <c r="AD308" s="170">
        <f t="shared" si="6"/>
        <v>0</v>
      </c>
      <c r="AE308" s="170"/>
      <c r="AF308" s="225">
        <f t="shared" si="8"/>
        <v>0</v>
      </c>
    </row>
    <row r="309" ht="12.75" customHeight="1">
      <c r="V309" s="30">
        <f t="shared" si="1"/>
        <v>0</v>
      </c>
      <c r="Y309" s="30"/>
      <c r="Z309" s="224">
        <f t="shared" si="2"/>
        <v>0</v>
      </c>
      <c r="AA309" s="223">
        <f t="shared" si="3"/>
        <v>0</v>
      </c>
      <c r="AB309" s="170">
        <f t="shared" si="4"/>
        <v>0</v>
      </c>
      <c r="AC309" s="170">
        <f t="shared" si="5"/>
        <v>0</v>
      </c>
      <c r="AD309" s="170">
        <f t="shared" si="6"/>
        <v>0</v>
      </c>
      <c r="AE309" s="170"/>
      <c r="AF309" s="225">
        <f t="shared" si="8"/>
        <v>0</v>
      </c>
    </row>
    <row r="310" ht="12.75" customHeight="1">
      <c r="V310" s="30">
        <f t="shared" si="1"/>
        <v>0</v>
      </c>
      <c r="Y310" s="30"/>
      <c r="Z310" s="224">
        <f t="shared" si="2"/>
        <v>0</v>
      </c>
      <c r="AA310" s="223">
        <f t="shared" si="3"/>
        <v>0</v>
      </c>
      <c r="AB310" s="170">
        <f t="shared" si="4"/>
        <v>0</v>
      </c>
      <c r="AC310" s="170">
        <f t="shared" si="5"/>
        <v>0</v>
      </c>
      <c r="AD310" s="170">
        <f t="shared" si="6"/>
        <v>0</v>
      </c>
      <c r="AE310" s="170"/>
      <c r="AF310" s="225">
        <f t="shared" si="8"/>
        <v>0</v>
      </c>
    </row>
    <row r="311" ht="12.75" customHeight="1">
      <c r="V311" s="30">
        <f t="shared" si="1"/>
        <v>0</v>
      </c>
      <c r="Y311" s="30"/>
      <c r="Z311" s="224">
        <f t="shared" si="2"/>
        <v>0</v>
      </c>
      <c r="AA311" s="223">
        <f t="shared" si="3"/>
        <v>0</v>
      </c>
      <c r="AB311" s="170">
        <f t="shared" si="4"/>
        <v>0</v>
      </c>
      <c r="AC311" s="170">
        <f t="shared" si="5"/>
        <v>0</v>
      </c>
      <c r="AD311" s="170">
        <f t="shared" si="6"/>
        <v>0</v>
      </c>
      <c r="AE311" s="170"/>
      <c r="AF311" s="225">
        <f t="shared" si="8"/>
        <v>0</v>
      </c>
    </row>
    <row r="312" ht="12.75" customHeight="1">
      <c r="V312" s="30">
        <f t="shared" si="1"/>
        <v>0</v>
      </c>
      <c r="Y312" s="30"/>
      <c r="Z312" s="224">
        <f t="shared" si="2"/>
        <v>0</v>
      </c>
      <c r="AA312" s="223">
        <f t="shared" si="3"/>
        <v>0</v>
      </c>
      <c r="AB312" s="170">
        <f t="shared" si="4"/>
        <v>0</v>
      </c>
      <c r="AC312" s="170">
        <f t="shared" si="5"/>
        <v>0</v>
      </c>
      <c r="AD312" s="170">
        <f t="shared" si="6"/>
        <v>0</v>
      </c>
      <c r="AE312" s="170"/>
      <c r="AF312" s="225">
        <f t="shared" si="8"/>
        <v>0</v>
      </c>
    </row>
    <row r="313" ht="12.75" customHeight="1">
      <c r="V313" s="30">
        <f t="shared" si="1"/>
        <v>0</v>
      </c>
      <c r="Y313" s="30"/>
      <c r="Z313" s="224">
        <f t="shared" si="2"/>
        <v>0</v>
      </c>
      <c r="AA313" s="223">
        <f t="shared" si="3"/>
        <v>0</v>
      </c>
      <c r="AB313" s="170">
        <f t="shared" si="4"/>
        <v>0</v>
      </c>
      <c r="AC313" s="170">
        <f t="shared" si="5"/>
        <v>0</v>
      </c>
      <c r="AD313" s="170">
        <f t="shared" si="6"/>
        <v>0</v>
      </c>
      <c r="AE313" s="170"/>
      <c r="AF313" s="225">
        <f t="shared" si="8"/>
        <v>0</v>
      </c>
    </row>
    <row r="314" ht="12.75" customHeight="1">
      <c r="V314" s="30">
        <f t="shared" si="1"/>
        <v>0</v>
      </c>
      <c r="Y314" s="30"/>
      <c r="Z314" s="224">
        <f t="shared" si="2"/>
        <v>0</v>
      </c>
      <c r="AA314" s="223">
        <f t="shared" si="3"/>
        <v>0</v>
      </c>
      <c r="AB314" s="170">
        <f t="shared" si="4"/>
        <v>0</v>
      </c>
      <c r="AC314" s="170">
        <f t="shared" si="5"/>
        <v>0</v>
      </c>
      <c r="AD314" s="170">
        <f t="shared" si="6"/>
        <v>0</v>
      </c>
      <c r="AE314" s="170"/>
      <c r="AF314" s="225">
        <f t="shared" si="8"/>
        <v>0</v>
      </c>
    </row>
    <row r="315" ht="12.75" customHeight="1">
      <c r="V315" s="30">
        <f t="shared" si="1"/>
        <v>0</v>
      </c>
      <c r="Y315" s="30"/>
      <c r="Z315" s="224">
        <f t="shared" si="2"/>
        <v>0</v>
      </c>
      <c r="AA315" s="223">
        <f t="shared" si="3"/>
        <v>0</v>
      </c>
      <c r="AB315" s="170">
        <f t="shared" si="4"/>
        <v>0</v>
      </c>
      <c r="AC315" s="170">
        <f t="shared" si="5"/>
        <v>0</v>
      </c>
      <c r="AD315" s="170">
        <f t="shared" si="6"/>
        <v>0</v>
      </c>
      <c r="AE315" s="170"/>
      <c r="AF315" s="225">
        <f t="shared" si="8"/>
        <v>0</v>
      </c>
    </row>
    <row r="316" ht="12.75" customHeight="1">
      <c r="V316" s="30">
        <f t="shared" si="1"/>
        <v>0</v>
      </c>
      <c r="Y316" s="30"/>
      <c r="Z316" s="224">
        <f t="shared" si="2"/>
        <v>0</v>
      </c>
      <c r="AA316" s="223">
        <f t="shared" si="3"/>
        <v>0</v>
      </c>
      <c r="AB316" s="170">
        <f t="shared" si="4"/>
        <v>0</v>
      </c>
      <c r="AC316" s="170">
        <f t="shared" si="5"/>
        <v>0</v>
      </c>
      <c r="AD316" s="170">
        <f t="shared" si="6"/>
        <v>0</v>
      </c>
      <c r="AE316" s="170"/>
      <c r="AF316" s="225">
        <f t="shared" si="8"/>
        <v>0</v>
      </c>
    </row>
    <row r="317" ht="12.75" customHeight="1">
      <c r="V317" s="30">
        <f t="shared" si="1"/>
        <v>0</v>
      </c>
      <c r="Y317" s="30"/>
      <c r="Z317" s="224">
        <f t="shared" si="2"/>
        <v>0</v>
      </c>
      <c r="AA317" s="223">
        <f t="shared" si="3"/>
        <v>0</v>
      </c>
      <c r="AB317" s="170">
        <f t="shared" si="4"/>
        <v>0</v>
      </c>
      <c r="AC317" s="170">
        <f t="shared" si="5"/>
        <v>0</v>
      </c>
      <c r="AD317" s="170">
        <f t="shared" si="6"/>
        <v>0</v>
      </c>
      <c r="AE317" s="170"/>
      <c r="AF317" s="225">
        <f t="shared" si="8"/>
        <v>0</v>
      </c>
    </row>
    <row r="318" ht="12.75" customHeight="1">
      <c r="V318" s="30">
        <f t="shared" si="1"/>
        <v>0</v>
      </c>
      <c r="Y318" s="30"/>
      <c r="Z318" s="224">
        <f t="shared" si="2"/>
        <v>0</v>
      </c>
      <c r="AA318" s="223">
        <f t="shared" si="3"/>
        <v>0</v>
      </c>
      <c r="AB318" s="170">
        <f t="shared" si="4"/>
        <v>0</v>
      </c>
      <c r="AC318" s="170">
        <f t="shared" si="5"/>
        <v>0</v>
      </c>
      <c r="AD318" s="170">
        <f t="shared" si="6"/>
        <v>0</v>
      </c>
      <c r="AE318" s="170"/>
      <c r="AF318" s="225">
        <f t="shared" si="8"/>
        <v>0</v>
      </c>
    </row>
    <row r="319" ht="12.75" customHeight="1">
      <c r="V319" s="30">
        <f t="shared" si="1"/>
        <v>0</v>
      </c>
      <c r="Y319" s="30"/>
      <c r="Z319" s="224">
        <f t="shared" si="2"/>
        <v>0</v>
      </c>
      <c r="AA319" s="223">
        <f t="shared" si="3"/>
        <v>0</v>
      </c>
      <c r="AB319" s="170">
        <f t="shared" si="4"/>
        <v>0</v>
      </c>
      <c r="AC319" s="170">
        <f t="shared" si="5"/>
        <v>0</v>
      </c>
      <c r="AD319" s="170">
        <f t="shared" si="6"/>
        <v>0</v>
      </c>
      <c r="AE319" s="170"/>
      <c r="AF319" s="225">
        <f t="shared" si="8"/>
        <v>0</v>
      </c>
    </row>
    <row r="320" ht="12.75" customHeight="1">
      <c r="V320" s="30">
        <f t="shared" si="1"/>
        <v>0</v>
      </c>
      <c r="Y320" s="30"/>
      <c r="Z320" s="224">
        <f t="shared" si="2"/>
        <v>0</v>
      </c>
      <c r="AA320" s="223">
        <f t="shared" si="3"/>
        <v>0</v>
      </c>
      <c r="AB320" s="170">
        <f t="shared" si="4"/>
        <v>0</v>
      </c>
      <c r="AC320" s="170">
        <f t="shared" si="5"/>
        <v>0</v>
      </c>
      <c r="AD320" s="170">
        <f t="shared" si="6"/>
        <v>0</v>
      </c>
      <c r="AE320" s="170"/>
      <c r="AF320" s="225">
        <f t="shared" si="8"/>
        <v>0</v>
      </c>
    </row>
    <row r="321" ht="12.75" customHeight="1">
      <c r="V321" s="30">
        <f t="shared" si="1"/>
        <v>0</v>
      </c>
      <c r="Y321" s="30"/>
      <c r="Z321" s="224">
        <f t="shared" si="2"/>
        <v>0</v>
      </c>
      <c r="AA321" s="223">
        <f t="shared" si="3"/>
        <v>0</v>
      </c>
      <c r="AB321" s="170">
        <f t="shared" si="4"/>
        <v>0</v>
      </c>
      <c r="AC321" s="170">
        <f t="shared" si="5"/>
        <v>0</v>
      </c>
      <c r="AD321" s="170">
        <f t="shared" si="6"/>
        <v>0</v>
      </c>
      <c r="AE321" s="170"/>
      <c r="AF321" s="225">
        <f t="shared" si="8"/>
        <v>0</v>
      </c>
    </row>
    <row r="322" ht="12.75" customHeight="1">
      <c r="V322" s="30">
        <f t="shared" si="1"/>
        <v>0</v>
      </c>
      <c r="Y322" s="30"/>
      <c r="Z322" s="224">
        <f t="shared" si="2"/>
        <v>0</v>
      </c>
      <c r="AA322" s="223">
        <f t="shared" si="3"/>
        <v>0</v>
      </c>
      <c r="AB322" s="170">
        <f t="shared" si="4"/>
        <v>0</v>
      </c>
      <c r="AC322" s="170">
        <f t="shared" si="5"/>
        <v>0</v>
      </c>
      <c r="AD322" s="170">
        <f t="shared" si="6"/>
        <v>0</v>
      </c>
      <c r="AE322" s="170"/>
      <c r="AF322" s="225">
        <f t="shared" si="8"/>
        <v>0</v>
      </c>
    </row>
    <row r="323" ht="12.75" customHeight="1">
      <c r="V323" s="30">
        <f t="shared" si="1"/>
        <v>0</v>
      </c>
      <c r="Y323" s="30"/>
      <c r="Z323" s="224">
        <f t="shared" si="2"/>
        <v>0</v>
      </c>
      <c r="AA323" s="223">
        <f t="shared" si="3"/>
        <v>0</v>
      </c>
      <c r="AB323" s="170">
        <f t="shared" si="4"/>
        <v>0</v>
      </c>
      <c r="AC323" s="170">
        <f t="shared" si="5"/>
        <v>0</v>
      </c>
      <c r="AD323" s="170">
        <f t="shared" si="6"/>
        <v>0</v>
      </c>
      <c r="AE323" s="170"/>
      <c r="AF323" s="225">
        <f t="shared" si="8"/>
        <v>0</v>
      </c>
    </row>
    <row r="324" ht="12.75" customHeight="1">
      <c r="V324" s="30">
        <f t="shared" si="1"/>
        <v>0</v>
      </c>
      <c r="Y324" s="30"/>
      <c r="Z324" s="224">
        <f t="shared" si="2"/>
        <v>0</v>
      </c>
      <c r="AA324" s="223">
        <f t="shared" si="3"/>
        <v>0</v>
      </c>
      <c r="AB324" s="170">
        <f t="shared" si="4"/>
        <v>0</v>
      </c>
      <c r="AC324" s="170">
        <f t="shared" si="5"/>
        <v>0</v>
      </c>
      <c r="AD324" s="170">
        <f t="shared" si="6"/>
        <v>0</v>
      </c>
      <c r="AE324" s="170"/>
      <c r="AF324" s="225">
        <f t="shared" si="8"/>
        <v>0</v>
      </c>
    </row>
    <row r="325" ht="12.75" customHeight="1">
      <c r="V325" s="30">
        <f t="shared" si="1"/>
        <v>0</v>
      </c>
      <c r="Y325" s="30"/>
      <c r="Z325" s="224">
        <f t="shared" si="2"/>
        <v>0</v>
      </c>
      <c r="AA325" s="223">
        <f t="shared" si="3"/>
        <v>0</v>
      </c>
      <c r="AB325" s="170">
        <f t="shared" si="4"/>
        <v>0</v>
      </c>
      <c r="AC325" s="170">
        <f t="shared" si="5"/>
        <v>0</v>
      </c>
      <c r="AD325" s="170">
        <f t="shared" si="6"/>
        <v>0</v>
      </c>
      <c r="AE325" s="170"/>
      <c r="AF325" s="225">
        <f t="shared" si="8"/>
        <v>0</v>
      </c>
    </row>
    <row r="326" ht="12.75" customHeight="1">
      <c r="V326" s="30">
        <f t="shared" si="1"/>
        <v>0</v>
      </c>
      <c r="Y326" s="30"/>
      <c r="Z326" s="224">
        <f t="shared" si="2"/>
        <v>0</v>
      </c>
      <c r="AA326" s="223">
        <f t="shared" si="3"/>
        <v>0</v>
      </c>
      <c r="AB326" s="170">
        <f t="shared" si="4"/>
        <v>0</v>
      </c>
      <c r="AC326" s="170">
        <f t="shared" si="5"/>
        <v>0</v>
      </c>
      <c r="AD326" s="170">
        <f t="shared" si="6"/>
        <v>0</v>
      </c>
      <c r="AE326" s="170"/>
      <c r="AF326" s="225">
        <f t="shared" si="8"/>
        <v>0</v>
      </c>
    </row>
    <row r="327" ht="12.75" customHeight="1">
      <c r="V327" s="30">
        <f t="shared" si="1"/>
        <v>0</v>
      </c>
      <c r="Y327" s="30"/>
      <c r="Z327" s="224">
        <f t="shared" si="2"/>
        <v>0</v>
      </c>
      <c r="AA327" s="223">
        <f t="shared" si="3"/>
        <v>0</v>
      </c>
      <c r="AB327" s="170">
        <f t="shared" si="4"/>
        <v>0</v>
      </c>
      <c r="AC327" s="170">
        <f t="shared" si="5"/>
        <v>0</v>
      </c>
      <c r="AD327" s="170">
        <f t="shared" si="6"/>
        <v>0</v>
      </c>
      <c r="AE327" s="170"/>
      <c r="AF327" s="225">
        <f t="shared" si="8"/>
        <v>0</v>
      </c>
    </row>
    <row r="328" ht="12.75" customHeight="1">
      <c r="V328" s="30">
        <f t="shared" si="1"/>
        <v>0</v>
      </c>
      <c r="Y328" s="30"/>
      <c r="Z328" s="224">
        <f t="shared" si="2"/>
        <v>0</v>
      </c>
      <c r="AA328" s="223">
        <f t="shared" si="3"/>
        <v>0</v>
      </c>
      <c r="AB328" s="170">
        <f t="shared" si="4"/>
        <v>0</v>
      </c>
      <c r="AC328" s="170">
        <f t="shared" si="5"/>
        <v>0</v>
      </c>
      <c r="AD328" s="170">
        <f t="shared" si="6"/>
        <v>0</v>
      </c>
      <c r="AE328" s="170"/>
      <c r="AF328" s="225">
        <f t="shared" si="8"/>
        <v>0</v>
      </c>
    </row>
    <row r="329" ht="12.75" customHeight="1">
      <c r="V329" s="30">
        <f t="shared" si="1"/>
        <v>0</v>
      </c>
      <c r="Y329" s="30"/>
      <c r="Z329" s="224">
        <f t="shared" si="2"/>
        <v>0</v>
      </c>
      <c r="AA329" s="223">
        <f t="shared" si="3"/>
        <v>0</v>
      </c>
      <c r="AB329" s="170">
        <f t="shared" si="4"/>
        <v>0</v>
      </c>
      <c r="AC329" s="170">
        <f t="shared" si="5"/>
        <v>0</v>
      </c>
      <c r="AD329" s="170">
        <f t="shared" si="6"/>
        <v>0</v>
      </c>
      <c r="AE329" s="170"/>
      <c r="AF329" s="225">
        <f t="shared" si="8"/>
        <v>0</v>
      </c>
    </row>
    <row r="330" ht="12.75" customHeight="1">
      <c r="V330" s="30">
        <f t="shared" si="1"/>
        <v>0</v>
      </c>
      <c r="Y330" s="30"/>
      <c r="Z330" s="224">
        <f t="shared" si="2"/>
        <v>0</v>
      </c>
      <c r="AA330" s="223">
        <f t="shared" si="3"/>
        <v>0</v>
      </c>
      <c r="AB330" s="170">
        <f t="shared" si="4"/>
        <v>0</v>
      </c>
      <c r="AC330" s="170">
        <f t="shared" si="5"/>
        <v>0</v>
      </c>
      <c r="AD330" s="170">
        <f t="shared" si="6"/>
        <v>0</v>
      </c>
      <c r="AE330" s="170"/>
      <c r="AF330" s="225">
        <f t="shared" si="8"/>
        <v>0</v>
      </c>
    </row>
    <row r="331" ht="12.75" customHeight="1">
      <c r="V331" s="30">
        <f t="shared" si="1"/>
        <v>0</v>
      </c>
      <c r="Y331" s="30"/>
      <c r="Z331" s="224">
        <f t="shared" si="2"/>
        <v>0</v>
      </c>
      <c r="AA331" s="223">
        <f t="shared" si="3"/>
        <v>0</v>
      </c>
      <c r="AB331" s="170">
        <f t="shared" si="4"/>
        <v>0</v>
      </c>
      <c r="AC331" s="170">
        <f t="shared" si="5"/>
        <v>0</v>
      </c>
      <c r="AD331" s="170">
        <f t="shared" si="6"/>
        <v>0</v>
      </c>
      <c r="AE331" s="170"/>
      <c r="AF331" s="225">
        <f t="shared" si="8"/>
        <v>0</v>
      </c>
    </row>
    <row r="332" ht="12.75" customHeight="1">
      <c r="V332" s="30">
        <f t="shared" si="1"/>
        <v>0</v>
      </c>
      <c r="Y332" s="30"/>
      <c r="Z332" s="224">
        <f t="shared" si="2"/>
        <v>0</v>
      </c>
      <c r="AA332" s="223">
        <f t="shared" si="3"/>
        <v>0</v>
      </c>
      <c r="AB332" s="170">
        <f t="shared" si="4"/>
        <v>0</v>
      </c>
      <c r="AC332" s="170">
        <f t="shared" si="5"/>
        <v>0</v>
      </c>
      <c r="AD332" s="170">
        <f t="shared" si="6"/>
        <v>0</v>
      </c>
      <c r="AE332" s="170"/>
      <c r="AF332" s="225">
        <f t="shared" si="8"/>
        <v>0</v>
      </c>
    </row>
    <row r="333" ht="12.75" customHeight="1">
      <c r="V333" s="30">
        <f t="shared" si="1"/>
        <v>0</v>
      </c>
      <c r="Y333" s="30"/>
      <c r="Z333" s="224">
        <f t="shared" si="2"/>
        <v>0</v>
      </c>
      <c r="AA333" s="223">
        <f t="shared" si="3"/>
        <v>0</v>
      </c>
      <c r="AB333" s="170">
        <f t="shared" si="4"/>
        <v>0</v>
      </c>
      <c r="AC333" s="170">
        <f t="shared" si="5"/>
        <v>0</v>
      </c>
      <c r="AD333" s="170">
        <f t="shared" si="6"/>
        <v>0</v>
      </c>
      <c r="AE333" s="170"/>
      <c r="AF333" s="225">
        <f t="shared" si="8"/>
        <v>0</v>
      </c>
    </row>
    <row r="334" ht="12.75" customHeight="1">
      <c r="V334" s="30">
        <f t="shared" si="1"/>
        <v>0</v>
      </c>
      <c r="Y334" s="30"/>
      <c r="Z334" s="224">
        <f t="shared" si="2"/>
        <v>0</v>
      </c>
      <c r="AA334" s="223">
        <f t="shared" si="3"/>
        <v>0</v>
      </c>
      <c r="AB334" s="170">
        <f t="shared" si="4"/>
        <v>0</v>
      </c>
      <c r="AC334" s="170">
        <f t="shared" si="5"/>
        <v>0</v>
      </c>
      <c r="AD334" s="170">
        <f t="shared" si="6"/>
        <v>0</v>
      </c>
      <c r="AE334" s="170"/>
      <c r="AF334" s="225">
        <f t="shared" si="8"/>
        <v>0</v>
      </c>
    </row>
    <row r="335" ht="12.75" customHeight="1">
      <c r="V335" s="30">
        <f t="shared" si="1"/>
        <v>0</v>
      </c>
      <c r="Y335" s="30"/>
      <c r="Z335" s="224">
        <f t="shared" si="2"/>
        <v>0</v>
      </c>
      <c r="AA335" s="223">
        <f t="shared" si="3"/>
        <v>0</v>
      </c>
      <c r="AB335" s="170">
        <f t="shared" si="4"/>
        <v>0</v>
      </c>
      <c r="AC335" s="170">
        <f t="shared" si="5"/>
        <v>0</v>
      </c>
      <c r="AD335" s="170">
        <f t="shared" si="6"/>
        <v>0</v>
      </c>
      <c r="AE335" s="170"/>
      <c r="AF335" s="225">
        <f t="shared" si="8"/>
        <v>0</v>
      </c>
    </row>
    <row r="336" ht="12.75" customHeight="1">
      <c r="V336" s="30">
        <f t="shared" si="1"/>
        <v>0</v>
      </c>
      <c r="Y336" s="30"/>
      <c r="Z336" s="224">
        <f t="shared" si="2"/>
        <v>0</v>
      </c>
      <c r="AA336" s="223">
        <f t="shared" si="3"/>
        <v>0</v>
      </c>
      <c r="AB336" s="170">
        <f t="shared" si="4"/>
        <v>0</v>
      </c>
      <c r="AC336" s="170">
        <f t="shared" si="5"/>
        <v>0</v>
      </c>
      <c r="AD336" s="170">
        <f t="shared" si="6"/>
        <v>0</v>
      </c>
      <c r="AE336" s="170"/>
      <c r="AF336" s="225">
        <f t="shared" si="8"/>
        <v>0</v>
      </c>
    </row>
    <row r="337" ht="12.75" customHeight="1">
      <c r="V337" s="30">
        <f t="shared" si="1"/>
        <v>0</v>
      </c>
      <c r="Y337" s="30"/>
      <c r="Z337" s="224">
        <f t="shared" si="2"/>
        <v>0</v>
      </c>
      <c r="AA337" s="223">
        <f t="shared" si="3"/>
        <v>0</v>
      </c>
      <c r="AB337" s="170">
        <f t="shared" si="4"/>
        <v>0</v>
      </c>
      <c r="AC337" s="170">
        <f t="shared" si="5"/>
        <v>0</v>
      </c>
      <c r="AD337" s="170">
        <f t="shared" si="6"/>
        <v>0</v>
      </c>
      <c r="AE337" s="170"/>
      <c r="AF337" s="225">
        <f t="shared" si="8"/>
        <v>0</v>
      </c>
    </row>
    <row r="338" ht="12.75" customHeight="1">
      <c r="V338" s="30">
        <f t="shared" si="1"/>
        <v>0</v>
      </c>
      <c r="Y338" s="30"/>
      <c r="Z338" s="224">
        <f t="shared" si="2"/>
        <v>0</v>
      </c>
      <c r="AA338" s="223">
        <f t="shared" si="3"/>
        <v>0</v>
      </c>
      <c r="AB338" s="170">
        <f t="shared" si="4"/>
        <v>0</v>
      </c>
      <c r="AC338" s="170">
        <f t="shared" si="5"/>
        <v>0</v>
      </c>
      <c r="AD338" s="170">
        <f t="shared" si="6"/>
        <v>0</v>
      </c>
      <c r="AE338" s="170"/>
      <c r="AF338" s="225">
        <f t="shared" si="8"/>
        <v>0</v>
      </c>
    </row>
    <row r="339" ht="12.75" customHeight="1">
      <c r="V339" s="30">
        <f t="shared" si="1"/>
        <v>0</v>
      </c>
      <c r="Y339" s="30"/>
      <c r="Z339" s="224">
        <f t="shared" si="2"/>
        <v>0</v>
      </c>
      <c r="AA339" s="223">
        <f t="shared" si="3"/>
        <v>0</v>
      </c>
      <c r="AB339" s="170">
        <f t="shared" si="4"/>
        <v>0</v>
      </c>
      <c r="AC339" s="170">
        <f t="shared" si="5"/>
        <v>0</v>
      </c>
      <c r="AD339" s="170">
        <f t="shared" si="6"/>
        <v>0</v>
      </c>
      <c r="AE339" s="170"/>
      <c r="AF339" s="225">
        <f t="shared" si="8"/>
        <v>0</v>
      </c>
    </row>
    <row r="340" ht="12.75" customHeight="1">
      <c r="V340" s="30">
        <f t="shared" si="1"/>
        <v>0</v>
      </c>
      <c r="Y340" s="30"/>
      <c r="Z340" s="224">
        <f t="shared" si="2"/>
        <v>0</v>
      </c>
      <c r="AA340" s="223">
        <f t="shared" si="3"/>
        <v>0</v>
      </c>
      <c r="AB340" s="170">
        <f t="shared" si="4"/>
        <v>0</v>
      </c>
      <c r="AC340" s="170">
        <f t="shared" si="5"/>
        <v>0</v>
      </c>
      <c r="AD340" s="170">
        <f t="shared" si="6"/>
        <v>0</v>
      </c>
      <c r="AE340" s="170"/>
      <c r="AF340" s="225">
        <f t="shared" si="8"/>
        <v>0</v>
      </c>
    </row>
    <row r="341" ht="12.75" customHeight="1">
      <c r="V341" s="30">
        <f t="shared" si="1"/>
        <v>0</v>
      </c>
      <c r="Y341" s="30"/>
      <c r="Z341" s="224">
        <f t="shared" si="2"/>
        <v>0</v>
      </c>
      <c r="AA341" s="223">
        <f t="shared" si="3"/>
        <v>0</v>
      </c>
      <c r="AB341" s="170">
        <f t="shared" si="4"/>
        <v>0</v>
      </c>
      <c r="AC341" s="170">
        <f t="shared" si="5"/>
        <v>0</v>
      </c>
      <c r="AD341" s="170">
        <f t="shared" si="6"/>
        <v>0</v>
      </c>
      <c r="AE341" s="170"/>
      <c r="AF341" s="225">
        <f t="shared" si="8"/>
        <v>0</v>
      </c>
    </row>
    <row r="342" ht="12.75" customHeight="1">
      <c r="V342" s="30">
        <f t="shared" si="1"/>
        <v>0</v>
      </c>
      <c r="Y342" s="30"/>
      <c r="Z342" s="224">
        <f t="shared" si="2"/>
        <v>0</v>
      </c>
      <c r="AA342" s="223">
        <f t="shared" si="3"/>
        <v>0</v>
      </c>
      <c r="AB342" s="170">
        <f t="shared" si="4"/>
        <v>0</v>
      </c>
      <c r="AC342" s="170">
        <f t="shared" si="5"/>
        <v>0</v>
      </c>
      <c r="AD342" s="170">
        <f t="shared" si="6"/>
        <v>0</v>
      </c>
      <c r="AE342" s="170"/>
      <c r="AF342" s="225">
        <f t="shared" si="8"/>
        <v>0</v>
      </c>
    </row>
    <row r="343" ht="12.75" customHeight="1">
      <c r="V343" s="30">
        <f t="shared" si="1"/>
        <v>0</v>
      </c>
      <c r="Y343" s="30"/>
      <c r="Z343" s="224">
        <f t="shared" si="2"/>
        <v>0</v>
      </c>
      <c r="AA343" s="223">
        <f t="shared" si="3"/>
        <v>0</v>
      </c>
      <c r="AB343" s="170">
        <f t="shared" si="4"/>
        <v>0</v>
      </c>
      <c r="AC343" s="170">
        <f t="shared" si="5"/>
        <v>0</v>
      </c>
      <c r="AD343" s="170">
        <f t="shared" si="6"/>
        <v>0</v>
      </c>
      <c r="AE343" s="170"/>
      <c r="AF343" s="225">
        <f t="shared" si="8"/>
        <v>0</v>
      </c>
    </row>
    <row r="344" ht="12.75" customHeight="1">
      <c r="V344" s="30">
        <f t="shared" si="1"/>
        <v>0</v>
      </c>
      <c r="Y344" s="30"/>
      <c r="Z344" s="224">
        <f t="shared" si="2"/>
        <v>0</v>
      </c>
      <c r="AA344" s="223">
        <f t="shared" si="3"/>
        <v>0</v>
      </c>
      <c r="AB344" s="170">
        <f t="shared" si="4"/>
        <v>0</v>
      </c>
      <c r="AC344" s="170">
        <f t="shared" si="5"/>
        <v>0</v>
      </c>
      <c r="AD344" s="170">
        <f t="shared" si="6"/>
        <v>0</v>
      </c>
      <c r="AE344" s="170"/>
      <c r="AF344" s="225">
        <f t="shared" si="8"/>
        <v>0</v>
      </c>
    </row>
    <row r="345" ht="12.75" customHeight="1">
      <c r="V345" s="30">
        <f t="shared" si="1"/>
        <v>0</v>
      </c>
      <c r="Y345" s="30"/>
      <c r="Z345" s="224">
        <f t="shared" si="2"/>
        <v>0</v>
      </c>
      <c r="AA345" s="223">
        <f t="shared" si="3"/>
        <v>0</v>
      </c>
      <c r="AB345" s="170">
        <f t="shared" si="4"/>
        <v>0</v>
      </c>
      <c r="AC345" s="170">
        <f t="shared" si="5"/>
        <v>0</v>
      </c>
      <c r="AD345" s="170">
        <f t="shared" si="6"/>
        <v>0</v>
      </c>
      <c r="AE345" s="170"/>
      <c r="AF345" s="225">
        <f t="shared" si="8"/>
        <v>0</v>
      </c>
    </row>
    <row r="346" ht="12.75" customHeight="1">
      <c r="V346" s="30">
        <f t="shared" si="1"/>
        <v>0</v>
      </c>
      <c r="Y346" s="30"/>
      <c r="Z346" s="224">
        <f t="shared" si="2"/>
        <v>0</v>
      </c>
      <c r="AA346" s="223">
        <f t="shared" si="3"/>
        <v>0</v>
      </c>
      <c r="AB346" s="170">
        <f t="shared" si="4"/>
        <v>0</v>
      </c>
      <c r="AC346" s="170">
        <f t="shared" si="5"/>
        <v>0</v>
      </c>
      <c r="AD346" s="170">
        <f t="shared" si="6"/>
        <v>0</v>
      </c>
      <c r="AE346" s="170"/>
      <c r="AF346" s="225">
        <f t="shared" si="8"/>
        <v>0</v>
      </c>
    </row>
    <row r="347" ht="12.75" customHeight="1">
      <c r="V347" s="30">
        <f t="shared" si="1"/>
        <v>0</v>
      </c>
      <c r="Y347" s="30"/>
      <c r="Z347" s="224">
        <f t="shared" si="2"/>
        <v>0</v>
      </c>
      <c r="AA347" s="223">
        <f t="shared" si="3"/>
        <v>0</v>
      </c>
      <c r="AB347" s="170">
        <f t="shared" si="4"/>
        <v>0</v>
      </c>
      <c r="AC347" s="170">
        <f t="shared" si="5"/>
        <v>0</v>
      </c>
      <c r="AD347" s="170">
        <f t="shared" si="6"/>
        <v>0</v>
      </c>
      <c r="AE347" s="170"/>
      <c r="AF347" s="225">
        <f t="shared" si="8"/>
        <v>0</v>
      </c>
    </row>
    <row r="348" ht="12.75" customHeight="1">
      <c r="V348" s="30">
        <f t="shared" si="1"/>
        <v>0</v>
      </c>
      <c r="Y348" s="30"/>
      <c r="Z348" s="224">
        <f t="shared" si="2"/>
        <v>0</v>
      </c>
      <c r="AA348" s="223">
        <f t="shared" si="3"/>
        <v>0</v>
      </c>
      <c r="AB348" s="170">
        <f t="shared" si="4"/>
        <v>0</v>
      </c>
      <c r="AC348" s="170">
        <f t="shared" si="5"/>
        <v>0</v>
      </c>
      <c r="AD348" s="170">
        <f t="shared" si="6"/>
        <v>0</v>
      </c>
      <c r="AE348" s="170"/>
      <c r="AF348" s="225">
        <f t="shared" si="8"/>
        <v>0</v>
      </c>
    </row>
    <row r="349" ht="12.75" customHeight="1">
      <c r="V349" s="30">
        <f t="shared" si="1"/>
        <v>0</v>
      </c>
      <c r="Y349" s="30"/>
      <c r="Z349" s="224">
        <f t="shared" si="2"/>
        <v>0</v>
      </c>
      <c r="AA349" s="223">
        <f t="shared" si="3"/>
        <v>0</v>
      </c>
      <c r="AB349" s="170">
        <f t="shared" si="4"/>
        <v>0</v>
      </c>
      <c r="AC349" s="170">
        <f t="shared" si="5"/>
        <v>0</v>
      </c>
      <c r="AD349" s="170">
        <f t="shared" si="6"/>
        <v>0</v>
      </c>
      <c r="AE349" s="170"/>
      <c r="AF349" s="225">
        <f t="shared" si="8"/>
        <v>0</v>
      </c>
    </row>
    <row r="350" ht="12.75" customHeight="1">
      <c r="V350" s="30">
        <f t="shared" si="1"/>
        <v>0</v>
      </c>
      <c r="Y350" s="30"/>
      <c r="Z350" s="224">
        <f t="shared" si="2"/>
        <v>0</v>
      </c>
      <c r="AA350" s="223">
        <f t="shared" si="3"/>
        <v>0</v>
      </c>
      <c r="AB350" s="170">
        <f t="shared" si="4"/>
        <v>0</v>
      </c>
      <c r="AC350" s="170">
        <f t="shared" si="5"/>
        <v>0</v>
      </c>
      <c r="AD350" s="170">
        <f t="shared" si="6"/>
        <v>0</v>
      </c>
      <c r="AE350" s="170"/>
      <c r="AF350" s="225">
        <f t="shared" si="8"/>
        <v>0</v>
      </c>
    </row>
    <row r="351" ht="12.75" customHeight="1">
      <c r="V351" s="30">
        <f t="shared" si="1"/>
        <v>0</v>
      </c>
      <c r="Y351" s="30"/>
      <c r="Z351" s="224">
        <f t="shared" si="2"/>
        <v>0</v>
      </c>
      <c r="AA351" s="223">
        <f t="shared" si="3"/>
        <v>0</v>
      </c>
      <c r="AB351" s="170">
        <f t="shared" si="4"/>
        <v>0</v>
      </c>
      <c r="AC351" s="170">
        <f t="shared" si="5"/>
        <v>0</v>
      </c>
      <c r="AD351" s="170">
        <f t="shared" si="6"/>
        <v>0</v>
      </c>
      <c r="AE351" s="170"/>
      <c r="AF351" s="225">
        <f t="shared" si="8"/>
        <v>0</v>
      </c>
    </row>
    <row r="352" ht="12.75" customHeight="1">
      <c r="V352" s="30">
        <f t="shared" si="1"/>
        <v>0</v>
      </c>
      <c r="Y352" s="30"/>
      <c r="Z352" s="224">
        <f t="shared" si="2"/>
        <v>0</v>
      </c>
      <c r="AA352" s="223">
        <f t="shared" si="3"/>
        <v>0</v>
      </c>
      <c r="AB352" s="170">
        <f t="shared" si="4"/>
        <v>0</v>
      </c>
      <c r="AC352" s="170">
        <f t="shared" si="5"/>
        <v>0</v>
      </c>
      <c r="AD352" s="170">
        <f t="shared" si="6"/>
        <v>0</v>
      </c>
      <c r="AE352" s="170"/>
      <c r="AF352" s="225">
        <f t="shared" si="8"/>
        <v>0</v>
      </c>
    </row>
    <row r="353" ht="12.75" customHeight="1">
      <c r="V353" s="30">
        <f t="shared" si="1"/>
        <v>0</v>
      </c>
      <c r="Y353" s="30"/>
      <c r="Z353" s="224">
        <f t="shared" si="2"/>
        <v>0</v>
      </c>
      <c r="AA353" s="223">
        <f t="shared" si="3"/>
        <v>0</v>
      </c>
      <c r="AB353" s="170">
        <f t="shared" si="4"/>
        <v>0</v>
      </c>
      <c r="AC353" s="170">
        <f t="shared" si="5"/>
        <v>0</v>
      </c>
      <c r="AD353" s="170">
        <f t="shared" si="6"/>
        <v>0</v>
      </c>
      <c r="AE353" s="170"/>
      <c r="AF353" s="225">
        <f t="shared" si="8"/>
        <v>0</v>
      </c>
    </row>
    <row r="354" ht="12.75" customHeight="1">
      <c r="V354" s="30">
        <f t="shared" si="1"/>
        <v>0</v>
      </c>
      <c r="Y354" s="30"/>
      <c r="Z354" s="224">
        <f t="shared" si="2"/>
        <v>0</v>
      </c>
      <c r="AA354" s="223">
        <f t="shared" si="3"/>
        <v>0</v>
      </c>
      <c r="AB354" s="170">
        <f t="shared" si="4"/>
        <v>0</v>
      </c>
      <c r="AC354" s="170">
        <f t="shared" si="5"/>
        <v>0</v>
      </c>
      <c r="AD354" s="170">
        <f t="shared" si="6"/>
        <v>0</v>
      </c>
      <c r="AE354" s="170"/>
      <c r="AF354" s="225">
        <f t="shared" si="8"/>
        <v>0</v>
      </c>
    </row>
    <row r="355" ht="12.75" customHeight="1">
      <c r="V355" s="30">
        <f t="shared" si="1"/>
        <v>0</v>
      </c>
      <c r="Y355" s="30"/>
      <c r="Z355" s="224">
        <f t="shared" si="2"/>
        <v>0</v>
      </c>
      <c r="AA355" s="223">
        <f t="shared" si="3"/>
        <v>0</v>
      </c>
      <c r="AB355" s="170">
        <f t="shared" si="4"/>
        <v>0</v>
      </c>
      <c r="AC355" s="170">
        <f t="shared" si="5"/>
        <v>0</v>
      </c>
      <c r="AD355" s="170">
        <f t="shared" si="6"/>
        <v>0</v>
      </c>
      <c r="AE355" s="170"/>
      <c r="AF355" s="225">
        <f t="shared" si="8"/>
        <v>0</v>
      </c>
    </row>
    <row r="356" ht="12.75" customHeight="1">
      <c r="V356" s="30">
        <f t="shared" si="1"/>
        <v>0</v>
      </c>
      <c r="Y356" s="30"/>
      <c r="Z356" s="224">
        <f t="shared" si="2"/>
        <v>0</v>
      </c>
      <c r="AA356" s="223">
        <f t="shared" si="3"/>
        <v>0</v>
      </c>
      <c r="AB356" s="170">
        <f t="shared" si="4"/>
        <v>0</v>
      </c>
      <c r="AC356" s="170">
        <f t="shared" si="5"/>
        <v>0</v>
      </c>
      <c r="AD356" s="170">
        <f t="shared" si="6"/>
        <v>0</v>
      </c>
      <c r="AE356" s="170"/>
      <c r="AF356" s="225">
        <f t="shared" si="8"/>
        <v>0</v>
      </c>
    </row>
    <row r="357" ht="12.75" customHeight="1">
      <c r="V357" s="30">
        <f t="shared" si="1"/>
        <v>0</v>
      </c>
      <c r="Y357" s="30"/>
      <c r="Z357" s="224">
        <f t="shared" si="2"/>
        <v>0</v>
      </c>
      <c r="AA357" s="223">
        <f t="shared" si="3"/>
        <v>0</v>
      </c>
      <c r="AB357" s="170">
        <f t="shared" si="4"/>
        <v>0</v>
      </c>
      <c r="AC357" s="170">
        <f t="shared" si="5"/>
        <v>0</v>
      </c>
      <c r="AD357" s="170">
        <f t="shared" si="6"/>
        <v>0</v>
      </c>
      <c r="AE357" s="170"/>
      <c r="AF357" s="225">
        <f t="shared" si="8"/>
        <v>0</v>
      </c>
    </row>
    <row r="358" ht="12.75" customHeight="1">
      <c r="V358" s="30">
        <f t="shared" si="1"/>
        <v>0</v>
      </c>
      <c r="Y358" s="30"/>
      <c r="Z358" s="224">
        <f t="shared" si="2"/>
        <v>0</v>
      </c>
      <c r="AA358" s="223">
        <f t="shared" si="3"/>
        <v>0</v>
      </c>
      <c r="AB358" s="170">
        <f t="shared" si="4"/>
        <v>0</v>
      </c>
      <c r="AC358" s="170">
        <f t="shared" si="5"/>
        <v>0</v>
      </c>
      <c r="AD358" s="170">
        <f t="shared" si="6"/>
        <v>0</v>
      </c>
      <c r="AE358" s="170"/>
      <c r="AF358" s="225">
        <f t="shared" si="8"/>
        <v>0</v>
      </c>
    </row>
    <row r="359" ht="12.75" customHeight="1">
      <c r="V359" s="30">
        <f t="shared" si="1"/>
        <v>0</v>
      </c>
      <c r="Y359" s="30"/>
      <c r="Z359" s="224">
        <f t="shared" si="2"/>
        <v>0</v>
      </c>
      <c r="AA359" s="223">
        <f t="shared" si="3"/>
        <v>0</v>
      </c>
      <c r="AB359" s="170">
        <f t="shared" si="4"/>
        <v>0</v>
      </c>
      <c r="AC359" s="170">
        <f t="shared" si="5"/>
        <v>0</v>
      </c>
      <c r="AD359" s="170">
        <f t="shared" si="6"/>
        <v>0</v>
      </c>
      <c r="AE359" s="170"/>
      <c r="AF359" s="225">
        <f t="shared" si="8"/>
        <v>0</v>
      </c>
    </row>
    <row r="360" ht="12.75" customHeight="1">
      <c r="V360" s="30">
        <f t="shared" si="1"/>
        <v>0</v>
      </c>
      <c r="Y360" s="30"/>
      <c r="Z360" s="224">
        <f t="shared" si="2"/>
        <v>0</v>
      </c>
      <c r="AA360" s="223">
        <f t="shared" si="3"/>
        <v>0</v>
      </c>
      <c r="AB360" s="170">
        <f t="shared" si="4"/>
        <v>0</v>
      </c>
      <c r="AC360" s="170">
        <f t="shared" si="5"/>
        <v>0</v>
      </c>
      <c r="AD360" s="170">
        <f t="shared" si="6"/>
        <v>0</v>
      </c>
      <c r="AE360" s="170"/>
      <c r="AF360" s="225">
        <f t="shared" si="8"/>
        <v>0</v>
      </c>
    </row>
    <row r="361" ht="12.75" customHeight="1">
      <c r="V361" s="30">
        <f t="shared" si="1"/>
        <v>0</v>
      </c>
      <c r="Y361" s="30"/>
      <c r="Z361" s="224">
        <f t="shared" si="2"/>
        <v>0</v>
      </c>
      <c r="AA361" s="223">
        <f t="shared" si="3"/>
        <v>0</v>
      </c>
      <c r="AB361" s="170">
        <f t="shared" si="4"/>
        <v>0</v>
      </c>
      <c r="AC361" s="170">
        <f t="shared" si="5"/>
        <v>0</v>
      </c>
      <c r="AD361" s="170">
        <f t="shared" si="6"/>
        <v>0</v>
      </c>
      <c r="AE361" s="170"/>
      <c r="AF361" s="225">
        <f t="shared" si="8"/>
        <v>0</v>
      </c>
    </row>
    <row r="362" ht="12.75" customHeight="1">
      <c r="V362" s="30">
        <f t="shared" si="1"/>
        <v>0</v>
      </c>
      <c r="Y362" s="30"/>
      <c r="Z362" s="224">
        <f t="shared" si="2"/>
        <v>0</v>
      </c>
      <c r="AA362" s="223">
        <f t="shared" si="3"/>
        <v>0</v>
      </c>
      <c r="AB362" s="170">
        <f t="shared" si="4"/>
        <v>0</v>
      </c>
      <c r="AC362" s="170">
        <f t="shared" si="5"/>
        <v>0</v>
      </c>
      <c r="AD362" s="170">
        <f t="shared" si="6"/>
        <v>0</v>
      </c>
      <c r="AE362" s="170"/>
      <c r="AF362" s="225">
        <f t="shared" si="8"/>
        <v>0</v>
      </c>
    </row>
    <row r="363" ht="12.75" customHeight="1">
      <c r="V363" s="30">
        <f t="shared" si="1"/>
        <v>0</v>
      </c>
      <c r="Y363" s="30"/>
      <c r="Z363" s="224">
        <f t="shared" si="2"/>
        <v>0</v>
      </c>
      <c r="AA363" s="223">
        <f t="shared" si="3"/>
        <v>0</v>
      </c>
      <c r="AB363" s="170">
        <f t="shared" si="4"/>
        <v>0</v>
      </c>
      <c r="AC363" s="170">
        <f t="shared" si="5"/>
        <v>0</v>
      </c>
      <c r="AD363" s="170">
        <f t="shared" si="6"/>
        <v>0</v>
      </c>
      <c r="AE363" s="170"/>
      <c r="AF363" s="225">
        <f t="shared" si="8"/>
        <v>0</v>
      </c>
    </row>
    <row r="364" ht="12.75" customHeight="1">
      <c r="V364" s="30">
        <f t="shared" si="1"/>
        <v>0</v>
      </c>
      <c r="Y364" s="30"/>
      <c r="Z364" s="224">
        <f t="shared" si="2"/>
        <v>0</v>
      </c>
      <c r="AA364" s="223">
        <f t="shared" si="3"/>
        <v>0</v>
      </c>
      <c r="AB364" s="170">
        <f t="shared" si="4"/>
        <v>0</v>
      </c>
      <c r="AC364" s="170">
        <f t="shared" si="5"/>
        <v>0</v>
      </c>
      <c r="AD364" s="170">
        <f t="shared" si="6"/>
        <v>0</v>
      </c>
      <c r="AE364" s="170"/>
      <c r="AF364" s="225">
        <f t="shared" si="8"/>
        <v>0</v>
      </c>
    </row>
    <row r="365" ht="12.75" customHeight="1">
      <c r="V365" s="30">
        <f t="shared" si="1"/>
        <v>0</v>
      </c>
      <c r="Y365" s="30"/>
      <c r="Z365" s="224">
        <f t="shared" si="2"/>
        <v>0</v>
      </c>
      <c r="AA365" s="223">
        <f t="shared" si="3"/>
        <v>0</v>
      </c>
      <c r="AB365" s="170">
        <f t="shared" si="4"/>
        <v>0</v>
      </c>
      <c r="AC365" s="170">
        <f t="shared" si="5"/>
        <v>0</v>
      </c>
      <c r="AD365" s="170">
        <f t="shared" si="6"/>
        <v>0</v>
      </c>
      <c r="AE365" s="170"/>
      <c r="AF365" s="225">
        <f t="shared" si="8"/>
        <v>0</v>
      </c>
    </row>
    <row r="366" ht="12.75" customHeight="1">
      <c r="V366" s="30">
        <f t="shared" si="1"/>
        <v>0</v>
      </c>
      <c r="Y366" s="30"/>
      <c r="Z366" s="224">
        <f t="shared" si="2"/>
        <v>0</v>
      </c>
      <c r="AA366" s="223">
        <f t="shared" si="3"/>
        <v>0</v>
      </c>
      <c r="AB366" s="170">
        <f t="shared" si="4"/>
        <v>0</v>
      </c>
      <c r="AC366" s="170">
        <f t="shared" si="5"/>
        <v>0</v>
      </c>
      <c r="AD366" s="170">
        <f t="shared" si="6"/>
        <v>0</v>
      </c>
      <c r="AE366" s="170"/>
      <c r="AF366" s="225">
        <f t="shared" si="8"/>
        <v>0</v>
      </c>
    </row>
    <row r="367" ht="12.75" customHeight="1">
      <c r="V367" s="30">
        <f t="shared" si="1"/>
        <v>0</v>
      </c>
      <c r="Y367" s="30"/>
      <c r="Z367" s="224">
        <f t="shared" si="2"/>
        <v>0</v>
      </c>
      <c r="AA367" s="223">
        <f t="shared" si="3"/>
        <v>0</v>
      </c>
      <c r="AB367" s="170">
        <f t="shared" si="4"/>
        <v>0</v>
      </c>
      <c r="AC367" s="170">
        <f t="shared" si="5"/>
        <v>0</v>
      </c>
      <c r="AD367" s="170">
        <f t="shared" si="6"/>
        <v>0</v>
      </c>
      <c r="AE367" s="170"/>
      <c r="AF367" s="225">
        <f t="shared" si="8"/>
        <v>0</v>
      </c>
    </row>
    <row r="368" ht="12.75" customHeight="1">
      <c r="V368" s="30">
        <f t="shared" si="1"/>
        <v>0</v>
      </c>
      <c r="Y368" s="30"/>
      <c r="Z368" s="224">
        <f t="shared" si="2"/>
        <v>0</v>
      </c>
      <c r="AA368" s="223">
        <f t="shared" si="3"/>
        <v>0</v>
      </c>
      <c r="AB368" s="170">
        <f t="shared" si="4"/>
        <v>0</v>
      </c>
      <c r="AC368" s="170">
        <f t="shared" si="5"/>
        <v>0</v>
      </c>
      <c r="AD368" s="170">
        <f t="shared" si="6"/>
        <v>0</v>
      </c>
      <c r="AE368" s="170"/>
      <c r="AF368" s="225">
        <f t="shared" si="8"/>
        <v>0</v>
      </c>
    </row>
    <row r="369" ht="12.75" customHeight="1">
      <c r="V369" s="30">
        <f t="shared" si="1"/>
        <v>0</v>
      </c>
      <c r="Y369" s="30"/>
      <c r="Z369" s="224">
        <f t="shared" si="2"/>
        <v>0</v>
      </c>
      <c r="AA369" s="223">
        <f t="shared" si="3"/>
        <v>0</v>
      </c>
      <c r="AB369" s="170">
        <f t="shared" si="4"/>
        <v>0</v>
      </c>
      <c r="AC369" s="170">
        <f t="shared" si="5"/>
        <v>0</v>
      </c>
      <c r="AD369" s="170">
        <f t="shared" si="6"/>
        <v>0</v>
      </c>
      <c r="AE369" s="170"/>
      <c r="AF369" s="225">
        <f t="shared" si="8"/>
        <v>0</v>
      </c>
    </row>
    <row r="370" ht="12.75" customHeight="1">
      <c r="V370" s="30">
        <f t="shared" si="1"/>
        <v>0</v>
      </c>
      <c r="Y370" s="30"/>
      <c r="Z370" s="224">
        <f t="shared" si="2"/>
        <v>0</v>
      </c>
      <c r="AA370" s="223">
        <f t="shared" si="3"/>
        <v>0</v>
      </c>
      <c r="AB370" s="170">
        <f t="shared" si="4"/>
        <v>0</v>
      </c>
      <c r="AC370" s="170">
        <f t="shared" si="5"/>
        <v>0</v>
      </c>
      <c r="AD370" s="170">
        <f t="shared" si="6"/>
        <v>0</v>
      </c>
      <c r="AE370" s="170"/>
      <c r="AF370" s="225">
        <f t="shared" si="8"/>
        <v>0</v>
      </c>
    </row>
    <row r="371" ht="12.75" customHeight="1">
      <c r="V371" s="30">
        <f t="shared" si="1"/>
        <v>0</v>
      </c>
      <c r="Y371" s="30"/>
      <c r="Z371" s="224">
        <f t="shared" si="2"/>
        <v>0</v>
      </c>
      <c r="AA371" s="223">
        <f t="shared" si="3"/>
        <v>0</v>
      </c>
      <c r="AB371" s="170">
        <f t="shared" si="4"/>
        <v>0</v>
      </c>
      <c r="AC371" s="170">
        <f t="shared" si="5"/>
        <v>0</v>
      </c>
      <c r="AD371" s="170">
        <f t="shared" si="6"/>
        <v>0</v>
      </c>
      <c r="AE371" s="170"/>
      <c r="AF371" s="225">
        <f t="shared" si="8"/>
        <v>0</v>
      </c>
    </row>
    <row r="372" ht="12.75" customHeight="1">
      <c r="V372" s="30">
        <f t="shared" si="1"/>
        <v>0</v>
      </c>
      <c r="Y372" s="30"/>
      <c r="Z372" s="224">
        <f t="shared" si="2"/>
        <v>0</v>
      </c>
      <c r="AA372" s="223">
        <f t="shared" si="3"/>
        <v>0</v>
      </c>
      <c r="AB372" s="170">
        <f t="shared" si="4"/>
        <v>0</v>
      </c>
      <c r="AC372" s="170">
        <f t="shared" si="5"/>
        <v>0</v>
      </c>
      <c r="AD372" s="170">
        <f t="shared" si="6"/>
        <v>0</v>
      </c>
      <c r="AE372" s="170"/>
      <c r="AF372" s="225">
        <f t="shared" si="8"/>
        <v>0</v>
      </c>
    </row>
    <row r="373" ht="12.75" customHeight="1">
      <c r="V373" s="30">
        <f t="shared" si="1"/>
        <v>0</v>
      </c>
      <c r="Y373" s="30"/>
      <c r="Z373" s="224">
        <f t="shared" si="2"/>
        <v>0</v>
      </c>
      <c r="AA373" s="223">
        <f t="shared" si="3"/>
        <v>0</v>
      </c>
      <c r="AB373" s="170">
        <f t="shared" si="4"/>
        <v>0</v>
      </c>
      <c r="AC373" s="170">
        <f t="shared" si="5"/>
        <v>0</v>
      </c>
      <c r="AD373" s="170">
        <f t="shared" si="6"/>
        <v>0</v>
      </c>
      <c r="AE373" s="170"/>
      <c r="AF373" s="225">
        <f t="shared" si="8"/>
        <v>0</v>
      </c>
    </row>
    <row r="374" ht="12.75" customHeight="1">
      <c r="V374" s="30">
        <f t="shared" si="1"/>
        <v>0</v>
      </c>
      <c r="Y374" s="30"/>
      <c r="Z374" s="224">
        <f t="shared" si="2"/>
        <v>0</v>
      </c>
      <c r="AA374" s="223">
        <f t="shared" si="3"/>
        <v>0</v>
      </c>
      <c r="AB374" s="170">
        <f t="shared" si="4"/>
        <v>0</v>
      </c>
      <c r="AC374" s="170">
        <f t="shared" si="5"/>
        <v>0</v>
      </c>
      <c r="AD374" s="170">
        <f t="shared" si="6"/>
        <v>0</v>
      </c>
      <c r="AE374" s="170"/>
      <c r="AF374" s="225">
        <f t="shared" si="8"/>
        <v>0</v>
      </c>
    </row>
    <row r="375" ht="12.75" customHeight="1">
      <c r="V375" s="30">
        <f t="shared" si="1"/>
        <v>0</v>
      </c>
      <c r="Y375" s="30"/>
      <c r="Z375" s="224">
        <f t="shared" si="2"/>
        <v>0</v>
      </c>
      <c r="AA375" s="223">
        <f t="shared" si="3"/>
        <v>0</v>
      </c>
      <c r="AB375" s="170">
        <f t="shared" si="4"/>
        <v>0</v>
      </c>
      <c r="AC375" s="170">
        <f t="shared" si="5"/>
        <v>0</v>
      </c>
      <c r="AD375" s="170">
        <f t="shared" si="6"/>
        <v>0</v>
      </c>
      <c r="AE375" s="170"/>
      <c r="AF375" s="225">
        <f t="shared" si="8"/>
        <v>0</v>
      </c>
    </row>
    <row r="376" ht="12.75" customHeight="1">
      <c r="V376" s="30">
        <f t="shared" si="1"/>
        <v>0</v>
      </c>
      <c r="Y376" s="30"/>
      <c r="Z376" s="224">
        <f t="shared" si="2"/>
        <v>0</v>
      </c>
      <c r="AA376" s="223">
        <f t="shared" si="3"/>
        <v>0</v>
      </c>
      <c r="AB376" s="170">
        <f t="shared" si="4"/>
        <v>0</v>
      </c>
      <c r="AC376" s="170">
        <f t="shared" si="5"/>
        <v>0</v>
      </c>
      <c r="AD376" s="170">
        <f t="shared" si="6"/>
        <v>0</v>
      </c>
      <c r="AE376" s="170"/>
      <c r="AF376" s="225">
        <f t="shared" si="8"/>
        <v>0</v>
      </c>
    </row>
    <row r="377" ht="12.75" customHeight="1">
      <c r="V377" s="30">
        <f t="shared" si="1"/>
        <v>0</v>
      </c>
      <c r="Y377" s="30"/>
      <c r="Z377" s="224">
        <f t="shared" si="2"/>
        <v>0</v>
      </c>
      <c r="AA377" s="223">
        <f t="shared" si="3"/>
        <v>0</v>
      </c>
      <c r="AB377" s="170">
        <f t="shared" si="4"/>
        <v>0</v>
      </c>
      <c r="AC377" s="170">
        <f t="shared" si="5"/>
        <v>0</v>
      </c>
      <c r="AD377" s="170">
        <f t="shared" si="6"/>
        <v>0</v>
      </c>
      <c r="AE377" s="170"/>
      <c r="AF377" s="225">
        <f t="shared" si="8"/>
        <v>0</v>
      </c>
    </row>
    <row r="378" ht="12.75" customHeight="1">
      <c r="V378" s="30">
        <f t="shared" si="1"/>
        <v>0</v>
      </c>
      <c r="Y378" s="30"/>
      <c r="Z378" s="224">
        <f t="shared" si="2"/>
        <v>0</v>
      </c>
      <c r="AA378" s="223">
        <f t="shared" si="3"/>
        <v>0</v>
      </c>
      <c r="AB378" s="170">
        <f t="shared" si="4"/>
        <v>0</v>
      </c>
      <c r="AC378" s="170">
        <f t="shared" si="5"/>
        <v>0</v>
      </c>
      <c r="AD378" s="170">
        <f t="shared" si="6"/>
        <v>0</v>
      </c>
      <c r="AE378" s="170"/>
      <c r="AF378" s="225">
        <f t="shared" si="8"/>
        <v>0</v>
      </c>
    </row>
    <row r="379" ht="12.75" customHeight="1">
      <c r="V379" s="30">
        <f t="shared" si="1"/>
        <v>0</v>
      </c>
      <c r="Y379" s="30"/>
      <c r="Z379" s="224">
        <f t="shared" si="2"/>
        <v>0</v>
      </c>
      <c r="AA379" s="223">
        <f t="shared" si="3"/>
        <v>0</v>
      </c>
      <c r="AB379" s="170">
        <f t="shared" si="4"/>
        <v>0</v>
      </c>
      <c r="AC379" s="170">
        <f t="shared" si="5"/>
        <v>0</v>
      </c>
      <c r="AD379" s="170">
        <f t="shared" si="6"/>
        <v>0</v>
      </c>
      <c r="AE379" s="170"/>
      <c r="AF379" s="225">
        <f t="shared" si="8"/>
        <v>0</v>
      </c>
    </row>
    <row r="380" ht="12.75" customHeight="1">
      <c r="V380" s="30">
        <f t="shared" si="1"/>
        <v>0</v>
      </c>
      <c r="Y380" s="30"/>
      <c r="Z380" s="224">
        <f t="shared" si="2"/>
        <v>0</v>
      </c>
      <c r="AA380" s="223">
        <f t="shared" si="3"/>
        <v>0</v>
      </c>
      <c r="AB380" s="170">
        <f t="shared" si="4"/>
        <v>0</v>
      </c>
      <c r="AC380" s="170">
        <f t="shared" si="5"/>
        <v>0</v>
      </c>
      <c r="AD380" s="170">
        <f t="shared" si="6"/>
        <v>0</v>
      </c>
      <c r="AE380" s="170"/>
      <c r="AF380" s="225">
        <f t="shared" si="8"/>
        <v>0</v>
      </c>
    </row>
    <row r="381" ht="12.75" customHeight="1">
      <c r="V381" s="30">
        <f t="shared" si="1"/>
        <v>0</v>
      </c>
      <c r="Y381" s="30"/>
      <c r="Z381" s="224">
        <f t="shared" si="2"/>
        <v>0</v>
      </c>
      <c r="AA381" s="223">
        <f t="shared" si="3"/>
        <v>0</v>
      </c>
      <c r="AB381" s="170">
        <f t="shared" si="4"/>
        <v>0</v>
      </c>
      <c r="AC381" s="170">
        <f t="shared" si="5"/>
        <v>0</v>
      </c>
      <c r="AD381" s="170">
        <f t="shared" si="6"/>
        <v>0</v>
      </c>
      <c r="AE381" s="170"/>
      <c r="AF381" s="225">
        <f t="shared" si="8"/>
        <v>0</v>
      </c>
    </row>
    <row r="382" ht="12.75" customHeight="1">
      <c r="V382" s="30">
        <f t="shared" si="1"/>
        <v>0</v>
      </c>
      <c r="Y382" s="30"/>
      <c r="Z382" s="224">
        <f t="shared" si="2"/>
        <v>0</v>
      </c>
      <c r="AA382" s="223">
        <f t="shared" si="3"/>
        <v>0</v>
      </c>
      <c r="AB382" s="170">
        <f t="shared" si="4"/>
        <v>0</v>
      </c>
      <c r="AC382" s="170">
        <f t="shared" si="5"/>
        <v>0</v>
      </c>
      <c r="AD382" s="170">
        <f t="shared" si="6"/>
        <v>0</v>
      </c>
      <c r="AE382" s="170"/>
      <c r="AF382" s="225">
        <f t="shared" si="8"/>
        <v>0</v>
      </c>
    </row>
    <row r="383" ht="12.75" customHeight="1">
      <c r="V383" s="30">
        <f t="shared" si="1"/>
        <v>0</v>
      </c>
      <c r="Y383" s="30"/>
      <c r="Z383" s="224">
        <f t="shared" si="2"/>
        <v>0</v>
      </c>
      <c r="AA383" s="223">
        <f t="shared" si="3"/>
        <v>0</v>
      </c>
      <c r="AB383" s="170">
        <f t="shared" si="4"/>
        <v>0</v>
      </c>
      <c r="AC383" s="170">
        <f t="shared" si="5"/>
        <v>0</v>
      </c>
      <c r="AD383" s="170">
        <f t="shared" si="6"/>
        <v>0</v>
      </c>
      <c r="AE383" s="170"/>
      <c r="AF383" s="225">
        <f t="shared" si="8"/>
        <v>0</v>
      </c>
    </row>
    <row r="384" ht="12.75" customHeight="1">
      <c r="V384" s="30">
        <f t="shared" si="1"/>
        <v>0</v>
      </c>
      <c r="Y384" s="30"/>
      <c r="Z384" s="224">
        <f t="shared" si="2"/>
        <v>0</v>
      </c>
      <c r="AA384" s="223">
        <f t="shared" si="3"/>
        <v>0</v>
      </c>
      <c r="AB384" s="170">
        <f t="shared" si="4"/>
        <v>0</v>
      </c>
      <c r="AC384" s="170">
        <f t="shared" si="5"/>
        <v>0</v>
      </c>
      <c r="AD384" s="170">
        <f t="shared" si="6"/>
        <v>0</v>
      </c>
      <c r="AE384" s="170"/>
      <c r="AF384" s="225">
        <f t="shared" si="8"/>
        <v>0</v>
      </c>
    </row>
    <row r="385" ht="12.75" customHeight="1">
      <c r="V385" s="30">
        <f t="shared" si="1"/>
        <v>0</v>
      </c>
      <c r="Y385" s="30"/>
      <c r="Z385" s="224">
        <f t="shared" si="2"/>
        <v>0</v>
      </c>
      <c r="AA385" s="223">
        <f t="shared" si="3"/>
        <v>0</v>
      </c>
      <c r="AB385" s="170">
        <f t="shared" si="4"/>
        <v>0</v>
      </c>
      <c r="AC385" s="170">
        <f t="shared" si="5"/>
        <v>0</v>
      </c>
      <c r="AD385" s="170">
        <f t="shared" si="6"/>
        <v>0</v>
      </c>
      <c r="AE385" s="170"/>
      <c r="AF385" s="225">
        <f t="shared" si="8"/>
        <v>0</v>
      </c>
    </row>
    <row r="386" ht="12.75" customHeight="1">
      <c r="V386" s="30">
        <f t="shared" si="1"/>
        <v>0</v>
      </c>
      <c r="Y386" s="30"/>
      <c r="Z386" s="224">
        <f t="shared" si="2"/>
        <v>0</v>
      </c>
      <c r="AA386" s="223">
        <f t="shared" si="3"/>
        <v>0</v>
      </c>
      <c r="AB386" s="170">
        <f t="shared" si="4"/>
        <v>0</v>
      </c>
      <c r="AC386" s="170">
        <f t="shared" si="5"/>
        <v>0</v>
      </c>
      <c r="AD386" s="170">
        <f t="shared" si="6"/>
        <v>0</v>
      </c>
      <c r="AE386" s="170"/>
      <c r="AF386" s="225">
        <f t="shared" si="8"/>
        <v>0</v>
      </c>
    </row>
    <row r="387" ht="12.75" customHeight="1">
      <c r="V387" s="30">
        <f t="shared" si="1"/>
        <v>0</v>
      </c>
      <c r="Y387" s="30"/>
      <c r="Z387" s="224">
        <f t="shared" si="2"/>
        <v>0</v>
      </c>
      <c r="AA387" s="223">
        <f t="shared" si="3"/>
        <v>0</v>
      </c>
      <c r="AB387" s="170">
        <f t="shared" si="4"/>
        <v>0</v>
      </c>
      <c r="AC387" s="170">
        <f t="shared" si="5"/>
        <v>0</v>
      </c>
      <c r="AD387" s="170">
        <f t="shared" si="6"/>
        <v>0</v>
      </c>
      <c r="AE387" s="170"/>
      <c r="AF387" s="225">
        <f t="shared" si="8"/>
        <v>0</v>
      </c>
    </row>
    <row r="388" ht="12.75" customHeight="1">
      <c r="V388" s="30">
        <f t="shared" si="1"/>
        <v>0</v>
      </c>
      <c r="Y388" s="30"/>
      <c r="Z388" s="224">
        <f t="shared" si="2"/>
        <v>0</v>
      </c>
      <c r="AA388" s="223">
        <f t="shared" si="3"/>
        <v>0</v>
      </c>
      <c r="AB388" s="170">
        <f t="shared" si="4"/>
        <v>0</v>
      </c>
      <c r="AC388" s="170">
        <f t="shared" si="5"/>
        <v>0</v>
      </c>
      <c r="AD388" s="170">
        <f t="shared" si="6"/>
        <v>0</v>
      </c>
      <c r="AE388" s="170"/>
      <c r="AF388" s="225">
        <f t="shared" si="8"/>
        <v>0</v>
      </c>
    </row>
    <row r="389" ht="12.75" customHeight="1">
      <c r="V389" s="30">
        <f t="shared" si="1"/>
        <v>0</v>
      </c>
      <c r="Y389" s="30"/>
      <c r="Z389" s="224">
        <f t="shared" si="2"/>
        <v>0</v>
      </c>
      <c r="AA389" s="223">
        <f t="shared" si="3"/>
        <v>0</v>
      </c>
      <c r="AB389" s="170">
        <f t="shared" si="4"/>
        <v>0</v>
      </c>
      <c r="AC389" s="170">
        <f t="shared" si="5"/>
        <v>0</v>
      </c>
      <c r="AD389" s="170">
        <f t="shared" si="6"/>
        <v>0</v>
      </c>
      <c r="AE389" s="170"/>
      <c r="AF389" s="225">
        <f t="shared" si="8"/>
        <v>0</v>
      </c>
    </row>
    <row r="390" ht="12.75" customHeight="1">
      <c r="V390" s="30">
        <f t="shared" si="1"/>
        <v>0</v>
      </c>
      <c r="Y390" s="30"/>
      <c r="Z390" s="224">
        <f t="shared" si="2"/>
        <v>0</v>
      </c>
      <c r="AA390" s="223">
        <f t="shared" si="3"/>
        <v>0</v>
      </c>
      <c r="AB390" s="170">
        <f t="shared" si="4"/>
        <v>0</v>
      </c>
      <c r="AC390" s="170">
        <f t="shared" si="5"/>
        <v>0</v>
      </c>
      <c r="AD390" s="170">
        <f t="shared" si="6"/>
        <v>0</v>
      </c>
      <c r="AE390" s="170"/>
      <c r="AF390" s="225">
        <f t="shared" si="8"/>
        <v>0</v>
      </c>
    </row>
    <row r="391" ht="12.75" customHeight="1">
      <c r="V391" s="30">
        <f t="shared" si="1"/>
        <v>0</v>
      </c>
      <c r="Y391" s="30"/>
      <c r="Z391" s="224">
        <f t="shared" si="2"/>
        <v>0</v>
      </c>
      <c r="AA391" s="223">
        <f t="shared" si="3"/>
        <v>0</v>
      </c>
      <c r="AB391" s="170">
        <f t="shared" si="4"/>
        <v>0</v>
      </c>
      <c r="AC391" s="170">
        <f t="shared" si="5"/>
        <v>0</v>
      </c>
      <c r="AD391" s="170">
        <f t="shared" si="6"/>
        <v>0</v>
      </c>
      <c r="AE391" s="170"/>
      <c r="AF391" s="225">
        <f t="shared" si="8"/>
        <v>0</v>
      </c>
    </row>
    <row r="392" ht="12.75" customHeight="1">
      <c r="V392" s="30">
        <f t="shared" si="1"/>
        <v>0</v>
      </c>
      <c r="Y392" s="30"/>
      <c r="Z392" s="224">
        <f t="shared" si="2"/>
        <v>0</v>
      </c>
      <c r="AA392" s="223">
        <f t="shared" si="3"/>
        <v>0</v>
      </c>
      <c r="AB392" s="170">
        <f t="shared" si="4"/>
        <v>0</v>
      </c>
      <c r="AC392" s="170">
        <f t="shared" si="5"/>
        <v>0</v>
      </c>
      <c r="AD392" s="170">
        <f t="shared" si="6"/>
        <v>0</v>
      </c>
      <c r="AE392" s="170"/>
      <c r="AF392" s="225">
        <f t="shared" si="8"/>
        <v>0</v>
      </c>
    </row>
    <row r="393" ht="12.75" customHeight="1">
      <c r="V393" s="30">
        <f t="shared" si="1"/>
        <v>0</v>
      </c>
      <c r="Y393" s="30"/>
      <c r="Z393" s="224">
        <f t="shared" si="2"/>
        <v>0</v>
      </c>
      <c r="AA393" s="223">
        <f t="shared" si="3"/>
        <v>0</v>
      </c>
      <c r="AB393" s="170">
        <f t="shared" si="4"/>
        <v>0</v>
      </c>
      <c r="AC393" s="170">
        <f t="shared" si="5"/>
        <v>0</v>
      </c>
      <c r="AD393" s="170">
        <f t="shared" si="6"/>
        <v>0</v>
      </c>
      <c r="AE393" s="170"/>
      <c r="AF393" s="225">
        <f t="shared" si="8"/>
        <v>0</v>
      </c>
    </row>
    <row r="394" ht="12.75" customHeight="1">
      <c r="V394" s="30">
        <f t="shared" si="1"/>
        <v>0</v>
      </c>
      <c r="Y394" s="30"/>
      <c r="Z394" s="224">
        <f t="shared" si="2"/>
        <v>0</v>
      </c>
      <c r="AA394" s="223">
        <f t="shared" si="3"/>
        <v>0</v>
      </c>
      <c r="AB394" s="170">
        <f t="shared" si="4"/>
        <v>0</v>
      </c>
      <c r="AC394" s="170">
        <f t="shared" si="5"/>
        <v>0</v>
      </c>
      <c r="AD394" s="170">
        <f t="shared" si="6"/>
        <v>0</v>
      </c>
      <c r="AE394" s="170"/>
      <c r="AF394" s="225">
        <f t="shared" si="8"/>
        <v>0</v>
      </c>
    </row>
    <row r="395" ht="12.75" customHeight="1">
      <c r="V395" s="30">
        <f t="shared" si="1"/>
        <v>0</v>
      </c>
      <c r="Y395" s="30"/>
      <c r="Z395" s="224">
        <f t="shared" si="2"/>
        <v>0</v>
      </c>
      <c r="AA395" s="223">
        <f t="shared" si="3"/>
        <v>0</v>
      </c>
      <c r="AB395" s="170">
        <f t="shared" si="4"/>
        <v>0</v>
      </c>
      <c r="AC395" s="170">
        <f t="shared" si="5"/>
        <v>0</v>
      </c>
      <c r="AD395" s="170">
        <f t="shared" si="6"/>
        <v>0</v>
      </c>
      <c r="AE395" s="170"/>
      <c r="AF395" s="225">
        <f t="shared" si="8"/>
        <v>0</v>
      </c>
    </row>
    <row r="396" ht="12.75" customHeight="1">
      <c r="V396" s="30">
        <f t="shared" si="1"/>
        <v>0</v>
      </c>
      <c r="Y396" s="30"/>
      <c r="Z396" s="224">
        <f t="shared" si="2"/>
        <v>0</v>
      </c>
      <c r="AA396" s="223">
        <f t="shared" si="3"/>
        <v>0</v>
      </c>
      <c r="AB396" s="170">
        <f t="shared" si="4"/>
        <v>0</v>
      </c>
      <c r="AC396" s="170">
        <f t="shared" si="5"/>
        <v>0</v>
      </c>
      <c r="AD396" s="170">
        <f t="shared" si="6"/>
        <v>0</v>
      </c>
      <c r="AE396" s="170"/>
      <c r="AF396" s="225">
        <f t="shared" si="8"/>
        <v>0</v>
      </c>
    </row>
    <row r="397" ht="12.75" customHeight="1">
      <c r="V397" s="30">
        <f t="shared" si="1"/>
        <v>0</v>
      </c>
      <c r="Y397" s="30"/>
      <c r="Z397" s="224">
        <f t="shared" si="2"/>
        <v>0</v>
      </c>
      <c r="AA397" s="223">
        <f t="shared" si="3"/>
        <v>0</v>
      </c>
      <c r="AB397" s="170">
        <f t="shared" si="4"/>
        <v>0</v>
      </c>
      <c r="AC397" s="170">
        <f t="shared" si="5"/>
        <v>0</v>
      </c>
      <c r="AD397" s="170">
        <f t="shared" si="6"/>
        <v>0</v>
      </c>
      <c r="AE397" s="170"/>
      <c r="AF397" s="225">
        <f t="shared" si="8"/>
        <v>0</v>
      </c>
    </row>
    <row r="398" ht="12.75" customHeight="1">
      <c r="V398" s="30">
        <f t="shared" si="1"/>
        <v>0</v>
      </c>
      <c r="Y398" s="30"/>
      <c r="Z398" s="224">
        <f t="shared" si="2"/>
        <v>0</v>
      </c>
      <c r="AA398" s="223">
        <f t="shared" si="3"/>
        <v>0</v>
      </c>
      <c r="AB398" s="170">
        <f t="shared" si="4"/>
        <v>0</v>
      </c>
      <c r="AC398" s="170">
        <f t="shared" si="5"/>
        <v>0</v>
      </c>
      <c r="AD398" s="170">
        <f t="shared" si="6"/>
        <v>0</v>
      </c>
      <c r="AE398" s="170"/>
      <c r="AF398" s="225">
        <f t="shared" si="8"/>
        <v>0</v>
      </c>
    </row>
    <row r="399" ht="12.75" customHeight="1">
      <c r="V399" s="30">
        <f t="shared" si="1"/>
        <v>0</v>
      </c>
      <c r="Y399" s="30"/>
      <c r="Z399" s="224">
        <f t="shared" si="2"/>
        <v>0</v>
      </c>
      <c r="AA399" s="223">
        <f t="shared" si="3"/>
        <v>0</v>
      </c>
      <c r="AB399" s="170">
        <f t="shared" si="4"/>
        <v>0</v>
      </c>
      <c r="AC399" s="170">
        <f t="shared" si="5"/>
        <v>0</v>
      </c>
      <c r="AD399" s="170">
        <f t="shared" si="6"/>
        <v>0</v>
      </c>
      <c r="AE399" s="170"/>
      <c r="AF399" s="225">
        <f t="shared" si="8"/>
        <v>0</v>
      </c>
    </row>
    <row r="400" ht="12.75" customHeight="1">
      <c r="V400" s="30">
        <f t="shared" si="1"/>
        <v>0</v>
      </c>
      <c r="Y400" s="30"/>
      <c r="Z400" s="224">
        <f t="shared" si="2"/>
        <v>0</v>
      </c>
      <c r="AA400" s="223">
        <f t="shared" si="3"/>
        <v>0</v>
      </c>
      <c r="AB400" s="170">
        <f t="shared" si="4"/>
        <v>0</v>
      </c>
      <c r="AC400" s="170">
        <f t="shared" si="5"/>
        <v>0</v>
      </c>
      <c r="AD400" s="170">
        <f t="shared" si="6"/>
        <v>0</v>
      </c>
      <c r="AE400" s="170"/>
      <c r="AF400" s="225">
        <f t="shared" si="8"/>
        <v>0</v>
      </c>
    </row>
    <row r="401" ht="12.75" customHeight="1">
      <c r="V401" s="30">
        <f t="shared" si="1"/>
        <v>0</v>
      </c>
      <c r="Y401" s="30"/>
      <c r="Z401" s="224">
        <f t="shared" si="2"/>
        <v>0</v>
      </c>
      <c r="AA401" s="223">
        <f t="shared" si="3"/>
        <v>0</v>
      </c>
      <c r="AB401" s="170">
        <f t="shared" si="4"/>
        <v>0</v>
      </c>
      <c r="AC401" s="170">
        <f t="shared" si="5"/>
        <v>0</v>
      </c>
      <c r="AD401" s="170">
        <f t="shared" si="6"/>
        <v>0</v>
      </c>
      <c r="AE401" s="170"/>
      <c r="AF401" s="225">
        <f t="shared" si="8"/>
        <v>0</v>
      </c>
    </row>
    <row r="402" ht="12.75" customHeight="1">
      <c r="V402" s="30">
        <f t="shared" si="1"/>
        <v>0</v>
      </c>
      <c r="Y402" s="30"/>
      <c r="Z402" s="224">
        <f t="shared" si="2"/>
        <v>0</v>
      </c>
      <c r="AA402" s="223">
        <f t="shared" si="3"/>
        <v>0</v>
      </c>
      <c r="AB402" s="170">
        <f t="shared" si="4"/>
        <v>0</v>
      </c>
      <c r="AC402" s="170">
        <f t="shared" si="5"/>
        <v>0</v>
      </c>
      <c r="AD402" s="170">
        <f t="shared" si="6"/>
        <v>0</v>
      </c>
      <c r="AE402" s="170"/>
      <c r="AF402" s="225">
        <f t="shared" si="8"/>
        <v>0</v>
      </c>
    </row>
    <row r="403" ht="12.75" customHeight="1">
      <c r="V403" s="30">
        <f t="shared" si="1"/>
        <v>0</v>
      </c>
      <c r="Y403" s="30"/>
      <c r="Z403" s="224">
        <f t="shared" si="2"/>
        <v>0</v>
      </c>
      <c r="AA403" s="223">
        <f t="shared" si="3"/>
        <v>0</v>
      </c>
      <c r="AB403" s="170">
        <f t="shared" si="4"/>
        <v>0</v>
      </c>
      <c r="AC403" s="170">
        <f t="shared" si="5"/>
        <v>0</v>
      </c>
      <c r="AD403" s="170">
        <f t="shared" si="6"/>
        <v>0</v>
      </c>
      <c r="AE403" s="170"/>
      <c r="AF403" s="225">
        <f t="shared" si="8"/>
        <v>0</v>
      </c>
    </row>
    <row r="404" ht="12.75" customHeight="1">
      <c r="V404" s="30">
        <f t="shared" si="1"/>
        <v>0</v>
      </c>
      <c r="Y404" s="30"/>
      <c r="Z404" s="224">
        <f t="shared" si="2"/>
        <v>0</v>
      </c>
      <c r="AA404" s="223">
        <f t="shared" si="3"/>
        <v>0</v>
      </c>
      <c r="AB404" s="170">
        <f t="shared" si="4"/>
        <v>0</v>
      </c>
      <c r="AC404" s="170">
        <f t="shared" si="5"/>
        <v>0</v>
      </c>
      <c r="AD404" s="170">
        <f t="shared" si="6"/>
        <v>0</v>
      </c>
      <c r="AE404" s="170"/>
      <c r="AF404" s="225">
        <f t="shared" si="8"/>
        <v>0</v>
      </c>
    </row>
    <row r="405" ht="12.75" customHeight="1">
      <c r="V405" s="30">
        <f t="shared" si="1"/>
        <v>0</v>
      </c>
      <c r="Y405" s="30"/>
      <c r="Z405" s="224">
        <f t="shared" si="2"/>
        <v>0</v>
      </c>
      <c r="AA405" s="223">
        <f t="shared" si="3"/>
        <v>0</v>
      </c>
      <c r="AB405" s="170">
        <f t="shared" si="4"/>
        <v>0</v>
      </c>
      <c r="AC405" s="170">
        <f t="shared" si="5"/>
        <v>0</v>
      </c>
      <c r="AD405" s="170">
        <f t="shared" si="6"/>
        <v>0</v>
      </c>
      <c r="AE405" s="170"/>
      <c r="AF405" s="225">
        <f t="shared" si="8"/>
        <v>0</v>
      </c>
    </row>
    <row r="406" ht="12.75" customHeight="1">
      <c r="V406" s="30">
        <f t="shared" si="1"/>
        <v>0</v>
      </c>
      <c r="Y406" s="30"/>
      <c r="Z406" s="224">
        <f t="shared" si="2"/>
        <v>0</v>
      </c>
      <c r="AA406" s="223">
        <f t="shared" si="3"/>
        <v>0</v>
      </c>
      <c r="AB406" s="170">
        <f t="shared" si="4"/>
        <v>0</v>
      </c>
      <c r="AC406" s="170">
        <f t="shared" si="5"/>
        <v>0</v>
      </c>
      <c r="AD406" s="170">
        <f t="shared" si="6"/>
        <v>0</v>
      </c>
      <c r="AE406" s="170"/>
      <c r="AF406" s="225">
        <f t="shared" si="8"/>
        <v>0</v>
      </c>
    </row>
    <row r="407" ht="12.75" customHeight="1">
      <c r="V407" s="30">
        <f t="shared" si="1"/>
        <v>0</v>
      </c>
      <c r="Y407" s="30"/>
      <c r="Z407" s="224">
        <f t="shared" si="2"/>
        <v>0</v>
      </c>
      <c r="AA407" s="223">
        <f t="shared" si="3"/>
        <v>0</v>
      </c>
      <c r="AB407" s="170">
        <f t="shared" si="4"/>
        <v>0</v>
      </c>
      <c r="AC407" s="170">
        <f t="shared" si="5"/>
        <v>0</v>
      </c>
      <c r="AD407" s="170">
        <f t="shared" si="6"/>
        <v>0</v>
      </c>
      <c r="AE407" s="170"/>
      <c r="AF407" s="225">
        <f t="shared" si="8"/>
        <v>0</v>
      </c>
    </row>
    <row r="408" ht="12.75" customHeight="1">
      <c r="V408" s="30">
        <f t="shared" si="1"/>
        <v>0</v>
      </c>
      <c r="Y408" s="30"/>
      <c r="Z408" s="224">
        <f t="shared" si="2"/>
        <v>0</v>
      </c>
      <c r="AA408" s="223">
        <f t="shared" si="3"/>
        <v>0</v>
      </c>
      <c r="AB408" s="170">
        <f t="shared" si="4"/>
        <v>0</v>
      </c>
      <c r="AC408" s="170">
        <f t="shared" si="5"/>
        <v>0</v>
      </c>
      <c r="AD408" s="170">
        <f t="shared" si="6"/>
        <v>0</v>
      </c>
      <c r="AE408" s="170"/>
      <c r="AF408" s="225">
        <f t="shared" si="8"/>
        <v>0</v>
      </c>
    </row>
    <row r="409" ht="12.75" customHeight="1">
      <c r="V409" s="30">
        <f t="shared" si="1"/>
        <v>0</v>
      </c>
      <c r="Y409" s="30"/>
      <c r="Z409" s="224">
        <f t="shared" si="2"/>
        <v>0</v>
      </c>
      <c r="AA409" s="223">
        <f t="shared" si="3"/>
        <v>0</v>
      </c>
      <c r="AB409" s="170">
        <f t="shared" si="4"/>
        <v>0</v>
      </c>
      <c r="AC409" s="170">
        <f t="shared" si="5"/>
        <v>0</v>
      </c>
      <c r="AD409" s="170">
        <f t="shared" si="6"/>
        <v>0</v>
      </c>
      <c r="AE409" s="170"/>
      <c r="AF409" s="225">
        <f t="shared" si="8"/>
        <v>0</v>
      </c>
    </row>
    <row r="410" ht="12.75" customHeight="1">
      <c r="V410" s="30">
        <f t="shared" si="1"/>
        <v>0</v>
      </c>
      <c r="Y410" s="30"/>
      <c r="Z410" s="224">
        <f t="shared" si="2"/>
        <v>0</v>
      </c>
      <c r="AA410" s="223">
        <f t="shared" si="3"/>
        <v>0</v>
      </c>
      <c r="AB410" s="170">
        <f t="shared" si="4"/>
        <v>0</v>
      </c>
      <c r="AC410" s="170">
        <f t="shared" si="5"/>
        <v>0</v>
      </c>
      <c r="AD410" s="170">
        <f t="shared" si="6"/>
        <v>0</v>
      </c>
      <c r="AE410" s="170"/>
      <c r="AF410" s="225">
        <f t="shared" si="8"/>
        <v>0</v>
      </c>
    </row>
    <row r="411" ht="12.75" customHeight="1">
      <c r="V411" s="30">
        <f t="shared" si="1"/>
        <v>0</v>
      </c>
      <c r="Y411" s="30"/>
      <c r="Z411" s="224">
        <f t="shared" si="2"/>
        <v>0</v>
      </c>
      <c r="AA411" s="223">
        <f t="shared" si="3"/>
        <v>0</v>
      </c>
      <c r="AB411" s="170">
        <f t="shared" si="4"/>
        <v>0</v>
      </c>
      <c r="AC411" s="170">
        <f t="shared" si="5"/>
        <v>0</v>
      </c>
      <c r="AD411" s="170">
        <f t="shared" si="6"/>
        <v>0</v>
      </c>
      <c r="AE411" s="170"/>
      <c r="AF411" s="225">
        <f t="shared" si="8"/>
        <v>0</v>
      </c>
    </row>
    <row r="412" ht="12.75" customHeight="1">
      <c r="V412" s="30">
        <f t="shared" si="1"/>
        <v>0</v>
      </c>
      <c r="Y412" s="30"/>
      <c r="Z412" s="224">
        <f t="shared" si="2"/>
        <v>0</v>
      </c>
      <c r="AA412" s="223">
        <f t="shared" si="3"/>
        <v>0</v>
      </c>
      <c r="AB412" s="170">
        <f t="shared" si="4"/>
        <v>0</v>
      </c>
      <c r="AC412" s="170">
        <f t="shared" si="5"/>
        <v>0</v>
      </c>
      <c r="AD412" s="170">
        <f t="shared" si="6"/>
        <v>0</v>
      </c>
      <c r="AE412" s="170"/>
      <c r="AF412" s="225">
        <f t="shared" si="8"/>
        <v>0</v>
      </c>
    </row>
    <row r="413" ht="12.75" customHeight="1">
      <c r="V413" s="30">
        <f t="shared" si="1"/>
        <v>0</v>
      </c>
      <c r="Y413" s="30"/>
      <c r="Z413" s="224">
        <f t="shared" si="2"/>
        <v>0</v>
      </c>
      <c r="AA413" s="223">
        <f t="shared" si="3"/>
        <v>0</v>
      </c>
      <c r="AB413" s="170">
        <f t="shared" si="4"/>
        <v>0</v>
      </c>
      <c r="AC413" s="170">
        <f t="shared" si="5"/>
        <v>0</v>
      </c>
      <c r="AD413" s="170">
        <f t="shared" si="6"/>
        <v>0</v>
      </c>
      <c r="AE413" s="170"/>
      <c r="AF413" s="225">
        <f t="shared" si="8"/>
        <v>0</v>
      </c>
    </row>
    <row r="414" ht="12.75" customHeight="1">
      <c r="V414" s="30">
        <f t="shared" si="1"/>
        <v>0</v>
      </c>
      <c r="Y414" s="30"/>
      <c r="Z414" s="224">
        <f t="shared" si="2"/>
        <v>0</v>
      </c>
      <c r="AA414" s="223">
        <f t="shared" si="3"/>
        <v>0</v>
      </c>
      <c r="AB414" s="170">
        <f t="shared" si="4"/>
        <v>0</v>
      </c>
      <c r="AC414" s="170">
        <f t="shared" si="5"/>
        <v>0</v>
      </c>
      <c r="AD414" s="170">
        <f t="shared" si="6"/>
        <v>0</v>
      </c>
      <c r="AE414" s="170"/>
      <c r="AF414" s="225">
        <f t="shared" si="8"/>
        <v>0</v>
      </c>
    </row>
    <row r="415" ht="12.75" customHeight="1">
      <c r="V415" s="30">
        <f t="shared" si="1"/>
        <v>0</v>
      </c>
      <c r="Y415" s="30"/>
      <c r="Z415" s="224">
        <f t="shared" si="2"/>
        <v>0</v>
      </c>
      <c r="AA415" s="223">
        <f t="shared" si="3"/>
        <v>0</v>
      </c>
      <c r="AB415" s="170">
        <f t="shared" si="4"/>
        <v>0</v>
      </c>
      <c r="AC415" s="170">
        <f t="shared" si="5"/>
        <v>0</v>
      </c>
      <c r="AD415" s="170">
        <f t="shared" si="6"/>
        <v>0</v>
      </c>
      <c r="AE415" s="170"/>
      <c r="AF415" s="225">
        <f t="shared" si="8"/>
        <v>0</v>
      </c>
    </row>
    <row r="416" ht="12.75" customHeight="1">
      <c r="V416" s="30">
        <f t="shared" si="1"/>
        <v>0</v>
      </c>
      <c r="Y416" s="30"/>
      <c r="Z416" s="224">
        <f t="shared" si="2"/>
        <v>0</v>
      </c>
      <c r="AA416" s="223">
        <f t="shared" si="3"/>
        <v>0</v>
      </c>
      <c r="AB416" s="170">
        <f t="shared" si="4"/>
        <v>0</v>
      </c>
      <c r="AC416" s="170">
        <f t="shared" si="5"/>
        <v>0</v>
      </c>
      <c r="AD416" s="170">
        <f t="shared" si="6"/>
        <v>0</v>
      </c>
      <c r="AE416" s="170"/>
      <c r="AF416" s="225">
        <f t="shared" si="8"/>
        <v>0</v>
      </c>
    </row>
    <row r="417" ht="12.75" customHeight="1">
      <c r="V417" s="30">
        <f t="shared" si="1"/>
        <v>0</v>
      </c>
      <c r="Y417" s="30"/>
      <c r="Z417" s="224">
        <f t="shared" si="2"/>
        <v>0</v>
      </c>
      <c r="AA417" s="223">
        <f t="shared" si="3"/>
        <v>0</v>
      </c>
      <c r="AB417" s="170">
        <f t="shared" si="4"/>
        <v>0</v>
      </c>
      <c r="AC417" s="170">
        <f t="shared" si="5"/>
        <v>0</v>
      </c>
      <c r="AD417" s="170">
        <f t="shared" si="6"/>
        <v>0</v>
      </c>
      <c r="AE417" s="170"/>
      <c r="AF417" s="225">
        <f t="shared" si="8"/>
        <v>0</v>
      </c>
    </row>
    <row r="418" ht="12.75" customHeight="1">
      <c r="V418" s="30">
        <f t="shared" si="1"/>
        <v>0</v>
      </c>
      <c r="Y418" s="30"/>
      <c r="Z418" s="224">
        <f t="shared" si="2"/>
        <v>0</v>
      </c>
      <c r="AA418" s="223">
        <f t="shared" si="3"/>
        <v>0</v>
      </c>
      <c r="AB418" s="170">
        <f t="shared" si="4"/>
        <v>0</v>
      </c>
      <c r="AC418" s="170">
        <f t="shared" si="5"/>
        <v>0</v>
      </c>
      <c r="AD418" s="170">
        <f t="shared" si="6"/>
        <v>0</v>
      </c>
      <c r="AE418" s="170"/>
      <c r="AF418" s="225">
        <f t="shared" si="8"/>
        <v>0</v>
      </c>
    </row>
    <row r="419" ht="12.75" customHeight="1">
      <c r="V419" s="30">
        <f t="shared" si="1"/>
        <v>0</v>
      </c>
      <c r="Y419" s="30"/>
      <c r="Z419" s="224">
        <f t="shared" si="2"/>
        <v>0</v>
      </c>
      <c r="AA419" s="223">
        <f t="shared" si="3"/>
        <v>0</v>
      </c>
      <c r="AB419" s="170">
        <f t="shared" si="4"/>
        <v>0</v>
      </c>
      <c r="AC419" s="170">
        <f t="shared" si="5"/>
        <v>0</v>
      </c>
      <c r="AD419" s="170">
        <f t="shared" si="6"/>
        <v>0</v>
      </c>
      <c r="AE419" s="170"/>
      <c r="AF419" s="225">
        <f t="shared" si="8"/>
        <v>0</v>
      </c>
    </row>
    <row r="420" ht="12.75" customHeight="1">
      <c r="V420" s="30">
        <f t="shared" si="1"/>
        <v>0</v>
      </c>
      <c r="Y420" s="30"/>
      <c r="Z420" s="224">
        <f t="shared" si="2"/>
        <v>0</v>
      </c>
      <c r="AA420" s="223">
        <f t="shared" si="3"/>
        <v>0</v>
      </c>
      <c r="AB420" s="170">
        <f t="shared" si="4"/>
        <v>0</v>
      </c>
      <c r="AC420" s="170">
        <f t="shared" si="5"/>
        <v>0</v>
      </c>
      <c r="AD420" s="170">
        <f t="shared" si="6"/>
        <v>0</v>
      </c>
      <c r="AE420" s="170"/>
      <c r="AF420" s="225">
        <f t="shared" si="8"/>
        <v>0</v>
      </c>
    </row>
    <row r="421" ht="12.75" customHeight="1">
      <c r="V421" s="30">
        <f t="shared" si="1"/>
        <v>0</v>
      </c>
      <c r="Y421" s="30"/>
      <c r="Z421" s="224">
        <f t="shared" si="2"/>
        <v>0</v>
      </c>
      <c r="AA421" s="223">
        <f t="shared" si="3"/>
        <v>0</v>
      </c>
      <c r="AB421" s="170">
        <f t="shared" si="4"/>
        <v>0</v>
      </c>
      <c r="AC421" s="170">
        <f t="shared" si="5"/>
        <v>0</v>
      </c>
      <c r="AD421" s="170">
        <f t="shared" si="6"/>
        <v>0</v>
      </c>
      <c r="AE421" s="170"/>
      <c r="AF421" s="225">
        <f t="shared" si="8"/>
        <v>0</v>
      </c>
    </row>
    <row r="422" ht="12.75" customHeight="1">
      <c r="V422" s="30">
        <f t="shared" si="1"/>
        <v>0</v>
      </c>
      <c r="Y422" s="30"/>
      <c r="Z422" s="224">
        <f t="shared" si="2"/>
        <v>0</v>
      </c>
      <c r="AA422" s="223">
        <f t="shared" si="3"/>
        <v>0</v>
      </c>
      <c r="AB422" s="170">
        <f t="shared" si="4"/>
        <v>0</v>
      </c>
      <c r="AC422" s="170">
        <f t="shared" si="5"/>
        <v>0</v>
      </c>
      <c r="AD422" s="170">
        <f t="shared" si="6"/>
        <v>0</v>
      </c>
      <c r="AE422" s="170"/>
      <c r="AF422" s="225">
        <f t="shared" si="8"/>
        <v>0</v>
      </c>
    </row>
    <row r="423" ht="12.75" customHeight="1">
      <c r="V423" s="30">
        <f t="shared" si="1"/>
        <v>0</v>
      </c>
      <c r="Y423" s="30"/>
      <c r="Z423" s="224">
        <f t="shared" si="2"/>
        <v>0</v>
      </c>
      <c r="AA423" s="223">
        <f t="shared" si="3"/>
        <v>0</v>
      </c>
      <c r="AB423" s="170">
        <f t="shared" si="4"/>
        <v>0</v>
      </c>
      <c r="AC423" s="170">
        <f t="shared" si="5"/>
        <v>0</v>
      </c>
      <c r="AD423" s="170">
        <f t="shared" si="6"/>
        <v>0</v>
      </c>
      <c r="AE423" s="170"/>
      <c r="AF423" s="225">
        <f t="shared" si="8"/>
        <v>0</v>
      </c>
    </row>
    <row r="424" ht="12.75" customHeight="1">
      <c r="V424" s="30">
        <f t="shared" si="1"/>
        <v>0</v>
      </c>
      <c r="Y424" s="30"/>
      <c r="Z424" s="224">
        <f t="shared" si="2"/>
        <v>0</v>
      </c>
      <c r="AA424" s="223">
        <f t="shared" si="3"/>
        <v>0</v>
      </c>
      <c r="AB424" s="170">
        <f t="shared" si="4"/>
        <v>0</v>
      </c>
      <c r="AC424" s="170">
        <f t="shared" si="5"/>
        <v>0</v>
      </c>
      <c r="AD424" s="170">
        <f t="shared" si="6"/>
        <v>0</v>
      </c>
      <c r="AE424" s="170"/>
      <c r="AF424" s="225">
        <f t="shared" si="8"/>
        <v>0</v>
      </c>
    </row>
    <row r="425" ht="12.75" customHeight="1">
      <c r="V425" s="30">
        <f t="shared" si="1"/>
        <v>0</v>
      </c>
      <c r="Y425" s="30"/>
      <c r="Z425" s="224">
        <f t="shared" si="2"/>
        <v>0</v>
      </c>
      <c r="AA425" s="223">
        <f t="shared" si="3"/>
        <v>0</v>
      </c>
      <c r="AB425" s="170">
        <f t="shared" si="4"/>
        <v>0</v>
      </c>
      <c r="AC425" s="170">
        <f t="shared" si="5"/>
        <v>0</v>
      </c>
      <c r="AD425" s="170">
        <f t="shared" si="6"/>
        <v>0</v>
      </c>
      <c r="AE425" s="170"/>
      <c r="AF425" s="225">
        <f t="shared" si="8"/>
        <v>0</v>
      </c>
    </row>
    <row r="426" ht="12.75" customHeight="1">
      <c r="V426" s="30">
        <f t="shared" si="1"/>
        <v>0</v>
      </c>
      <c r="Y426" s="30"/>
      <c r="Z426" s="224">
        <f t="shared" si="2"/>
        <v>0</v>
      </c>
      <c r="AA426" s="223">
        <f t="shared" si="3"/>
        <v>0</v>
      </c>
      <c r="AB426" s="170">
        <f t="shared" si="4"/>
        <v>0</v>
      </c>
      <c r="AC426" s="170">
        <f t="shared" si="5"/>
        <v>0</v>
      </c>
      <c r="AD426" s="170">
        <f t="shared" si="6"/>
        <v>0</v>
      </c>
      <c r="AE426" s="170"/>
      <c r="AF426" s="225">
        <f t="shared" si="8"/>
        <v>0</v>
      </c>
    </row>
    <row r="427" ht="12.75" customHeight="1">
      <c r="V427" s="30">
        <f t="shared" si="1"/>
        <v>0</v>
      </c>
      <c r="Y427" s="30"/>
      <c r="Z427" s="224">
        <f t="shared" si="2"/>
        <v>0</v>
      </c>
      <c r="AA427" s="223">
        <f t="shared" si="3"/>
        <v>0</v>
      </c>
      <c r="AB427" s="170">
        <f t="shared" si="4"/>
        <v>0</v>
      </c>
      <c r="AC427" s="170">
        <f t="shared" si="5"/>
        <v>0</v>
      </c>
      <c r="AD427" s="170">
        <f t="shared" si="6"/>
        <v>0</v>
      </c>
      <c r="AE427" s="170"/>
      <c r="AF427" s="225">
        <f t="shared" si="8"/>
        <v>0</v>
      </c>
    </row>
    <row r="428" ht="12.75" customHeight="1">
      <c r="V428" s="30">
        <f t="shared" si="1"/>
        <v>0</v>
      </c>
      <c r="Y428" s="30"/>
      <c r="Z428" s="224">
        <f t="shared" si="2"/>
        <v>0</v>
      </c>
      <c r="AA428" s="223">
        <f t="shared" si="3"/>
        <v>0</v>
      </c>
      <c r="AB428" s="170">
        <f t="shared" si="4"/>
        <v>0</v>
      </c>
      <c r="AC428" s="170">
        <f t="shared" si="5"/>
        <v>0</v>
      </c>
      <c r="AD428" s="170">
        <f t="shared" si="6"/>
        <v>0</v>
      </c>
      <c r="AE428" s="170"/>
      <c r="AF428" s="225">
        <f t="shared" si="8"/>
        <v>0</v>
      </c>
    </row>
    <row r="429" ht="12.75" customHeight="1">
      <c r="V429" s="30">
        <f t="shared" si="1"/>
        <v>0</v>
      </c>
      <c r="Y429" s="30"/>
      <c r="Z429" s="224">
        <f t="shared" si="2"/>
        <v>0</v>
      </c>
      <c r="AA429" s="223">
        <f t="shared" si="3"/>
        <v>0</v>
      </c>
      <c r="AB429" s="170">
        <f t="shared" si="4"/>
        <v>0</v>
      </c>
      <c r="AC429" s="170">
        <f t="shared" si="5"/>
        <v>0</v>
      </c>
      <c r="AD429" s="170">
        <f t="shared" si="6"/>
        <v>0</v>
      </c>
      <c r="AE429" s="170"/>
      <c r="AF429" s="225">
        <f t="shared" si="8"/>
        <v>0</v>
      </c>
    </row>
    <row r="430" ht="12.75" customHeight="1">
      <c r="V430" s="30">
        <f t="shared" si="1"/>
        <v>0</v>
      </c>
      <c r="Y430" s="30"/>
      <c r="Z430" s="224">
        <f t="shared" si="2"/>
        <v>0</v>
      </c>
      <c r="AA430" s="223">
        <f t="shared" si="3"/>
        <v>0</v>
      </c>
      <c r="AB430" s="170">
        <f t="shared" si="4"/>
        <v>0</v>
      </c>
      <c r="AC430" s="170">
        <f t="shared" si="5"/>
        <v>0</v>
      </c>
      <c r="AD430" s="170">
        <f t="shared" si="6"/>
        <v>0</v>
      </c>
      <c r="AE430" s="170"/>
      <c r="AF430" s="225">
        <f t="shared" si="8"/>
        <v>0</v>
      </c>
    </row>
    <row r="431" ht="12.75" customHeight="1">
      <c r="V431" s="30">
        <f t="shared" si="1"/>
        <v>0</v>
      </c>
      <c r="Y431" s="30"/>
      <c r="Z431" s="224">
        <f t="shared" si="2"/>
        <v>0</v>
      </c>
      <c r="AA431" s="223">
        <f t="shared" si="3"/>
        <v>0</v>
      </c>
      <c r="AB431" s="170">
        <f t="shared" si="4"/>
        <v>0</v>
      </c>
      <c r="AC431" s="170">
        <f t="shared" si="5"/>
        <v>0</v>
      </c>
      <c r="AD431" s="170">
        <f t="shared" si="6"/>
        <v>0</v>
      </c>
      <c r="AE431" s="170"/>
      <c r="AF431" s="225">
        <f t="shared" si="8"/>
        <v>0</v>
      </c>
    </row>
    <row r="432" ht="12.75" customHeight="1">
      <c r="V432" s="30">
        <f t="shared" si="1"/>
        <v>0</v>
      </c>
      <c r="Y432" s="30"/>
      <c r="Z432" s="224">
        <f t="shared" si="2"/>
        <v>0</v>
      </c>
      <c r="AA432" s="223">
        <f t="shared" si="3"/>
        <v>0</v>
      </c>
      <c r="AB432" s="170">
        <f t="shared" si="4"/>
        <v>0</v>
      </c>
      <c r="AC432" s="170">
        <f t="shared" si="5"/>
        <v>0</v>
      </c>
      <c r="AD432" s="170">
        <f t="shared" si="6"/>
        <v>0</v>
      </c>
      <c r="AE432" s="170"/>
      <c r="AF432" s="225">
        <f t="shared" si="8"/>
        <v>0</v>
      </c>
    </row>
    <row r="433" ht="12.75" customHeight="1">
      <c r="V433" s="30">
        <f t="shared" si="1"/>
        <v>0</v>
      </c>
      <c r="Y433" s="30"/>
      <c r="Z433" s="224">
        <f t="shared" si="2"/>
        <v>0</v>
      </c>
      <c r="AA433" s="223">
        <f t="shared" si="3"/>
        <v>0</v>
      </c>
      <c r="AB433" s="170">
        <f t="shared" si="4"/>
        <v>0</v>
      </c>
      <c r="AC433" s="170">
        <f t="shared" si="5"/>
        <v>0</v>
      </c>
      <c r="AD433" s="170">
        <f t="shared" si="6"/>
        <v>0</v>
      </c>
      <c r="AE433" s="170"/>
      <c r="AF433" s="225">
        <f t="shared" si="8"/>
        <v>0</v>
      </c>
    </row>
    <row r="434" ht="12.75" customHeight="1">
      <c r="V434" s="30">
        <f t="shared" si="1"/>
        <v>0</v>
      </c>
      <c r="Y434" s="30"/>
      <c r="Z434" s="224">
        <f t="shared" si="2"/>
        <v>0</v>
      </c>
      <c r="AA434" s="223">
        <f t="shared" si="3"/>
        <v>0</v>
      </c>
      <c r="AB434" s="170">
        <f t="shared" si="4"/>
        <v>0</v>
      </c>
      <c r="AC434" s="170">
        <f t="shared" si="5"/>
        <v>0</v>
      </c>
      <c r="AD434" s="170">
        <f t="shared" si="6"/>
        <v>0</v>
      </c>
      <c r="AE434" s="170"/>
      <c r="AF434" s="225">
        <f t="shared" si="8"/>
        <v>0</v>
      </c>
    </row>
    <row r="435" ht="12.75" customHeight="1">
      <c r="V435" s="30">
        <f t="shared" si="1"/>
        <v>0</v>
      </c>
      <c r="Y435" s="30"/>
      <c r="Z435" s="224">
        <f t="shared" si="2"/>
        <v>0</v>
      </c>
      <c r="AA435" s="223">
        <f t="shared" si="3"/>
        <v>0</v>
      </c>
      <c r="AB435" s="170">
        <f t="shared" si="4"/>
        <v>0</v>
      </c>
      <c r="AC435" s="170">
        <f t="shared" si="5"/>
        <v>0</v>
      </c>
      <c r="AD435" s="170">
        <f t="shared" si="6"/>
        <v>0</v>
      </c>
      <c r="AE435" s="170"/>
      <c r="AF435" s="225">
        <f t="shared" si="8"/>
        <v>0</v>
      </c>
    </row>
    <row r="436" ht="12.75" customHeight="1">
      <c r="V436" s="30">
        <f t="shared" si="1"/>
        <v>0</v>
      </c>
      <c r="Y436" s="30"/>
      <c r="Z436" s="224">
        <f t="shared" si="2"/>
        <v>0</v>
      </c>
      <c r="AA436" s="223">
        <f t="shared" si="3"/>
        <v>0</v>
      </c>
      <c r="AB436" s="170">
        <f t="shared" si="4"/>
        <v>0</v>
      </c>
      <c r="AC436" s="170">
        <f t="shared" si="5"/>
        <v>0</v>
      </c>
      <c r="AD436" s="170">
        <f t="shared" si="6"/>
        <v>0</v>
      </c>
      <c r="AE436" s="170"/>
      <c r="AF436" s="225">
        <f t="shared" si="8"/>
        <v>0</v>
      </c>
    </row>
    <row r="437" ht="12.75" customHeight="1">
      <c r="V437" s="30">
        <f t="shared" si="1"/>
        <v>0</v>
      </c>
      <c r="Y437" s="30"/>
      <c r="Z437" s="224">
        <f t="shared" si="2"/>
        <v>0</v>
      </c>
      <c r="AA437" s="223">
        <f t="shared" si="3"/>
        <v>0</v>
      </c>
      <c r="AB437" s="170">
        <f t="shared" si="4"/>
        <v>0</v>
      </c>
      <c r="AC437" s="170">
        <f t="shared" si="5"/>
        <v>0</v>
      </c>
      <c r="AD437" s="170">
        <f t="shared" si="6"/>
        <v>0</v>
      </c>
      <c r="AE437" s="170"/>
      <c r="AF437" s="225">
        <f t="shared" si="8"/>
        <v>0</v>
      </c>
    </row>
    <row r="438" ht="12.75" customHeight="1">
      <c r="V438" s="30">
        <f t="shared" si="1"/>
        <v>0</v>
      </c>
      <c r="Y438" s="30"/>
      <c r="Z438" s="224">
        <f t="shared" si="2"/>
        <v>0</v>
      </c>
      <c r="AA438" s="223">
        <f t="shared" si="3"/>
        <v>0</v>
      </c>
      <c r="AB438" s="170">
        <f t="shared" si="4"/>
        <v>0</v>
      </c>
      <c r="AC438" s="170">
        <f t="shared" si="5"/>
        <v>0</v>
      </c>
      <c r="AD438" s="170">
        <f t="shared" si="6"/>
        <v>0</v>
      </c>
      <c r="AE438" s="170"/>
      <c r="AF438" s="225">
        <f t="shared" si="8"/>
        <v>0</v>
      </c>
    </row>
    <row r="439" ht="12.75" customHeight="1">
      <c r="V439" s="30">
        <f t="shared" si="1"/>
        <v>0</v>
      </c>
      <c r="Y439" s="30"/>
      <c r="Z439" s="224">
        <f t="shared" si="2"/>
        <v>0</v>
      </c>
      <c r="AA439" s="223">
        <f t="shared" si="3"/>
        <v>0</v>
      </c>
      <c r="AB439" s="170">
        <f t="shared" si="4"/>
        <v>0</v>
      </c>
      <c r="AC439" s="170">
        <f t="shared" si="5"/>
        <v>0</v>
      </c>
      <c r="AD439" s="170">
        <f t="shared" si="6"/>
        <v>0</v>
      </c>
      <c r="AE439" s="170"/>
      <c r="AF439" s="225">
        <f t="shared" si="8"/>
        <v>0</v>
      </c>
    </row>
    <row r="440" ht="12.75" customHeight="1">
      <c r="V440" s="30">
        <f t="shared" si="1"/>
        <v>0</v>
      </c>
      <c r="Y440" s="30"/>
      <c r="Z440" s="224">
        <f t="shared" si="2"/>
        <v>0</v>
      </c>
      <c r="AA440" s="223">
        <f t="shared" si="3"/>
        <v>0</v>
      </c>
      <c r="AB440" s="170">
        <f t="shared" si="4"/>
        <v>0</v>
      </c>
      <c r="AC440" s="170">
        <f t="shared" si="5"/>
        <v>0</v>
      </c>
      <c r="AD440" s="170">
        <f t="shared" si="6"/>
        <v>0</v>
      </c>
      <c r="AE440" s="170"/>
      <c r="AF440" s="225">
        <f t="shared" si="8"/>
        <v>0</v>
      </c>
    </row>
    <row r="441" ht="12.75" customHeight="1">
      <c r="V441" s="30">
        <f t="shared" si="1"/>
        <v>0</v>
      </c>
      <c r="Y441" s="30"/>
      <c r="Z441" s="224">
        <f t="shared" si="2"/>
        <v>0</v>
      </c>
      <c r="AA441" s="223">
        <f t="shared" si="3"/>
        <v>0</v>
      </c>
      <c r="AB441" s="170">
        <f t="shared" si="4"/>
        <v>0</v>
      </c>
      <c r="AC441" s="170">
        <f t="shared" si="5"/>
        <v>0</v>
      </c>
      <c r="AD441" s="170">
        <f t="shared" si="6"/>
        <v>0</v>
      </c>
      <c r="AE441" s="170"/>
      <c r="AF441" s="225">
        <f t="shared" si="8"/>
        <v>0</v>
      </c>
    </row>
    <row r="442" ht="12.75" customHeight="1">
      <c r="V442" s="30">
        <f t="shared" si="1"/>
        <v>0</v>
      </c>
      <c r="Y442" s="30"/>
      <c r="Z442" s="224">
        <f t="shared" si="2"/>
        <v>0</v>
      </c>
      <c r="AA442" s="223">
        <f t="shared" si="3"/>
        <v>0</v>
      </c>
      <c r="AB442" s="170">
        <f t="shared" si="4"/>
        <v>0</v>
      </c>
      <c r="AC442" s="170">
        <f t="shared" si="5"/>
        <v>0</v>
      </c>
      <c r="AD442" s="170">
        <f t="shared" si="6"/>
        <v>0</v>
      </c>
      <c r="AE442" s="170"/>
      <c r="AF442" s="225">
        <f t="shared" si="8"/>
        <v>0</v>
      </c>
    </row>
    <row r="443" ht="12.75" customHeight="1">
      <c r="V443" s="30">
        <f t="shared" si="1"/>
        <v>0</v>
      </c>
      <c r="Y443" s="30"/>
      <c r="Z443" s="224">
        <f t="shared" si="2"/>
        <v>0</v>
      </c>
      <c r="AA443" s="223">
        <f t="shared" si="3"/>
        <v>0</v>
      </c>
      <c r="AB443" s="170">
        <f t="shared" si="4"/>
        <v>0</v>
      </c>
      <c r="AC443" s="170">
        <f t="shared" si="5"/>
        <v>0</v>
      </c>
      <c r="AD443" s="170">
        <f t="shared" si="6"/>
        <v>0</v>
      </c>
      <c r="AE443" s="170"/>
      <c r="AF443" s="225">
        <f t="shared" si="8"/>
        <v>0</v>
      </c>
    </row>
    <row r="444" ht="12.75" customHeight="1">
      <c r="V444" s="30">
        <f t="shared" si="1"/>
        <v>0</v>
      </c>
      <c r="Y444" s="30"/>
      <c r="Z444" s="224">
        <f t="shared" si="2"/>
        <v>0</v>
      </c>
      <c r="AA444" s="223">
        <f t="shared" si="3"/>
        <v>0</v>
      </c>
      <c r="AB444" s="170">
        <f t="shared" si="4"/>
        <v>0</v>
      </c>
      <c r="AC444" s="170">
        <f t="shared" si="5"/>
        <v>0</v>
      </c>
      <c r="AD444" s="170">
        <f t="shared" si="6"/>
        <v>0</v>
      </c>
      <c r="AE444" s="170"/>
      <c r="AF444" s="225">
        <f t="shared" si="8"/>
        <v>0</v>
      </c>
    </row>
    <row r="445" ht="12.75" customHeight="1">
      <c r="V445" s="30">
        <f t="shared" si="1"/>
        <v>0</v>
      </c>
      <c r="Y445" s="30"/>
      <c r="Z445" s="224">
        <f t="shared" si="2"/>
        <v>0</v>
      </c>
      <c r="AA445" s="223">
        <f t="shared" si="3"/>
        <v>0</v>
      </c>
      <c r="AB445" s="170">
        <f t="shared" si="4"/>
        <v>0</v>
      </c>
      <c r="AC445" s="170">
        <f t="shared" si="5"/>
        <v>0</v>
      </c>
      <c r="AD445" s="170">
        <f t="shared" si="6"/>
        <v>0</v>
      </c>
      <c r="AE445" s="170"/>
      <c r="AF445" s="225">
        <f t="shared" si="8"/>
        <v>0</v>
      </c>
    </row>
    <row r="446" ht="12.75" customHeight="1">
      <c r="V446" s="30">
        <f t="shared" si="1"/>
        <v>0</v>
      </c>
      <c r="Y446" s="30"/>
      <c r="Z446" s="224">
        <f t="shared" si="2"/>
        <v>0</v>
      </c>
      <c r="AA446" s="223">
        <f t="shared" si="3"/>
        <v>0</v>
      </c>
      <c r="AB446" s="170">
        <f t="shared" si="4"/>
        <v>0</v>
      </c>
      <c r="AC446" s="170">
        <f t="shared" si="5"/>
        <v>0</v>
      </c>
      <c r="AD446" s="170">
        <f t="shared" si="6"/>
        <v>0</v>
      </c>
      <c r="AE446" s="170"/>
      <c r="AF446" s="225">
        <f t="shared" si="8"/>
        <v>0</v>
      </c>
    </row>
    <row r="447" ht="12.75" customHeight="1">
      <c r="V447" s="30">
        <f t="shared" si="1"/>
        <v>0</v>
      </c>
      <c r="Y447" s="30"/>
      <c r="Z447" s="224">
        <f t="shared" si="2"/>
        <v>0</v>
      </c>
      <c r="AA447" s="223">
        <f t="shared" si="3"/>
        <v>0</v>
      </c>
      <c r="AB447" s="170">
        <f t="shared" si="4"/>
        <v>0</v>
      </c>
      <c r="AC447" s="170">
        <f t="shared" si="5"/>
        <v>0</v>
      </c>
      <c r="AD447" s="170">
        <f t="shared" si="6"/>
        <v>0</v>
      </c>
      <c r="AE447" s="170"/>
      <c r="AF447" s="225">
        <f t="shared" si="8"/>
        <v>0</v>
      </c>
    </row>
    <row r="448" ht="12.75" customHeight="1">
      <c r="V448" s="30">
        <f t="shared" si="1"/>
        <v>0</v>
      </c>
      <c r="Y448" s="30"/>
      <c r="Z448" s="224">
        <f t="shared" si="2"/>
        <v>0</v>
      </c>
      <c r="AA448" s="223">
        <f t="shared" si="3"/>
        <v>0</v>
      </c>
      <c r="AB448" s="170">
        <f t="shared" si="4"/>
        <v>0</v>
      </c>
      <c r="AC448" s="170">
        <f t="shared" si="5"/>
        <v>0</v>
      </c>
      <c r="AD448" s="170">
        <f t="shared" si="6"/>
        <v>0</v>
      </c>
      <c r="AE448" s="170"/>
      <c r="AF448" s="225">
        <f t="shared" si="8"/>
        <v>0</v>
      </c>
    </row>
    <row r="449" ht="12.75" customHeight="1">
      <c r="V449" s="30">
        <f t="shared" si="1"/>
        <v>0</v>
      </c>
      <c r="Y449" s="30"/>
      <c r="Z449" s="224">
        <f t="shared" si="2"/>
        <v>0</v>
      </c>
      <c r="AA449" s="223">
        <f t="shared" si="3"/>
        <v>0</v>
      </c>
      <c r="AB449" s="170">
        <f t="shared" si="4"/>
        <v>0</v>
      </c>
      <c r="AC449" s="170">
        <f t="shared" si="5"/>
        <v>0</v>
      </c>
      <c r="AD449" s="170">
        <f t="shared" si="6"/>
        <v>0</v>
      </c>
      <c r="AE449" s="170"/>
      <c r="AF449" s="225">
        <f t="shared" si="8"/>
        <v>0</v>
      </c>
    </row>
    <row r="450" ht="12.75" customHeight="1">
      <c r="V450" s="30">
        <f t="shared" si="1"/>
        <v>0</v>
      </c>
      <c r="Y450" s="30"/>
      <c r="Z450" s="224">
        <f t="shared" si="2"/>
        <v>0</v>
      </c>
      <c r="AA450" s="223">
        <f t="shared" si="3"/>
        <v>0</v>
      </c>
      <c r="AB450" s="170">
        <f t="shared" si="4"/>
        <v>0</v>
      </c>
      <c r="AC450" s="170">
        <f t="shared" si="5"/>
        <v>0</v>
      </c>
      <c r="AD450" s="170">
        <f t="shared" si="6"/>
        <v>0</v>
      </c>
      <c r="AE450" s="170"/>
      <c r="AF450" s="225">
        <f t="shared" si="8"/>
        <v>0</v>
      </c>
    </row>
    <row r="451" ht="12.75" customHeight="1">
      <c r="V451" s="30">
        <f t="shared" si="1"/>
        <v>0</v>
      </c>
      <c r="Y451" s="30"/>
      <c r="Z451" s="224">
        <f t="shared" si="2"/>
        <v>0</v>
      </c>
      <c r="AA451" s="223">
        <f t="shared" si="3"/>
        <v>0</v>
      </c>
      <c r="AB451" s="170">
        <f t="shared" si="4"/>
        <v>0</v>
      </c>
      <c r="AC451" s="170">
        <f t="shared" si="5"/>
        <v>0</v>
      </c>
      <c r="AD451" s="170">
        <f t="shared" si="6"/>
        <v>0</v>
      </c>
      <c r="AE451" s="170"/>
      <c r="AF451" s="225">
        <f t="shared" si="8"/>
        <v>0</v>
      </c>
    </row>
    <row r="452" ht="12.75" customHeight="1">
      <c r="V452" s="30">
        <f t="shared" si="1"/>
        <v>0</v>
      </c>
      <c r="Y452" s="30"/>
      <c r="Z452" s="224">
        <f t="shared" si="2"/>
        <v>0</v>
      </c>
      <c r="AA452" s="223">
        <f t="shared" si="3"/>
        <v>0</v>
      </c>
      <c r="AB452" s="170">
        <f t="shared" si="4"/>
        <v>0</v>
      </c>
      <c r="AC452" s="170">
        <f t="shared" si="5"/>
        <v>0</v>
      </c>
      <c r="AD452" s="170">
        <f t="shared" si="6"/>
        <v>0</v>
      </c>
      <c r="AE452" s="170"/>
      <c r="AF452" s="225">
        <f t="shared" si="8"/>
        <v>0</v>
      </c>
    </row>
    <row r="453" ht="12.75" customHeight="1">
      <c r="V453" s="30">
        <f t="shared" si="1"/>
        <v>0</v>
      </c>
      <c r="Y453" s="30"/>
      <c r="Z453" s="224">
        <f t="shared" si="2"/>
        <v>0</v>
      </c>
      <c r="AA453" s="223">
        <f t="shared" si="3"/>
        <v>0</v>
      </c>
      <c r="AB453" s="170">
        <f t="shared" si="4"/>
        <v>0</v>
      </c>
      <c r="AC453" s="170">
        <f t="shared" si="5"/>
        <v>0</v>
      </c>
      <c r="AD453" s="170">
        <f t="shared" si="6"/>
        <v>0</v>
      </c>
      <c r="AE453" s="170"/>
      <c r="AF453" s="225">
        <f t="shared" si="8"/>
        <v>0</v>
      </c>
    </row>
    <row r="454" ht="12.75" customHeight="1">
      <c r="V454" s="30">
        <f t="shared" si="1"/>
        <v>0</v>
      </c>
      <c r="Y454" s="30"/>
      <c r="Z454" s="224">
        <f t="shared" si="2"/>
        <v>0</v>
      </c>
      <c r="AA454" s="223">
        <f t="shared" si="3"/>
        <v>0</v>
      </c>
      <c r="AB454" s="170">
        <f t="shared" si="4"/>
        <v>0</v>
      </c>
      <c r="AC454" s="170">
        <f t="shared" si="5"/>
        <v>0</v>
      </c>
      <c r="AD454" s="170">
        <f t="shared" si="6"/>
        <v>0</v>
      </c>
      <c r="AE454" s="170"/>
      <c r="AF454" s="225">
        <f t="shared" si="8"/>
        <v>0</v>
      </c>
    </row>
    <row r="455" ht="12.75" customHeight="1">
      <c r="V455" s="30">
        <f t="shared" si="1"/>
        <v>0</v>
      </c>
      <c r="Y455" s="30"/>
      <c r="Z455" s="224">
        <f t="shared" si="2"/>
        <v>0</v>
      </c>
      <c r="AA455" s="223">
        <f t="shared" si="3"/>
        <v>0</v>
      </c>
      <c r="AB455" s="170">
        <f t="shared" si="4"/>
        <v>0</v>
      </c>
      <c r="AC455" s="170">
        <f t="shared" si="5"/>
        <v>0</v>
      </c>
      <c r="AD455" s="170">
        <f t="shared" si="6"/>
        <v>0</v>
      </c>
      <c r="AE455" s="170"/>
      <c r="AF455" s="225">
        <f t="shared" si="8"/>
        <v>0</v>
      </c>
    </row>
    <row r="456" ht="12.75" customHeight="1">
      <c r="V456" s="30">
        <f t="shared" si="1"/>
        <v>0</v>
      </c>
      <c r="Y456" s="30"/>
      <c r="Z456" s="224">
        <f t="shared" si="2"/>
        <v>0</v>
      </c>
      <c r="AA456" s="223">
        <f t="shared" si="3"/>
        <v>0</v>
      </c>
      <c r="AB456" s="170">
        <f t="shared" si="4"/>
        <v>0</v>
      </c>
      <c r="AC456" s="170">
        <f t="shared" si="5"/>
        <v>0</v>
      </c>
      <c r="AD456" s="170">
        <f t="shared" si="6"/>
        <v>0</v>
      </c>
      <c r="AE456" s="170"/>
      <c r="AF456" s="225">
        <f t="shared" si="8"/>
        <v>0</v>
      </c>
    </row>
    <row r="457" ht="12.75" customHeight="1">
      <c r="V457" s="30">
        <f t="shared" si="1"/>
        <v>0</v>
      </c>
      <c r="Y457" s="30"/>
      <c r="Z457" s="224">
        <f t="shared" si="2"/>
        <v>0</v>
      </c>
      <c r="AA457" s="223">
        <f t="shared" si="3"/>
        <v>0</v>
      </c>
      <c r="AB457" s="170">
        <f t="shared" si="4"/>
        <v>0</v>
      </c>
      <c r="AC457" s="170">
        <f t="shared" si="5"/>
        <v>0</v>
      </c>
      <c r="AD457" s="170">
        <f t="shared" si="6"/>
        <v>0</v>
      </c>
      <c r="AE457" s="170"/>
      <c r="AF457" s="225">
        <f t="shared" si="8"/>
        <v>0</v>
      </c>
    </row>
    <row r="458" ht="12.75" customHeight="1">
      <c r="V458" s="30">
        <f t="shared" si="1"/>
        <v>0</v>
      </c>
      <c r="Y458" s="30"/>
      <c r="Z458" s="224">
        <f t="shared" si="2"/>
        <v>0</v>
      </c>
      <c r="AA458" s="223">
        <f t="shared" si="3"/>
        <v>0</v>
      </c>
      <c r="AB458" s="170">
        <f t="shared" si="4"/>
        <v>0</v>
      </c>
      <c r="AC458" s="170">
        <f t="shared" si="5"/>
        <v>0</v>
      </c>
      <c r="AD458" s="170">
        <f t="shared" si="6"/>
        <v>0</v>
      </c>
      <c r="AE458" s="170"/>
      <c r="AF458" s="225">
        <f t="shared" si="8"/>
        <v>0</v>
      </c>
    </row>
    <row r="459" ht="12.75" customHeight="1">
      <c r="V459" s="30">
        <f t="shared" si="1"/>
        <v>0</v>
      </c>
      <c r="Y459" s="30"/>
      <c r="Z459" s="224">
        <f t="shared" si="2"/>
        <v>0</v>
      </c>
      <c r="AA459" s="223">
        <f t="shared" si="3"/>
        <v>0</v>
      </c>
      <c r="AB459" s="170">
        <f t="shared" si="4"/>
        <v>0</v>
      </c>
      <c r="AC459" s="170">
        <f t="shared" si="5"/>
        <v>0</v>
      </c>
      <c r="AD459" s="170">
        <f t="shared" si="6"/>
        <v>0</v>
      </c>
      <c r="AE459" s="170"/>
      <c r="AF459" s="225">
        <f t="shared" si="8"/>
        <v>0</v>
      </c>
    </row>
    <row r="460" ht="12.75" customHeight="1">
      <c r="V460" s="30">
        <f t="shared" si="1"/>
        <v>0</v>
      </c>
      <c r="Y460" s="30"/>
      <c r="Z460" s="224">
        <f t="shared" si="2"/>
        <v>0</v>
      </c>
      <c r="AA460" s="223">
        <f t="shared" si="3"/>
        <v>0</v>
      </c>
      <c r="AB460" s="170">
        <f t="shared" si="4"/>
        <v>0</v>
      </c>
      <c r="AC460" s="170">
        <f t="shared" si="5"/>
        <v>0</v>
      </c>
      <c r="AD460" s="170">
        <f t="shared" si="6"/>
        <v>0</v>
      </c>
      <c r="AE460" s="170"/>
      <c r="AF460" s="225">
        <f t="shared" si="8"/>
        <v>0</v>
      </c>
    </row>
    <row r="461" ht="12.75" customHeight="1">
      <c r="V461" s="30">
        <f t="shared" si="1"/>
        <v>0</v>
      </c>
      <c r="Y461" s="30"/>
      <c r="Z461" s="224">
        <f t="shared" si="2"/>
        <v>0</v>
      </c>
      <c r="AA461" s="223">
        <f t="shared" si="3"/>
        <v>0</v>
      </c>
      <c r="AB461" s="170">
        <f t="shared" si="4"/>
        <v>0</v>
      </c>
      <c r="AC461" s="170">
        <f t="shared" si="5"/>
        <v>0</v>
      </c>
      <c r="AD461" s="170">
        <f t="shared" si="6"/>
        <v>0</v>
      </c>
      <c r="AE461" s="170"/>
      <c r="AF461" s="225">
        <f t="shared" si="8"/>
        <v>0</v>
      </c>
    </row>
    <row r="462" ht="12.75" customHeight="1">
      <c r="V462" s="30">
        <f t="shared" si="1"/>
        <v>0</v>
      </c>
      <c r="Y462" s="30"/>
      <c r="Z462" s="224">
        <f t="shared" si="2"/>
        <v>0</v>
      </c>
      <c r="AA462" s="223">
        <f t="shared" si="3"/>
        <v>0</v>
      </c>
      <c r="AB462" s="170">
        <f t="shared" si="4"/>
        <v>0</v>
      </c>
      <c r="AC462" s="170">
        <f t="shared" si="5"/>
        <v>0</v>
      </c>
      <c r="AD462" s="170">
        <f t="shared" si="6"/>
        <v>0</v>
      </c>
      <c r="AE462" s="170"/>
      <c r="AF462" s="225">
        <f t="shared" si="8"/>
        <v>0</v>
      </c>
    </row>
    <row r="463" ht="12.75" customHeight="1">
      <c r="V463" s="30">
        <f t="shared" si="1"/>
        <v>0</v>
      </c>
      <c r="Y463" s="30"/>
      <c r="Z463" s="224">
        <f t="shared" si="2"/>
        <v>0</v>
      </c>
      <c r="AA463" s="223">
        <f t="shared" si="3"/>
        <v>0</v>
      </c>
      <c r="AB463" s="170">
        <f t="shared" si="4"/>
        <v>0</v>
      </c>
      <c r="AC463" s="170">
        <f t="shared" si="5"/>
        <v>0</v>
      </c>
      <c r="AD463" s="170">
        <f t="shared" si="6"/>
        <v>0</v>
      </c>
      <c r="AE463" s="170"/>
      <c r="AF463" s="225">
        <f t="shared" si="8"/>
        <v>0</v>
      </c>
    </row>
    <row r="464" ht="12.75" customHeight="1">
      <c r="V464" s="30">
        <f t="shared" si="1"/>
        <v>0</v>
      </c>
      <c r="Y464" s="30"/>
      <c r="Z464" s="224">
        <f t="shared" si="2"/>
        <v>0</v>
      </c>
      <c r="AA464" s="223">
        <f t="shared" si="3"/>
        <v>0</v>
      </c>
      <c r="AB464" s="170">
        <f t="shared" si="4"/>
        <v>0</v>
      </c>
      <c r="AC464" s="170">
        <f t="shared" si="5"/>
        <v>0</v>
      </c>
      <c r="AD464" s="170">
        <f t="shared" si="6"/>
        <v>0</v>
      </c>
      <c r="AE464" s="170"/>
      <c r="AF464" s="225">
        <f t="shared" si="8"/>
        <v>0</v>
      </c>
    </row>
    <row r="465" ht="12.75" customHeight="1">
      <c r="V465" s="30">
        <f t="shared" si="1"/>
        <v>0</v>
      </c>
      <c r="Y465" s="30"/>
      <c r="Z465" s="224">
        <f t="shared" si="2"/>
        <v>0</v>
      </c>
      <c r="AA465" s="223">
        <f t="shared" si="3"/>
        <v>0</v>
      </c>
      <c r="AB465" s="170">
        <f t="shared" si="4"/>
        <v>0</v>
      </c>
      <c r="AC465" s="170">
        <f t="shared" si="5"/>
        <v>0</v>
      </c>
      <c r="AD465" s="170">
        <f t="shared" si="6"/>
        <v>0</v>
      </c>
      <c r="AE465" s="170"/>
      <c r="AF465" s="225">
        <f t="shared" si="8"/>
        <v>0</v>
      </c>
    </row>
    <row r="466" ht="12.75" customHeight="1">
      <c r="V466" s="30">
        <f t="shared" si="1"/>
        <v>0</v>
      </c>
      <c r="Y466" s="30"/>
      <c r="Z466" s="224">
        <f t="shared" si="2"/>
        <v>0</v>
      </c>
      <c r="AA466" s="223">
        <f t="shared" si="3"/>
        <v>0</v>
      </c>
      <c r="AB466" s="170">
        <f t="shared" si="4"/>
        <v>0</v>
      </c>
      <c r="AC466" s="170">
        <f t="shared" si="5"/>
        <v>0</v>
      </c>
      <c r="AD466" s="170">
        <f t="shared" si="6"/>
        <v>0</v>
      </c>
      <c r="AE466" s="170"/>
      <c r="AF466" s="225">
        <f t="shared" si="8"/>
        <v>0</v>
      </c>
    </row>
    <row r="467" ht="12.75" customHeight="1">
      <c r="V467" s="30">
        <f t="shared" si="1"/>
        <v>0</v>
      </c>
      <c r="Y467" s="30"/>
      <c r="Z467" s="224">
        <f t="shared" si="2"/>
        <v>0</v>
      </c>
      <c r="AA467" s="223">
        <f t="shared" si="3"/>
        <v>0</v>
      </c>
      <c r="AB467" s="170">
        <f t="shared" si="4"/>
        <v>0</v>
      </c>
      <c r="AC467" s="170">
        <f t="shared" si="5"/>
        <v>0</v>
      </c>
      <c r="AD467" s="170">
        <f t="shared" si="6"/>
        <v>0</v>
      </c>
      <c r="AE467" s="170"/>
      <c r="AF467" s="225">
        <f t="shared" si="8"/>
        <v>0</v>
      </c>
    </row>
    <row r="468" ht="12.75" customHeight="1">
      <c r="V468" s="30">
        <f t="shared" si="1"/>
        <v>0</v>
      </c>
      <c r="Y468" s="30"/>
      <c r="Z468" s="224">
        <f t="shared" si="2"/>
        <v>0</v>
      </c>
      <c r="AA468" s="223">
        <f t="shared" si="3"/>
        <v>0</v>
      </c>
      <c r="AB468" s="170">
        <f t="shared" si="4"/>
        <v>0</v>
      </c>
      <c r="AC468" s="170">
        <f t="shared" si="5"/>
        <v>0</v>
      </c>
      <c r="AD468" s="170">
        <f t="shared" si="6"/>
        <v>0</v>
      </c>
      <c r="AE468" s="170"/>
      <c r="AF468" s="225">
        <f t="shared" si="8"/>
        <v>0</v>
      </c>
    </row>
    <row r="469" ht="12.75" customHeight="1">
      <c r="V469" s="30">
        <f t="shared" si="1"/>
        <v>0</v>
      </c>
      <c r="Y469" s="30"/>
      <c r="Z469" s="224">
        <f t="shared" si="2"/>
        <v>0</v>
      </c>
      <c r="AA469" s="223">
        <f t="shared" si="3"/>
        <v>0</v>
      </c>
      <c r="AB469" s="170">
        <f t="shared" si="4"/>
        <v>0</v>
      </c>
      <c r="AC469" s="170">
        <f t="shared" si="5"/>
        <v>0</v>
      </c>
      <c r="AD469" s="170">
        <f t="shared" si="6"/>
        <v>0</v>
      </c>
      <c r="AE469" s="170"/>
      <c r="AF469" s="225">
        <f t="shared" si="8"/>
        <v>0</v>
      </c>
    </row>
    <row r="470" ht="12.75" customHeight="1">
      <c r="V470" s="30">
        <f t="shared" si="1"/>
        <v>0</v>
      </c>
      <c r="Y470" s="30"/>
      <c r="Z470" s="224">
        <f t="shared" si="2"/>
        <v>0</v>
      </c>
      <c r="AA470" s="223">
        <f t="shared" si="3"/>
        <v>0</v>
      </c>
      <c r="AB470" s="170">
        <f t="shared" si="4"/>
        <v>0</v>
      </c>
      <c r="AC470" s="170">
        <f t="shared" si="5"/>
        <v>0</v>
      </c>
      <c r="AD470" s="170">
        <f t="shared" si="6"/>
        <v>0</v>
      </c>
      <c r="AE470" s="170"/>
      <c r="AF470" s="225">
        <f t="shared" si="8"/>
        <v>0</v>
      </c>
    </row>
    <row r="471" ht="12.75" customHeight="1">
      <c r="V471" s="30">
        <f t="shared" si="1"/>
        <v>0</v>
      </c>
      <c r="Y471" s="30"/>
      <c r="Z471" s="224">
        <f t="shared" si="2"/>
        <v>0</v>
      </c>
      <c r="AA471" s="223">
        <f t="shared" si="3"/>
        <v>0</v>
      </c>
      <c r="AB471" s="170">
        <f t="shared" si="4"/>
        <v>0</v>
      </c>
      <c r="AC471" s="170">
        <f t="shared" si="5"/>
        <v>0</v>
      </c>
      <c r="AD471" s="170">
        <f t="shared" si="6"/>
        <v>0</v>
      </c>
      <c r="AE471" s="170"/>
      <c r="AF471" s="225">
        <f t="shared" si="8"/>
        <v>0</v>
      </c>
    </row>
    <row r="472" ht="12.75" customHeight="1">
      <c r="V472" s="30">
        <f t="shared" si="1"/>
        <v>0</v>
      </c>
      <c r="Y472" s="30"/>
      <c r="Z472" s="224">
        <f t="shared" si="2"/>
        <v>0</v>
      </c>
      <c r="AA472" s="223">
        <f t="shared" si="3"/>
        <v>0</v>
      </c>
      <c r="AB472" s="170">
        <f t="shared" si="4"/>
        <v>0</v>
      </c>
      <c r="AC472" s="170">
        <f t="shared" si="5"/>
        <v>0</v>
      </c>
      <c r="AD472" s="170">
        <f t="shared" si="6"/>
        <v>0</v>
      </c>
      <c r="AE472" s="170"/>
      <c r="AF472" s="225">
        <f t="shared" si="8"/>
        <v>0</v>
      </c>
    </row>
    <row r="473" ht="12.75" customHeight="1">
      <c r="V473" s="30">
        <f t="shared" si="1"/>
        <v>0</v>
      </c>
      <c r="Y473" s="30"/>
      <c r="Z473" s="224">
        <f t="shared" si="2"/>
        <v>0</v>
      </c>
      <c r="AA473" s="223">
        <f t="shared" si="3"/>
        <v>0</v>
      </c>
      <c r="AB473" s="170">
        <f t="shared" si="4"/>
        <v>0</v>
      </c>
      <c r="AC473" s="170">
        <f t="shared" si="5"/>
        <v>0</v>
      </c>
      <c r="AD473" s="170">
        <f t="shared" si="6"/>
        <v>0</v>
      </c>
      <c r="AE473" s="170"/>
      <c r="AF473" s="225">
        <f t="shared" si="8"/>
        <v>0</v>
      </c>
    </row>
    <row r="474" ht="12.75" customHeight="1">
      <c r="V474" s="30">
        <f t="shared" si="1"/>
        <v>0</v>
      </c>
      <c r="Y474" s="30"/>
      <c r="Z474" s="224">
        <f t="shared" si="2"/>
        <v>0</v>
      </c>
      <c r="AA474" s="223">
        <f t="shared" si="3"/>
        <v>0</v>
      </c>
      <c r="AB474" s="170">
        <f t="shared" si="4"/>
        <v>0</v>
      </c>
      <c r="AC474" s="170">
        <f t="shared" si="5"/>
        <v>0</v>
      </c>
      <c r="AD474" s="170">
        <f t="shared" si="6"/>
        <v>0</v>
      </c>
      <c r="AE474" s="170"/>
      <c r="AF474" s="225">
        <f t="shared" si="8"/>
        <v>0</v>
      </c>
    </row>
    <row r="475" ht="12.75" customHeight="1">
      <c r="V475" s="30">
        <f t="shared" si="1"/>
        <v>0</v>
      </c>
      <c r="Y475" s="30"/>
      <c r="Z475" s="224">
        <f t="shared" si="2"/>
        <v>0</v>
      </c>
      <c r="AA475" s="223">
        <f t="shared" si="3"/>
        <v>0</v>
      </c>
      <c r="AB475" s="170">
        <f t="shared" si="4"/>
        <v>0</v>
      </c>
      <c r="AC475" s="170">
        <f t="shared" si="5"/>
        <v>0</v>
      </c>
      <c r="AD475" s="170">
        <f t="shared" si="6"/>
        <v>0</v>
      </c>
      <c r="AE475" s="170"/>
      <c r="AF475" s="225">
        <f t="shared" si="8"/>
        <v>0</v>
      </c>
    </row>
    <row r="476" ht="12.75" customHeight="1">
      <c r="V476" s="30">
        <f t="shared" si="1"/>
        <v>0</v>
      </c>
      <c r="Y476" s="30"/>
      <c r="Z476" s="224">
        <f t="shared" si="2"/>
        <v>0</v>
      </c>
      <c r="AA476" s="223">
        <f t="shared" si="3"/>
        <v>0</v>
      </c>
      <c r="AB476" s="170">
        <f t="shared" si="4"/>
        <v>0</v>
      </c>
      <c r="AC476" s="170">
        <f t="shared" si="5"/>
        <v>0</v>
      </c>
      <c r="AD476" s="170">
        <f t="shared" si="6"/>
        <v>0</v>
      </c>
      <c r="AE476" s="170"/>
      <c r="AF476" s="225">
        <f t="shared" si="8"/>
        <v>0</v>
      </c>
    </row>
    <row r="477" ht="12.75" customHeight="1">
      <c r="V477" s="30">
        <f t="shared" si="1"/>
        <v>0</v>
      </c>
      <c r="Y477" s="30"/>
      <c r="Z477" s="224">
        <f t="shared" si="2"/>
        <v>0</v>
      </c>
      <c r="AA477" s="223">
        <f t="shared" si="3"/>
        <v>0</v>
      </c>
      <c r="AB477" s="170">
        <f t="shared" si="4"/>
        <v>0</v>
      </c>
      <c r="AC477" s="170">
        <f t="shared" si="5"/>
        <v>0</v>
      </c>
      <c r="AD477" s="170">
        <f t="shared" si="6"/>
        <v>0</v>
      </c>
      <c r="AE477" s="170"/>
      <c r="AF477" s="225">
        <f t="shared" si="8"/>
        <v>0</v>
      </c>
    </row>
    <row r="478" ht="12.75" customHeight="1">
      <c r="V478" s="30">
        <f t="shared" si="1"/>
        <v>0</v>
      </c>
      <c r="Y478" s="30"/>
      <c r="Z478" s="224">
        <f t="shared" si="2"/>
        <v>0</v>
      </c>
      <c r="AA478" s="223">
        <f t="shared" si="3"/>
        <v>0</v>
      </c>
      <c r="AB478" s="170">
        <f t="shared" si="4"/>
        <v>0</v>
      </c>
      <c r="AC478" s="170">
        <f t="shared" si="5"/>
        <v>0</v>
      </c>
      <c r="AD478" s="170">
        <f t="shared" si="6"/>
        <v>0</v>
      </c>
      <c r="AE478" s="170"/>
      <c r="AF478" s="225">
        <f t="shared" si="8"/>
        <v>0</v>
      </c>
    </row>
    <row r="479" ht="12.75" customHeight="1">
      <c r="V479" s="30">
        <f t="shared" si="1"/>
        <v>0</v>
      </c>
      <c r="Y479" s="30"/>
      <c r="Z479" s="224">
        <f t="shared" si="2"/>
        <v>0</v>
      </c>
      <c r="AA479" s="223">
        <f t="shared" si="3"/>
        <v>0</v>
      </c>
      <c r="AB479" s="170">
        <f t="shared" si="4"/>
        <v>0</v>
      </c>
      <c r="AC479" s="170">
        <f t="shared" si="5"/>
        <v>0</v>
      </c>
      <c r="AD479" s="170">
        <f t="shared" si="6"/>
        <v>0</v>
      </c>
      <c r="AE479" s="170"/>
      <c r="AF479" s="225">
        <f t="shared" si="8"/>
        <v>0</v>
      </c>
    </row>
    <row r="480" ht="12.75" customHeight="1">
      <c r="V480" s="30">
        <f t="shared" si="1"/>
        <v>0</v>
      </c>
      <c r="Y480" s="30"/>
      <c r="Z480" s="224">
        <f t="shared" si="2"/>
        <v>0</v>
      </c>
      <c r="AA480" s="223">
        <f t="shared" si="3"/>
        <v>0</v>
      </c>
      <c r="AB480" s="170">
        <f t="shared" si="4"/>
        <v>0</v>
      </c>
      <c r="AC480" s="170">
        <f t="shared" si="5"/>
        <v>0</v>
      </c>
      <c r="AD480" s="170">
        <f t="shared" si="6"/>
        <v>0</v>
      </c>
      <c r="AE480" s="170"/>
      <c r="AF480" s="225">
        <f t="shared" si="8"/>
        <v>0</v>
      </c>
    </row>
    <row r="481" ht="12.75" customHeight="1">
      <c r="V481" s="30">
        <f t="shared" si="1"/>
        <v>0</v>
      </c>
      <c r="Y481" s="30"/>
      <c r="Z481" s="224">
        <f t="shared" si="2"/>
        <v>0</v>
      </c>
      <c r="AA481" s="223">
        <f t="shared" si="3"/>
        <v>0</v>
      </c>
      <c r="AB481" s="170">
        <f t="shared" si="4"/>
        <v>0</v>
      </c>
      <c r="AC481" s="170">
        <f t="shared" si="5"/>
        <v>0</v>
      </c>
      <c r="AD481" s="170">
        <f t="shared" si="6"/>
        <v>0</v>
      </c>
      <c r="AE481" s="170"/>
      <c r="AF481" s="225">
        <f t="shared" si="8"/>
        <v>0</v>
      </c>
    </row>
    <row r="482" ht="12.75" customHeight="1">
      <c r="V482" s="30">
        <f t="shared" si="1"/>
        <v>0</v>
      </c>
      <c r="Y482" s="30"/>
      <c r="Z482" s="224">
        <f t="shared" si="2"/>
        <v>0</v>
      </c>
      <c r="AA482" s="223">
        <f t="shared" si="3"/>
        <v>0</v>
      </c>
      <c r="AB482" s="170">
        <f t="shared" si="4"/>
        <v>0</v>
      </c>
      <c r="AC482" s="170">
        <f t="shared" si="5"/>
        <v>0</v>
      </c>
      <c r="AD482" s="170">
        <f t="shared" si="6"/>
        <v>0</v>
      </c>
      <c r="AE482" s="170"/>
      <c r="AF482" s="225">
        <f t="shared" si="8"/>
        <v>0</v>
      </c>
    </row>
    <row r="483" ht="12.75" customHeight="1">
      <c r="V483" s="30">
        <f t="shared" si="1"/>
        <v>0</v>
      </c>
      <c r="Y483" s="30"/>
      <c r="Z483" s="224">
        <f t="shared" si="2"/>
        <v>0</v>
      </c>
      <c r="AA483" s="223">
        <f t="shared" si="3"/>
        <v>0</v>
      </c>
      <c r="AB483" s="170">
        <f t="shared" si="4"/>
        <v>0</v>
      </c>
      <c r="AC483" s="170">
        <f t="shared" si="5"/>
        <v>0</v>
      </c>
      <c r="AD483" s="170">
        <f t="shared" si="6"/>
        <v>0</v>
      </c>
      <c r="AE483" s="170"/>
      <c r="AF483" s="225">
        <f t="shared" si="8"/>
        <v>0</v>
      </c>
    </row>
    <row r="484" ht="12.75" customHeight="1">
      <c r="V484" s="30">
        <f t="shared" si="1"/>
        <v>0</v>
      </c>
      <c r="Y484" s="30"/>
      <c r="Z484" s="224">
        <f t="shared" si="2"/>
        <v>0</v>
      </c>
      <c r="AA484" s="223">
        <f t="shared" si="3"/>
        <v>0</v>
      </c>
      <c r="AB484" s="170">
        <f t="shared" si="4"/>
        <v>0</v>
      </c>
      <c r="AC484" s="170">
        <f t="shared" si="5"/>
        <v>0</v>
      </c>
      <c r="AD484" s="170">
        <f t="shared" si="6"/>
        <v>0</v>
      </c>
      <c r="AE484" s="170"/>
      <c r="AF484" s="225">
        <f t="shared" si="8"/>
        <v>0</v>
      </c>
    </row>
    <row r="485" ht="12.75" customHeight="1">
      <c r="V485" s="30">
        <f t="shared" si="1"/>
        <v>0</v>
      </c>
      <c r="Y485" s="30"/>
      <c r="Z485" s="224">
        <f t="shared" si="2"/>
        <v>0</v>
      </c>
      <c r="AA485" s="223">
        <f t="shared" si="3"/>
        <v>0</v>
      </c>
      <c r="AB485" s="170">
        <f t="shared" si="4"/>
        <v>0</v>
      </c>
      <c r="AC485" s="170">
        <f t="shared" si="5"/>
        <v>0</v>
      </c>
      <c r="AD485" s="170">
        <f t="shared" si="6"/>
        <v>0</v>
      </c>
      <c r="AE485" s="170"/>
      <c r="AF485" s="225">
        <f t="shared" si="8"/>
        <v>0</v>
      </c>
    </row>
    <row r="486" ht="12.75" customHeight="1">
      <c r="V486" s="30">
        <f t="shared" si="1"/>
        <v>0</v>
      </c>
      <c r="Y486" s="30"/>
      <c r="Z486" s="224">
        <f t="shared" si="2"/>
        <v>0</v>
      </c>
      <c r="AA486" s="223">
        <f t="shared" si="3"/>
        <v>0</v>
      </c>
      <c r="AB486" s="170">
        <f t="shared" si="4"/>
        <v>0</v>
      </c>
      <c r="AC486" s="170">
        <f t="shared" si="5"/>
        <v>0</v>
      </c>
      <c r="AD486" s="170">
        <f t="shared" si="6"/>
        <v>0</v>
      </c>
      <c r="AE486" s="170"/>
      <c r="AF486" s="225">
        <f t="shared" si="8"/>
        <v>0</v>
      </c>
    </row>
    <row r="487" ht="12.75" customHeight="1">
      <c r="V487" s="30">
        <f t="shared" si="1"/>
        <v>0</v>
      </c>
      <c r="Y487" s="30"/>
      <c r="Z487" s="224">
        <f t="shared" si="2"/>
        <v>0</v>
      </c>
      <c r="AA487" s="223">
        <f t="shared" si="3"/>
        <v>0</v>
      </c>
      <c r="AB487" s="170">
        <f t="shared" si="4"/>
        <v>0</v>
      </c>
      <c r="AC487" s="170">
        <f t="shared" si="5"/>
        <v>0</v>
      </c>
      <c r="AD487" s="170">
        <f t="shared" si="6"/>
        <v>0</v>
      </c>
      <c r="AE487" s="170"/>
      <c r="AF487" s="225">
        <f t="shared" si="8"/>
        <v>0</v>
      </c>
    </row>
    <row r="488" ht="12.75" customHeight="1">
      <c r="V488" s="30">
        <f t="shared" si="1"/>
        <v>0</v>
      </c>
      <c r="Y488" s="30"/>
      <c r="Z488" s="224">
        <f t="shared" si="2"/>
        <v>0</v>
      </c>
      <c r="AA488" s="223">
        <f t="shared" si="3"/>
        <v>0</v>
      </c>
      <c r="AB488" s="170">
        <f t="shared" si="4"/>
        <v>0</v>
      </c>
      <c r="AC488" s="170">
        <f t="shared" si="5"/>
        <v>0</v>
      </c>
      <c r="AD488" s="170">
        <f t="shared" si="6"/>
        <v>0</v>
      </c>
      <c r="AE488" s="170"/>
      <c r="AF488" s="225">
        <f t="shared" si="8"/>
        <v>0</v>
      </c>
    </row>
    <row r="489" ht="12.75" customHeight="1">
      <c r="V489" s="30">
        <f t="shared" si="1"/>
        <v>0</v>
      </c>
      <c r="Y489" s="30"/>
      <c r="Z489" s="224">
        <f t="shared" si="2"/>
        <v>0</v>
      </c>
      <c r="AA489" s="223">
        <f t="shared" si="3"/>
        <v>0</v>
      </c>
      <c r="AB489" s="170">
        <f t="shared" si="4"/>
        <v>0</v>
      </c>
      <c r="AC489" s="170">
        <f t="shared" si="5"/>
        <v>0</v>
      </c>
      <c r="AD489" s="170">
        <f t="shared" si="6"/>
        <v>0</v>
      </c>
      <c r="AE489" s="170"/>
      <c r="AF489" s="225">
        <f t="shared" si="8"/>
        <v>0</v>
      </c>
    </row>
    <row r="490" ht="12.75" customHeight="1">
      <c r="V490" s="30">
        <f t="shared" si="1"/>
        <v>0</v>
      </c>
      <c r="Y490" s="30"/>
      <c r="Z490" s="224">
        <f t="shared" si="2"/>
        <v>0</v>
      </c>
      <c r="AA490" s="223">
        <f t="shared" si="3"/>
        <v>0</v>
      </c>
      <c r="AB490" s="170">
        <f t="shared" si="4"/>
        <v>0</v>
      </c>
      <c r="AC490" s="170">
        <f t="shared" si="5"/>
        <v>0</v>
      </c>
      <c r="AD490" s="170">
        <f t="shared" si="6"/>
        <v>0</v>
      </c>
      <c r="AE490" s="170"/>
      <c r="AF490" s="225">
        <f t="shared" si="8"/>
        <v>0</v>
      </c>
    </row>
    <row r="491" ht="12.75" customHeight="1">
      <c r="V491" s="30">
        <f t="shared" si="1"/>
        <v>0</v>
      </c>
      <c r="Y491" s="30"/>
      <c r="Z491" s="224">
        <f t="shared" si="2"/>
        <v>0</v>
      </c>
      <c r="AA491" s="223">
        <f t="shared" si="3"/>
        <v>0</v>
      </c>
      <c r="AB491" s="170">
        <f t="shared" si="4"/>
        <v>0</v>
      </c>
      <c r="AC491" s="170">
        <f t="shared" si="5"/>
        <v>0</v>
      </c>
      <c r="AD491" s="170">
        <f t="shared" si="6"/>
        <v>0</v>
      </c>
      <c r="AE491" s="170"/>
      <c r="AF491" s="225">
        <f t="shared" si="8"/>
        <v>0</v>
      </c>
    </row>
    <row r="492" ht="12.75" customHeight="1">
      <c r="V492" s="30">
        <f t="shared" si="1"/>
        <v>0</v>
      </c>
      <c r="Y492" s="30"/>
      <c r="Z492" s="224">
        <f t="shared" si="2"/>
        <v>0</v>
      </c>
      <c r="AA492" s="223">
        <f t="shared" si="3"/>
        <v>0</v>
      </c>
      <c r="AB492" s="170">
        <f t="shared" si="4"/>
        <v>0</v>
      </c>
      <c r="AC492" s="170">
        <f t="shared" si="5"/>
        <v>0</v>
      </c>
      <c r="AD492" s="170">
        <f t="shared" si="6"/>
        <v>0</v>
      </c>
      <c r="AE492" s="170"/>
      <c r="AF492" s="225">
        <f t="shared" si="8"/>
        <v>0</v>
      </c>
    </row>
    <row r="493" ht="12.75" customHeight="1">
      <c r="V493" s="30">
        <f t="shared" si="1"/>
        <v>0</v>
      </c>
      <c r="Y493" s="30"/>
      <c r="Z493" s="224">
        <f t="shared" si="2"/>
        <v>0</v>
      </c>
      <c r="AA493" s="223">
        <f t="shared" si="3"/>
        <v>0</v>
      </c>
      <c r="AB493" s="170">
        <f t="shared" si="4"/>
        <v>0</v>
      </c>
      <c r="AC493" s="170">
        <f t="shared" si="5"/>
        <v>0</v>
      </c>
      <c r="AD493" s="170">
        <f t="shared" si="6"/>
        <v>0</v>
      </c>
      <c r="AE493" s="170"/>
      <c r="AF493" s="225">
        <f t="shared" si="8"/>
        <v>0</v>
      </c>
    </row>
    <row r="494" ht="12.75" customHeight="1">
      <c r="V494" s="30">
        <f t="shared" si="1"/>
        <v>0</v>
      </c>
      <c r="Y494" s="30"/>
      <c r="Z494" s="224">
        <f t="shared" si="2"/>
        <v>0</v>
      </c>
      <c r="AA494" s="223">
        <f t="shared" si="3"/>
        <v>0</v>
      </c>
      <c r="AB494" s="170">
        <f t="shared" si="4"/>
        <v>0</v>
      </c>
      <c r="AC494" s="170">
        <f t="shared" si="5"/>
        <v>0</v>
      </c>
      <c r="AD494" s="170">
        <f t="shared" si="6"/>
        <v>0</v>
      </c>
      <c r="AE494" s="170"/>
      <c r="AF494" s="225">
        <f t="shared" si="8"/>
        <v>0</v>
      </c>
    </row>
    <row r="495" ht="12.75" customHeight="1">
      <c r="V495" s="30">
        <f t="shared" si="1"/>
        <v>0</v>
      </c>
      <c r="Y495" s="30"/>
      <c r="Z495" s="224">
        <f t="shared" si="2"/>
        <v>0</v>
      </c>
      <c r="AA495" s="223">
        <f t="shared" si="3"/>
        <v>0</v>
      </c>
      <c r="AB495" s="170">
        <f t="shared" si="4"/>
        <v>0</v>
      </c>
      <c r="AC495" s="170">
        <f t="shared" si="5"/>
        <v>0</v>
      </c>
      <c r="AD495" s="170">
        <f t="shared" si="6"/>
        <v>0</v>
      </c>
      <c r="AE495" s="170"/>
      <c r="AF495" s="225">
        <f t="shared" si="8"/>
        <v>0</v>
      </c>
    </row>
    <row r="496" ht="12.75" customHeight="1">
      <c r="V496" s="30">
        <f t="shared" si="1"/>
        <v>0</v>
      </c>
      <c r="Y496" s="30"/>
      <c r="Z496" s="224">
        <f t="shared" si="2"/>
        <v>0</v>
      </c>
      <c r="AA496" s="223">
        <f t="shared" si="3"/>
        <v>0</v>
      </c>
      <c r="AB496" s="170">
        <f t="shared" si="4"/>
        <v>0</v>
      </c>
      <c r="AC496" s="170">
        <f t="shared" si="5"/>
        <v>0</v>
      </c>
      <c r="AD496" s="170">
        <f t="shared" si="6"/>
        <v>0</v>
      </c>
      <c r="AE496" s="170"/>
      <c r="AF496" s="225">
        <f t="shared" si="8"/>
        <v>0</v>
      </c>
    </row>
    <row r="497" ht="12.75" customHeight="1">
      <c r="V497" s="30">
        <f t="shared" si="1"/>
        <v>0</v>
      </c>
      <c r="Y497" s="30"/>
      <c r="Z497" s="224">
        <f t="shared" si="2"/>
        <v>0</v>
      </c>
      <c r="AA497" s="223">
        <f t="shared" si="3"/>
        <v>0</v>
      </c>
      <c r="AB497" s="170">
        <f t="shared" si="4"/>
        <v>0</v>
      </c>
      <c r="AC497" s="170">
        <f t="shared" si="5"/>
        <v>0</v>
      </c>
      <c r="AD497" s="170">
        <f t="shared" si="6"/>
        <v>0</v>
      </c>
      <c r="AE497" s="170"/>
      <c r="AF497" s="225">
        <f t="shared" si="8"/>
        <v>0</v>
      </c>
    </row>
    <row r="498" ht="12.75" customHeight="1">
      <c r="V498" s="30">
        <f t="shared" si="1"/>
        <v>0</v>
      </c>
      <c r="Y498" s="30"/>
      <c r="Z498" s="224">
        <f t="shared" si="2"/>
        <v>0</v>
      </c>
      <c r="AA498" s="223">
        <f t="shared" si="3"/>
        <v>0</v>
      </c>
      <c r="AB498" s="170">
        <f t="shared" si="4"/>
        <v>0</v>
      </c>
      <c r="AC498" s="170">
        <f t="shared" si="5"/>
        <v>0</v>
      </c>
      <c r="AD498" s="170">
        <f t="shared" si="6"/>
        <v>0</v>
      </c>
      <c r="AE498" s="170"/>
      <c r="AF498" s="225">
        <f t="shared" si="8"/>
        <v>0</v>
      </c>
    </row>
    <row r="499" ht="12.75" customHeight="1">
      <c r="V499" s="30">
        <f t="shared" si="1"/>
        <v>0</v>
      </c>
      <c r="Y499" s="30"/>
      <c r="Z499" s="224">
        <f t="shared" si="2"/>
        <v>0</v>
      </c>
      <c r="AA499" s="223">
        <f t="shared" si="3"/>
        <v>0</v>
      </c>
      <c r="AB499" s="170">
        <f t="shared" si="4"/>
        <v>0</v>
      </c>
      <c r="AC499" s="170">
        <f t="shared" si="5"/>
        <v>0</v>
      </c>
      <c r="AD499" s="170">
        <f t="shared" si="6"/>
        <v>0</v>
      </c>
      <c r="AE499" s="170"/>
      <c r="AF499" s="225">
        <f t="shared" si="8"/>
        <v>0</v>
      </c>
    </row>
    <row r="500" ht="12.75" customHeight="1">
      <c r="V500" s="30">
        <f t="shared" si="1"/>
        <v>0</v>
      </c>
      <c r="Y500" s="30"/>
      <c r="Z500" s="224">
        <f t="shared" si="2"/>
        <v>0</v>
      </c>
      <c r="AA500" s="223">
        <f t="shared" si="3"/>
        <v>0</v>
      </c>
      <c r="AB500" s="170">
        <f t="shared" si="4"/>
        <v>0</v>
      </c>
      <c r="AC500" s="170">
        <f t="shared" si="5"/>
        <v>0</v>
      </c>
      <c r="AD500" s="170">
        <f t="shared" si="6"/>
        <v>0</v>
      </c>
      <c r="AE500" s="170"/>
      <c r="AF500" s="225">
        <f t="shared" si="8"/>
        <v>0</v>
      </c>
    </row>
    <row r="501" ht="12.75" customHeight="1">
      <c r="V501" s="30">
        <f t="shared" si="1"/>
        <v>0</v>
      </c>
      <c r="Y501" s="30"/>
      <c r="Z501" s="224">
        <f t="shared" si="2"/>
        <v>0</v>
      </c>
      <c r="AA501" s="223">
        <f t="shared" si="3"/>
        <v>0</v>
      </c>
      <c r="AB501" s="170">
        <f t="shared" si="4"/>
        <v>0</v>
      </c>
      <c r="AC501" s="170">
        <f t="shared" si="5"/>
        <v>0</v>
      </c>
      <c r="AD501" s="170">
        <f t="shared" si="6"/>
        <v>0</v>
      </c>
      <c r="AE501" s="170"/>
      <c r="AF501" s="225">
        <f t="shared" si="8"/>
        <v>0</v>
      </c>
    </row>
    <row r="502" ht="12.75" customHeight="1">
      <c r="V502" s="30">
        <f t="shared" si="1"/>
        <v>0</v>
      </c>
      <c r="Y502" s="30"/>
      <c r="Z502" s="224">
        <f t="shared" si="2"/>
        <v>0</v>
      </c>
      <c r="AA502" s="223">
        <f t="shared" si="3"/>
        <v>0</v>
      </c>
      <c r="AB502" s="170">
        <f t="shared" si="4"/>
        <v>0</v>
      </c>
      <c r="AC502" s="170">
        <f t="shared" si="5"/>
        <v>0</v>
      </c>
      <c r="AD502" s="170">
        <f t="shared" si="6"/>
        <v>0</v>
      </c>
      <c r="AE502" s="170"/>
      <c r="AF502" s="225">
        <f t="shared" si="8"/>
        <v>0</v>
      </c>
    </row>
    <row r="503" ht="12.75" customHeight="1">
      <c r="V503" s="30">
        <f t="shared" si="1"/>
        <v>0</v>
      </c>
      <c r="Y503" s="30"/>
      <c r="Z503" s="224">
        <f t="shared" si="2"/>
        <v>0</v>
      </c>
      <c r="AA503" s="223">
        <f t="shared" si="3"/>
        <v>0</v>
      </c>
      <c r="AB503" s="170">
        <f t="shared" si="4"/>
        <v>0</v>
      </c>
      <c r="AC503" s="170">
        <f t="shared" si="5"/>
        <v>0</v>
      </c>
      <c r="AD503" s="170">
        <f t="shared" si="6"/>
        <v>0</v>
      </c>
      <c r="AE503" s="170"/>
      <c r="AF503" s="225">
        <f t="shared" si="8"/>
        <v>0</v>
      </c>
    </row>
    <row r="504" ht="12.75" customHeight="1">
      <c r="V504" s="30">
        <f t="shared" si="1"/>
        <v>0</v>
      </c>
      <c r="Y504" s="30"/>
      <c r="Z504" s="224">
        <f t="shared" si="2"/>
        <v>0</v>
      </c>
      <c r="AA504" s="223">
        <f t="shared" si="3"/>
        <v>0</v>
      </c>
      <c r="AB504" s="170">
        <f t="shared" si="4"/>
        <v>0</v>
      </c>
      <c r="AC504" s="170">
        <f t="shared" si="5"/>
        <v>0</v>
      </c>
      <c r="AD504" s="170">
        <f t="shared" si="6"/>
        <v>0</v>
      </c>
      <c r="AE504" s="170"/>
      <c r="AF504" s="225">
        <f t="shared" si="8"/>
        <v>0</v>
      </c>
    </row>
    <row r="505" ht="12.75" customHeight="1">
      <c r="V505" s="30">
        <f t="shared" si="1"/>
        <v>0</v>
      </c>
      <c r="Y505" s="30"/>
      <c r="Z505" s="224">
        <f t="shared" si="2"/>
        <v>0</v>
      </c>
      <c r="AA505" s="223">
        <f t="shared" si="3"/>
        <v>0</v>
      </c>
      <c r="AB505" s="170">
        <f t="shared" si="4"/>
        <v>0</v>
      </c>
      <c r="AC505" s="170">
        <f t="shared" si="5"/>
        <v>0</v>
      </c>
      <c r="AD505" s="170">
        <f t="shared" si="6"/>
        <v>0</v>
      </c>
      <c r="AE505" s="170"/>
      <c r="AF505" s="225">
        <f t="shared" si="8"/>
        <v>0</v>
      </c>
    </row>
    <row r="506" ht="12.75" customHeight="1">
      <c r="V506" s="30">
        <f t="shared" si="1"/>
        <v>0</v>
      </c>
      <c r="Y506" s="30"/>
      <c r="Z506" s="224">
        <f t="shared" si="2"/>
        <v>0</v>
      </c>
      <c r="AA506" s="223">
        <f t="shared" si="3"/>
        <v>0</v>
      </c>
      <c r="AB506" s="170">
        <f t="shared" si="4"/>
        <v>0</v>
      </c>
      <c r="AC506" s="170">
        <f t="shared" si="5"/>
        <v>0</v>
      </c>
      <c r="AD506" s="170">
        <f t="shared" si="6"/>
        <v>0</v>
      </c>
      <c r="AE506" s="170"/>
      <c r="AF506" s="225">
        <f t="shared" si="8"/>
        <v>0</v>
      </c>
    </row>
    <row r="507" ht="12.75" customHeight="1">
      <c r="V507" s="30">
        <f t="shared" si="1"/>
        <v>0</v>
      </c>
      <c r="Y507" s="30"/>
      <c r="Z507" s="224">
        <f t="shared" si="2"/>
        <v>0</v>
      </c>
      <c r="AA507" s="223">
        <f t="shared" si="3"/>
        <v>0</v>
      </c>
      <c r="AB507" s="170">
        <f t="shared" si="4"/>
        <v>0</v>
      </c>
      <c r="AC507" s="170">
        <f t="shared" si="5"/>
        <v>0</v>
      </c>
      <c r="AD507" s="170">
        <f t="shared" si="6"/>
        <v>0</v>
      </c>
      <c r="AE507" s="170"/>
      <c r="AF507" s="225">
        <f t="shared" si="8"/>
        <v>0</v>
      </c>
    </row>
    <row r="508" ht="12.75" customHeight="1">
      <c r="V508" s="30">
        <f t="shared" si="1"/>
        <v>0</v>
      </c>
      <c r="Y508" s="30"/>
      <c r="Z508" s="224">
        <f t="shared" si="2"/>
        <v>0</v>
      </c>
      <c r="AA508" s="223">
        <f t="shared" si="3"/>
        <v>0</v>
      </c>
      <c r="AB508" s="170">
        <f t="shared" si="4"/>
        <v>0</v>
      </c>
      <c r="AC508" s="170">
        <f t="shared" si="5"/>
        <v>0</v>
      </c>
      <c r="AD508" s="170">
        <f t="shared" si="6"/>
        <v>0</v>
      </c>
      <c r="AE508" s="170"/>
      <c r="AF508" s="225">
        <f t="shared" si="8"/>
        <v>0</v>
      </c>
    </row>
    <row r="509" ht="12.75" customHeight="1">
      <c r="V509" s="30">
        <f t="shared" si="1"/>
        <v>0</v>
      </c>
      <c r="Y509" s="30"/>
      <c r="Z509" s="224">
        <f t="shared" si="2"/>
        <v>0</v>
      </c>
      <c r="AA509" s="223">
        <f t="shared" si="3"/>
        <v>0</v>
      </c>
      <c r="AB509" s="170">
        <f t="shared" si="4"/>
        <v>0</v>
      </c>
      <c r="AC509" s="170">
        <f t="shared" si="5"/>
        <v>0</v>
      </c>
      <c r="AD509" s="170">
        <f t="shared" si="6"/>
        <v>0</v>
      </c>
      <c r="AE509" s="170"/>
      <c r="AF509" s="225">
        <f t="shared" si="8"/>
        <v>0</v>
      </c>
    </row>
    <row r="510" ht="12.75" customHeight="1">
      <c r="V510" s="30">
        <f t="shared" si="1"/>
        <v>0</v>
      </c>
      <c r="Y510" s="30"/>
      <c r="Z510" s="224">
        <f t="shared" si="2"/>
        <v>0</v>
      </c>
      <c r="AA510" s="223">
        <f t="shared" si="3"/>
        <v>0</v>
      </c>
      <c r="AB510" s="170">
        <f t="shared" si="4"/>
        <v>0</v>
      </c>
      <c r="AC510" s="170">
        <f t="shared" si="5"/>
        <v>0</v>
      </c>
      <c r="AD510" s="170">
        <f t="shared" si="6"/>
        <v>0</v>
      </c>
      <c r="AE510" s="170"/>
      <c r="AF510" s="225">
        <f t="shared" si="8"/>
        <v>0</v>
      </c>
    </row>
    <row r="511" ht="12.75" customHeight="1">
      <c r="V511" s="30">
        <f t="shared" si="1"/>
        <v>0</v>
      </c>
      <c r="Y511" s="30"/>
      <c r="Z511" s="224">
        <f t="shared" si="2"/>
        <v>0</v>
      </c>
      <c r="AA511" s="223">
        <f t="shared" si="3"/>
        <v>0</v>
      </c>
      <c r="AB511" s="170">
        <f t="shared" si="4"/>
        <v>0</v>
      </c>
      <c r="AC511" s="170">
        <f t="shared" si="5"/>
        <v>0</v>
      </c>
      <c r="AD511" s="170">
        <f t="shared" si="6"/>
        <v>0</v>
      </c>
      <c r="AE511" s="170"/>
      <c r="AF511" s="225">
        <f t="shared" si="8"/>
        <v>0</v>
      </c>
    </row>
    <row r="512" ht="12.75" customHeight="1">
      <c r="V512" s="30">
        <f t="shared" si="1"/>
        <v>0</v>
      </c>
      <c r="Y512" s="30"/>
      <c r="Z512" s="224">
        <f t="shared" si="2"/>
        <v>0</v>
      </c>
      <c r="AA512" s="223">
        <f t="shared" si="3"/>
        <v>0</v>
      </c>
      <c r="AB512" s="170">
        <f t="shared" si="4"/>
        <v>0</v>
      </c>
      <c r="AC512" s="170">
        <f t="shared" si="5"/>
        <v>0</v>
      </c>
      <c r="AD512" s="170">
        <f t="shared" si="6"/>
        <v>0</v>
      </c>
      <c r="AE512" s="170"/>
      <c r="AF512" s="225">
        <f t="shared" si="8"/>
        <v>0</v>
      </c>
    </row>
    <row r="513" ht="12.75" customHeight="1">
      <c r="V513" s="30">
        <f t="shared" si="1"/>
        <v>0</v>
      </c>
      <c r="Y513" s="30"/>
      <c r="Z513" s="224">
        <f t="shared" si="2"/>
        <v>0</v>
      </c>
      <c r="AA513" s="223">
        <f t="shared" si="3"/>
        <v>0</v>
      </c>
      <c r="AB513" s="170">
        <f t="shared" si="4"/>
        <v>0</v>
      </c>
      <c r="AC513" s="170">
        <f t="shared" si="5"/>
        <v>0</v>
      </c>
      <c r="AD513" s="170">
        <f t="shared" si="6"/>
        <v>0</v>
      </c>
      <c r="AE513" s="170"/>
      <c r="AF513" s="225">
        <f t="shared" si="8"/>
        <v>0</v>
      </c>
    </row>
    <row r="514" ht="12.75" customHeight="1">
      <c r="V514" s="30">
        <f t="shared" si="1"/>
        <v>0</v>
      </c>
      <c r="Y514" s="30"/>
      <c r="Z514" s="224">
        <f t="shared" si="2"/>
        <v>0</v>
      </c>
      <c r="AA514" s="223">
        <f t="shared" si="3"/>
        <v>0</v>
      </c>
      <c r="AB514" s="170">
        <f t="shared" si="4"/>
        <v>0</v>
      </c>
      <c r="AC514" s="170">
        <f t="shared" si="5"/>
        <v>0</v>
      </c>
      <c r="AD514" s="170">
        <f t="shared" si="6"/>
        <v>0</v>
      </c>
      <c r="AE514" s="170"/>
      <c r="AF514" s="225">
        <f t="shared" si="8"/>
        <v>0</v>
      </c>
    </row>
    <row r="515" ht="12.75" customHeight="1">
      <c r="V515" s="30">
        <f t="shared" si="1"/>
        <v>0</v>
      </c>
      <c r="Y515" s="30"/>
      <c r="Z515" s="224">
        <f t="shared" si="2"/>
        <v>0</v>
      </c>
      <c r="AA515" s="223">
        <f t="shared" si="3"/>
        <v>0</v>
      </c>
      <c r="AB515" s="170">
        <f t="shared" si="4"/>
        <v>0</v>
      </c>
      <c r="AC515" s="170">
        <f t="shared" si="5"/>
        <v>0</v>
      </c>
      <c r="AD515" s="170">
        <f t="shared" si="6"/>
        <v>0</v>
      </c>
      <c r="AE515" s="170"/>
      <c r="AF515" s="225">
        <f t="shared" si="8"/>
        <v>0</v>
      </c>
    </row>
    <row r="516" ht="12.75" customHeight="1">
      <c r="V516" s="30">
        <f t="shared" si="1"/>
        <v>0</v>
      </c>
      <c r="Y516" s="30"/>
      <c r="Z516" s="224">
        <f t="shared" si="2"/>
        <v>0</v>
      </c>
      <c r="AA516" s="223">
        <f t="shared" si="3"/>
        <v>0</v>
      </c>
      <c r="AB516" s="170">
        <f t="shared" si="4"/>
        <v>0</v>
      </c>
      <c r="AC516" s="170">
        <f t="shared" si="5"/>
        <v>0</v>
      </c>
      <c r="AD516" s="170">
        <f t="shared" si="6"/>
        <v>0</v>
      </c>
      <c r="AE516" s="170"/>
      <c r="AF516" s="225">
        <f t="shared" si="8"/>
        <v>0</v>
      </c>
    </row>
    <row r="517" ht="12.75" customHeight="1">
      <c r="V517" s="30">
        <f t="shared" si="1"/>
        <v>0</v>
      </c>
      <c r="Y517" s="30"/>
      <c r="Z517" s="224">
        <f t="shared" si="2"/>
        <v>0</v>
      </c>
      <c r="AA517" s="223">
        <f t="shared" si="3"/>
        <v>0</v>
      </c>
      <c r="AB517" s="170">
        <f t="shared" si="4"/>
        <v>0</v>
      </c>
      <c r="AC517" s="170">
        <f t="shared" si="5"/>
        <v>0</v>
      </c>
      <c r="AD517" s="170">
        <f t="shared" si="6"/>
        <v>0</v>
      </c>
      <c r="AE517" s="170"/>
      <c r="AF517" s="225">
        <f t="shared" si="8"/>
        <v>0</v>
      </c>
    </row>
    <row r="518" ht="12.75" customHeight="1">
      <c r="V518" s="30">
        <f t="shared" si="1"/>
        <v>0</v>
      </c>
      <c r="Y518" s="30"/>
      <c r="Z518" s="224">
        <f t="shared" si="2"/>
        <v>0</v>
      </c>
      <c r="AA518" s="223">
        <f t="shared" si="3"/>
        <v>0</v>
      </c>
      <c r="AB518" s="170">
        <f t="shared" si="4"/>
        <v>0</v>
      </c>
      <c r="AC518" s="170">
        <f t="shared" si="5"/>
        <v>0</v>
      </c>
      <c r="AD518" s="170">
        <f t="shared" si="6"/>
        <v>0</v>
      </c>
      <c r="AE518" s="170"/>
      <c r="AF518" s="225">
        <f t="shared" si="8"/>
        <v>0</v>
      </c>
    </row>
    <row r="519" ht="12.75" customHeight="1">
      <c r="V519" s="30">
        <f t="shared" si="1"/>
        <v>0</v>
      </c>
      <c r="Y519" s="30"/>
      <c r="Z519" s="224">
        <f t="shared" si="2"/>
        <v>0</v>
      </c>
      <c r="AA519" s="223">
        <f t="shared" si="3"/>
        <v>0</v>
      </c>
      <c r="AB519" s="170">
        <f t="shared" si="4"/>
        <v>0</v>
      </c>
      <c r="AC519" s="170">
        <f t="shared" si="5"/>
        <v>0</v>
      </c>
      <c r="AD519" s="170">
        <f t="shared" si="6"/>
        <v>0</v>
      </c>
      <c r="AE519" s="170"/>
      <c r="AF519" s="225">
        <f t="shared" si="8"/>
        <v>0</v>
      </c>
    </row>
    <row r="520" ht="12.75" customHeight="1">
      <c r="V520" s="30">
        <f t="shared" si="1"/>
        <v>0</v>
      </c>
      <c r="Y520" s="30"/>
      <c r="Z520" s="224">
        <f t="shared" si="2"/>
        <v>0</v>
      </c>
      <c r="AA520" s="223">
        <f t="shared" si="3"/>
        <v>0</v>
      </c>
      <c r="AB520" s="170">
        <f t="shared" si="4"/>
        <v>0</v>
      </c>
      <c r="AC520" s="170">
        <f t="shared" si="5"/>
        <v>0</v>
      </c>
      <c r="AD520" s="170">
        <f t="shared" si="6"/>
        <v>0</v>
      </c>
      <c r="AE520" s="170"/>
      <c r="AF520" s="225">
        <f t="shared" si="8"/>
        <v>0</v>
      </c>
    </row>
    <row r="521" ht="12.75" customHeight="1">
      <c r="V521" s="30">
        <f t="shared" si="1"/>
        <v>0</v>
      </c>
      <c r="Y521" s="30"/>
      <c r="Z521" s="224">
        <f t="shared" si="2"/>
        <v>0</v>
      </c>
      <c r="AA521" s="223">
        <f t="shared" si="3"/>
        <v>0</v>
      </c>
      <c r="AB521" s="170">
        <f t="shared" si="4"/>
        <v>0</v>
      </c>
      <c r="AC521" s="170">
        <f t="shared" si="5"/>
        <v>0</v>
      </c>
      <c r="AD521" s="170">
        <f t="shared" si="6"/>
        <v>0</v>
      </c>
      <c r="AE521" s="170"/>
      <c r="AF521" s="225">
        <f t="shared" si="8"/>
        <v>0</v>
      </c>
    </row>
    <row r="522" ht="12.75" customHeight="1">
      <c r="V522" s="30">
        <f t="shared" si="1"/>
        <v>0</v>
      </c>
      <c r="Y522" s="30"/>
      <c r="Z522" s="224">
        <f t="shared" si="2"/>
        <v>0</v>
      </c>
      <c r="AA522" s="223">
        <f t="shared" si="3"/>
        <v>0</v>
      </c>
      <c r="AB522" s="170">
        <f t="shared" si="4"/>
        <v>0</v>
      </c>
      <c r="AC522" s="170">
        <f t="shared" si="5"/>
        <v>0</v>
      </c>
      <c r="AD522" s="170">
        <f t="shared" si="6"/>
        <v>0</v>
      </c>
      <c r="AE522" s="170"/>
      <c r="AF522" s="225">
        <f t="shared" si="8"/>
        <v>0</v>
      </c>
    </row>
    <row r="523" ht="12.75" customHeight="1">
      <c r="V523" s="30">
        <f t="shared" si="1"/>
        <v>0</v>
      </c>
      <c r="Y523" s="30"/>
      <c r="Z523" s="224">
        <f t="shared" si="2"/>
        <v>0</v>
      </c>
      <c r="AA523" s="223">
        <f t="shared" si="3"/>
        <v>0</v>
      </c>
      <c r="AB523" s="170">
        <f t="shared" si="4"/>
        <v>0</v>
      </c>
      <c r="AC523" s="170">
        <f t="shared" si="5"/>
        <v>0</v>
      </c>
      <c r="AD523" s="170">
        <f t="shared" si="6"/>
        <v>0</v>
      </c>
      <c r="AE523" s="170"/>
      <c r="AF523" s="225">
        <f t="shared" si="8"/>
        <v>0</v>
      </c>
    </row>
    <row r="524" ht="12.75" customHeight="1">
      <c r="V524" s="30">
        <f t="shared" si="1"/>
        <v>0</v>
      </c>
      <c r="Y524" s="30"/>
      <c r="Z524" s="224">
        <f t="shared" si="2"/>
        <v>0</v>
      </c>
      <c r="AA524" s="223">
        <f t="shared" si="3"/>
        <v>0</v>
      </c>
      <c r="AB524" s="170">
        <f t="shared" si="4"/>
        <v>0</v>
      </c>
      <c r="AC524" s="170">
        <f t="shared" si="5"/>
        <v>0</v>
      </c>
      <c r="AD524" s="170">
        <f t="shared" si="6"/>
        <v>0</v>
      </c>
      <c r="AE524" s="170"/>
      <c r="AF524" s="225">
        <f t="shared" si="8"/>
        <v>0</v>
      </c>
    </row>
    <row r="525" ht="12.75" customHeight="1">
      <c r="V525" s="30">
        <f t="shared" si="1"/>
        <v>0</v>
      </c>
      <c r="Y525" s="30"/>
      <c r="Z525" s="224">
        <f t="shared" si="2"/>
        <v>0</v>
      </c>
      <c r="AA525" s="223">
        <f t="shared" si="3"/>
        <v>0</v>
      </c>
      <c r="AB525" s="170">
        <f t="shared" si="4"/>
        <v>0</v>
      </c>
      <c r="AC525" s="170">
        <f t="shared" si="5"/>
        <v>0</v>
      </c>
      <c r="AD525" s="170">
        <f t="shared" si="6"/>
        <v>0</v>
      </c>
      <c r="AE525" s="170"/>
      <c r="AF525" s="225">
        <f t="shared" si="8"/>
        <v>0</v>
      </c>
    </row>
    <row r="526" ht="12.75" customHeight="1">
      <c r="V526" s="30">
        <f t="shared" si="1"/>
        <v>0</v>
      </c>
      <c r="Y526" s="30"/>
      <c r="Z526" s="224">
        <f t="shared" si="2"/>
        <v>0</v>
      </c>
      <c r="AA526" s="223">
        <f t="shared" si="3"/>
        <v>0</v>
      </c>
      <c r="AB526" s="170">
        <f t="shared" si="4"/>
        <v>0</v>
      </c>
      <c r="AC526" s="170">
        <f t="shared" si="5"/>
        <v>0</v>
      </c>
      <c r="AD526" s="170">
        <f t="shared" si="6"/>
        <v>0</v>
      </c>
      <c r="AE526" s="170"/>
      <c r="AF526" s="225">
        <f t="shared" si="8"/>
        <v>0</v>
      </c>
    </row>
    <row r="527" ht="12.75" customHeight="1">
      <c r="V527" s="30">
        <f t="shared" si="1"/>
        <v>0</v>
      </c>
      <c r="Y527" s="30"/>
      <c r="Z527" s="224">
        <f t="shared" si="2"/>
        <v>0</v>
      </c>
      <c r="AA527" s="223">
        <f t="shared" si="3"/>
        <v>0</v>
      </c>
      <c r="AB527" s="170">
        <f t="shared" si="4"/>
        <v>0</v>
      </c>
      <c r="AC527" s="170">
        <f t="shared" si="5"/>
        <v>0</v>
      </c>
      <c r="AD527" s="170">
        <f t="shared" si="6"/>
        <v>0</v>
      </c>
      <c r="AE527" s="170"/>
      <c r="AF527" s="225">
        <f t="shared" si="8"/>
        <v>0</v>
      </c>
    </row>
    <row r="528" ht="12.75" customHeight="1">
      <c r="V528" s="30">
        <f t="shared" si="1"/>
        <v>0</v>
      </c>
      <c r="Y528" s="30"/>
      <c r="Z528" s="224">
        <f t="shared" si="2"/>
        <v>0</v>
      </c>
      <c r="AA528" s="223">
        <f t="shared" si="3"/>
        <v>0</v>
      </c>
      <c r="AB528" s="170">
        <f t="shared" si="4"/>
        <v>0</v>
      </c>
      <c r="AC528" s="170">
        <f t="shared" si="5"/>
        <v>0</v>
      </c>
      <c r="AD528" s="170">
        <f t="shared" si="6"/>
        <v>0</v>
      </c>
      <c r="AE528" s="170"/>
      <c r="AF528" s="225">
        <f t="shared" si="8"/>
        <v>0</v>
      </c>
    </row>
    <row r="529" ht="12.75" customHeight="1">
      <c r="V529" s="30">
        <f t="shared" si="1"/>
        <v>0</v>
      </c>
      <c r="Y529" s="30"/>
      <c r="Z529" s="224">
        <f t="shared" si="2"/>
        <v>0</v>
      </c>
      <c r="AA529" s="223">
        <f t="shared" si="3"/>
        <v>0</v>
      </c>
      <c r="AB529" s="170">
        <f t="shared" si="4"/>
        <v>0</v>
      </c>
      <c r="AC529" s="170">
        <f t="shared" si="5"/>
        <v>0</v>
      </c>
      <c r="AD529" s="170">
        <f t="shared" si="6"/>
        <v>0</v>
      </c>
      <c r="AE529" s="170"/>
      <c r="AF529" s="225">
        <f t="shared" si="8"/>
        <v>0</v>
      </c>
    </row>
    <row r="530" ht="12.75" customHeight="1">
      <c r="V530" s="30">
        <f t="shared" si="1"/>
        <v>0</v>
      </c>
      <c r="Y530" s="30"/>
      <c r="Z530" s="224">
        <f t="shared" si="2"/>
        <v>0</v>
      </c>
      <c r="AA530" s="223">
        <f t="shared" si="3"/>
        <v>0</v>
      </c>
      <c r="AB530" s="170">
        <f t="shared" si="4"/>
        <v>0</v>
      </c>
      <c r="AC530" s="170">
        <f t="shared" si="5"/>
        <v>0</v>
      </c>
      <c r="AD530" s="170">
        <f t="shared" si="6"/>
        <v>0</v>
      </c>
      <c r="AE530" s="170"/>
      <c r="AF530" s="225">
        <f t="shared" si="8"/>
        <v>0</v>
      </c>
    </row>
    <row r="531" ht="12.75" customHeight="1">
      <c r="V531" s="30">
        <f t="shared" si="1"/>
        <v>0</v>
      </c>
      <c r="Y531" s="30"/>
      <c r="Z531" s="224">
        <f t="shared" si="2"/>
        <v>0</v>
      </c>
      <c r="AA531" s="223">
        <f t="shared" si="3"/>
        <v>0</v>
      </c>
      <c r="AB531" s="170">
        <f t="shared" si="4"/>
        <v>0</v>
      </c>
      <c r="AC531" s="170">
        <f t="shared" si="5"/>
        <v>0</v>
      </c>
      <c r="AD531" s="170">
        <f t="shared" si="6"/>
        <v>0</v>
      </c>
      <c r="AE531" s="170"/>
      <c r="AF531" s="225">
        <f t="shared" si="8"/>
        <v>0</v>
      </c>
    </row>
    <row r="532" ht="12.75" customHeight="1">
      <c r="V532" s="30">
        <f t="shared" si="1"/>
        <v>0</v>
      </c>
      <c r="Y532" s="30"/>
      <c r="Z532" s="224">
        <f t="shared" si="2"/>
        <v>0</v>
      </c>
      <c r="AA532" s="223">
        <f t="shared" si="3"/>
        <v>0</v>
      </c>
      <c r="AB532" s="170">
        <f t="shared" si="4"/>
        <v>0</v>
      </c>
      <c r="AC532" s="170">
        <f t="shared" si="5"/>
        <v>0</v>
      </c>
      <c r="AD532" s="170">
        <f t="shared" si="6"/>
        <v>0</v>
      </c>
      <c r="AE532" s="170"/>
      <c r="AF532" s="225">
        <f t="shared" si="8"/>
        <v>0</v>
      </c>
    </row>
    <row r="533" ht="12.75" customHeight="1">
      <c r="V533" s="30">
        <f t="shared" si="1"/>
        <v>0</v>
      </c>
      <c r="Y533" s="30"/>
      <c r="Z533" s="224">
        <f t="shared" si="2"/>
        <v>0</v>
      </c>
      <c r="AA533" s="223">
        <f t="shared" si="3"/>
        <v>0</v>
      </c>
      <c r="AB533" s="170">
        <f t="shared" si="4"/>
        <v>0</v>
      </c>
      <c r="AC533" s="170">
        <f t="shared" si="5"/>
        <v>0</v>
      </c>
      <c r="AD533" s="170">
        <f t="shared" si="6"/>
        <v>0</v>
      </c>
      <c r="AE533" s="170"/>
      <c r="AF533" s="225">
        <f t="shared" si="8"/>
        <v>0</v>
      </c>
    </row>
    <row r="534" ht="12.75" customHeight="1">
      <c r="V534" s="30">
        <f t="shared" si="1"/>
        <v>0</v>
      </c>
      <c r="Y534" s="30"/>
      <c r="Z534" s="224">
        <f t="shared" si="2"/>
        <v>0</v>
      </c>
      <c r="AA534" s="223">
        <f t="shared" si="3"/>
        <v>0</v>
      </c>
      <c r="AB534" s="170">
        <f t="shared" si="4"/>
        <v>0</v>
      </c>
      <c r="AC534" s="170">
        <f t="shared" si="5"/>
        <v>0</v>
      </c>
      <c r="AD534" s="170">
        <f t="shared" si="6"/>
        <v>0</v>
      </c>
      <c r="AE534" s="170"/>
      <c r="AF534" s="225">
        <f t="shared" si="8"/>
        <v>0</v>
      </c>
    </row>
    <row r="535" ht="12.75" customHeight="1">
      <c r="V535" s="30">
        <f t="shared" si="1"/>
        <v>0</v>
      </c>
      <c r="Y535" s="30"/>
      <c r="Z535" s="224">
        <f t="shared" si="2"/>
        <v>0</v>
      </c>
      <c r="AA535" s="223">
        <f t="shared" si="3"/>
        <v>0</v>
      </c>
      <c r="AB535" s="170">
        <f t="shared" si="4"/>
        <v>0</v>
      </c>
      <c r="AC535" s="170">
        <f t="shared" si="5"/>
        <v>0</v>
      </c>
      <c r="AD535" s="170">
        <f t="shared" si="6"/>
        <v>0</v>
      </c>
      <c r="AE535" s="170"/>
      <c r="AF535" s="225">
        <f t="shared" si="8"/>
        <v>0</v>
      </c>
    </row>
    <row r="536" ht="12.75" customHeight="1">
      <c r="V536" s="30">
        <f t="shared" si="1"/>
        <v>0</v>
      </c>
      <c r="Y536" s="30"/>
      <c r="Z536" s="224">
        <f t="shared" si="2"/>
        <v>0</v>
      </c>
      <c r="AA536" s="223">
        <f t="shared" si="3"/>
        <v>0</v>
      </c>
      <c r="AB536" s="170">
        <f t="shared" si="4"/>
        <v>0</v>
      </c>
      <c r="AC536" s="170">
        <f t="shared" si="5"/>
        <v>0</v>
      </c>
      <c r="AD536" s="170">
        <f t="shared" si="6"/>
        <v>0</v>
      </c>
      <c r="AE536" s="170"/>
      <c r="AF536" s="225">
        <f t="shared" si="8"/>
        <v>0</v>
      </c>
    </row>
    <row r="537" ht="12.75" customHeight="1">
      <c r="V537" s="30">
        <f t="shared" si="1"/>
        <v>0</v>
      </c>
      <c r="Y537" s="30"/>
      <c r="Z537" s="224">
        <f t="shared" si="2"/>
        <v>0</v>
      </c>
      <c r="AA537" s="223">
        <f t="shared" si="3"/>
        <v>0</v>
      </c>
      <c r="AB537" s="170">
        <f t="shared" si="4"/>
        <v>0</v>
      </c>
      <c r="AC537" s="170">
        <f t="shared" si="5"/>
        <v>0</v>
      </c>
      <c r="AD537" s="170">
        <f t="shared" si="6"/>
        <v>0</v>
      </c>
      <c r="AE537" s="170"/>
      <c r="AF537" s="225">
        <f t="shared" si="8"/>
        <v>0</v>
      </c>
    </row>
    <row r="538" ht="12.75" customHeight="1">
      <c r="V538" s="30">
        <f t="shared" si="1"/>
        <v>0</v>
      </c>
      <c r="Y538" s="30"/>
      <c r="Z538" s="224">
        <f t="shared" si="2"/>
        <v>0</v>
      </c>
      <c r="AA538" s="223">
        <f t="shared" si="3"/>
        <v>0</v>
      </c>
      <c r="AB538" s="170">
        <f t="shared" si="4"/>
        <v>0</v>
      </c>
      <c r="AC538" s="170">
        <f t="shared" si="5"/>
        <v>0</v>
      </c>
      <c r="AD538" s="170">
        <f t="shared" si="6"/>
        <v>0</v>
      </c>
      <c r="AE538" s="170"/>
      <c r="AF538" s="225">
        <f t="shared" si="8"/>
        <v>0</v>
      </c>
    </row>
    <row r="539" ht="12.75" customHeight="1">
      <c r="V539" s="30">
        <f t="shared" si="1"/>
        <v>0</v>
      </c>
      <c r="Y539" s="30"/>
      <c r="Z539" s="224">
        <f t="shared" si="2"/>
        <v>0</v>
      </c>
      <c r="AA539" s="223">
        <f t="shared" si="3"/>
        <v>0</v>
      </c>
      <c r="AB539" s="170">
        <f t="shared" si="4"/>
        <v>0</v>
      </c>
      <c r="AC539" s="170">
        <f t="shared" si="5"/>
        <v>0</v>
      </c>
      <c r="AD539" s="170">
        <f t="shared" si="6"/>
        <v>0</v>
      </c>
      <c r="AE539" s="170"/>
      <c r="AF539" s="225">
        <f t="shared" si="8"/>
        <v>0</v>
      </c>
    </row>
    <row r="540" ht="12.75" customHeight="1">
      <c r="V540" s="30">
        <f t="shared" si="1"/>
        <v>0</v>
      </c>
      <c r="Y540" s="30"/>
      <c r="Z540" s="224">
        <f t="shared" si="2"/>
        <v>0</v>
      </c>
      <c r="AA540" s="223">
        <f t="shared" si="3"/>
        <v>0</v>
      </c>
      <c r="AB540" s="170">
        <f t="shared" si="4"/>
        <v>0</v>
      </c>
      <c r="AC540" s="170">
        <f t="shared" si="5"/>
        <v>0</v>
      </c>
      <c r="AD540" s="170">
        <f t="shared" si="6"/>
        <v>0</v>
      </c>
      <c r="AE540" s="170"/>
      <c r="AF540" s="225">
        <f t="shared" si="8"/>
        <v>0</v>
      </c>
    </row>
    <row r="541" ht="12.75" customHeight="1">
      <c r="V541" s="30">
        <f t="shared" si="1"/>
        <v>0</v>
      </c>
      <c r="Y541" s="30"/>
      <c r="Z541" s="224">
        <f t="shared" si="2"/>
        <v>0</v>
      </c>
      <c r="AA541" s="223">
        <f t="shared" si="3"/>
        <v>0</v>
      </c>
      <c r="AB541" s="170">
        <f t="shared" si="4"/>
        <v>0</v>
      </c>
      <c r="AC541" s="170">
        <f t="shared" si="5"/>
        <v>0</v>
      </c>
      <c r="AD541" s="170">
        <f t="shared" si="6"/>
        <v>0</v>
      </c>
      <c r="AE541" s="170"/>
      <c r="AF541" s="225">
        <f t="shared" si="8"/>
        <v>0</v>
      </c>
    </row>
    <row r="542" ht="12.75" customHeight="1">
      <c r="V542" s="30">
        <f t="shared" si="1"/>
        <v>0</v>
      </c>
      <c r="Y542" s="30"/>
      <c r="Z542" s="224">
        <f t="shared" si="2"/>
        <v>0</v>
      </c>
      <c r="AA542" s="223">
        <f t="shared" si="3"/>
        <v>0</v>
      </c>
      <c r="AB542" s="170">
        <f t="shared" si="4"/>
        <v>0</v>
      </c>
      <c r="AC542" s="170">
        <f t="shared" si="5"/>
        <v>0</v>
      </c>
      <c r="AD542" s="170">
        <f t="shared" si="6"/>
        <v>0</v>
      </c>
      <c r="AE542" s="170"/>
      <c r="AF542" s="225">
        <f t="shared" si="8"/>
        <v>0</v>
      </c>
    </row>
    <row r="543" ht="12.75" customHeight="1">
      <c r="V543" s="30">
        <f t="shared" si="1"/>
        <v>0</v>
      </c>
      <c r="Y543" s="30"/>
      <c r="Z543" s="224">
        <f t="shared" si="2"/>
        <v>0</v>
      </c>
      <c r="AA543" s="223">
        <f t="shared" si="3"/>
        <v>0</v>
      </c>
      <c r="AB543" s="170">
        <f t="shared" si="4"/>
        <v>0</v>
      </c>
      <c r="AC543" s="170">
        <f t="shared" si="5"/>
        <v>0</v>
      </c>
      <c r="AD543" s="170">
        <f t="shared" si="6"/>
        <v>0</v>
      </c>
      <c r="AE543" s="170"/>
      <c r="AF543" s="225">
        <f t="shared" si="8"/>
        <v>0</v>
      </c>
    </row>
    <row r="544" ht="12.75" customHeight="1">
      <c r="V544" s="30">
        <f t="shared" si="1"/>
        <v>0</v>
      </c>
      <c r="Y544" s="30"/>
      <c r="Z544" s="224">
        <f t="shared" si="2"/>
        <v>0</v>
      </c>
      <c r="AA544" s="223">
        <f t="shared" si="3"/>
        <v>0</v>
      </c>
      <c r="AB544" s="170">
        <f t="shared" si="4"/>
        <v>0</v>
      </c>
      <c r="AC544" s="170">
        <f t="shared" si="5"/>
        <v>0</v>
      </c>
      <c r="AD544" s="170">
        <f t="shared" si="6"/>
        <v>0</v>
      </c>
      <c r="AE544" s="170"/>
      <c r="AF544" s="225">
        <f t="shared" si="8"/>
        <v>0</v>
      </c>
    </row>
    <row r="545" ht="12.75" customHeight="1">
      <c r="V545" s="30">
        <f t="shared" si="1"/>
        <v>0</v>
      </c>
      <c r="Y545" s="30"/>
      <c r="Z545" s="224">
        <f t="shared" si="2"/>
        <v>0</v>
      </c>
      <c r="AA545" s="223">
        <f t="shared" si="3"/>
        <v>0</v>
      </c>
      <c r="AB545" s="170">
        <f t="shared" si="4"/>
        <v>0</v>
      </c>
      <c r="AC545" s="170">
        <f t="shared" si="5"/>
        <v>0</v>
      </c>
      <c r="AD545" s="170">
        <f t="shared" si="6"/>
        <v>0</v>
      </c>
      <c r="AE545" s="170"/>
      <c r="AF545" s="225">
        <f t="shared" si="8"/>
        <v>0</v>
      </c>
    </row>
    <row r="546" ht="12.75" customHeight="1">
      <c r="V546" s="30">
        <f t="shared" si="1"/>
        <v>0</v>
      </c>
      <c r="Y546" s="30"/>
      <c r="Z546" s="224">
        <f t="shared" si="2"/>
        <v>0</v>
      </c>
      <c r="AA546" s="223">
        <f t="shared" si="3"/>
        <v>0</v>
      </c>
      <c r="AB546" s="170">
        <f t="shared" si="4"/>
        <v>0</v>
      </c>
      <c r="AC546" s="170">
        <f t="shared" si="5"/>
        <v>0</v>
      </c>
      <c r="AD546" s="170">
        <f t="shared" si="6"/>
        <v>0</v>
      </c>
      <c r="AE546" s="170"/>
      <c r="AF546" s="225">
        <f t="shared" si="8"/>
        <v>0</v>
      </c>
    </row>
    <row r="547" ht="12.75" customHeight="1">
      <c r="V547" s="30">
        <f t="shared" si="1"/>
        <v>0</v>
      </c>
      <c r="Y547" s="30"/>
      <c r="Z547" s="224">
        <f t="shared" si="2"/>
        <v>0</v>
      </c>
      <c r="AA547" s="223">
        <f t="shared" si="3"/>
        <v>0</v>
      </c>
      <c r="AB547" s="170">
        <f t="shared" si="4"/>
        <v>0</v>
      </c>
      <c r="AC547" s="170">
        <f t="shared" si="5"/>
        <v>0</v>
      </c>
      <c r="AD547" s="170">
        <f t="shared" si="6"/>
        <v>0</v>
      </c>
      <c r="AE547" s="170"/>
      <c r="AF547" s="225">
        <f t="shared" si="8"/>
        <v>0</v>
      </c>
    </row>
    <row r="548" ht="12.75" customHeight="1">
      <c r="V548" s="30">
        <f t="shared" si="1"/>
        <v>0</v>
      </c>
      <c r="Y548" s="30"/>
      <c r="Z548" s="224">
        <f t="shared" si="2"/>
        <v>0</v>
      </c>
      <c r="AA548" s="223">
        <f t="shared" si="3"/>
        <v>0</v>
      </c>
      <c r="AB548" s="170">
        <f t="shared" si="4"/>
        <v>0</v>
      </c>
      <c r="AC548" s="170">
        <f t="shared" si="5"/>
        <v>0</v>
      </c>
      <c r="AD548" s="170">
        <f t="shared" si="6"/>
        <v>0</v>
      </c>
      <c r="AE548" s="170"/>
      <c r="AF548" s="225">
        <f t="shared" si="8"/>
        <v>0</v>
      </c>
    </row>
    <row r="549" ht="12.75" customHeight="1">
      <c r="V549" s="30">
        <f t="shared" si="1"/>
        <v>0</v>
      </c>
      <c r="Y549" s="30"/>
      <c r="Z549" s="224">
        <f t="shared" si="2"/>
        <v>0</v>
      </c>
      <c r="AA549" s="223">
        <f t="shared" si="3"/>
        <v>0</v>
      </c>
      <c r="AB549" s="170">
        <f t="shared" si="4"/>
        <v>0</v>
      </c>
      <c r="AC549" s="170">
        <f t="shared" si="5"/>
        <v>0</v>
      </c>
      <c r="AD549" s="170">
        <f t="shared" si="6"/>
        <v>0</v>
      </c>
      <c r="AE549" s="170"/>
      <c r="AF549" s="225">
        <f t="shared" si="8"/>
        <v>0</v>
      </c>
    </row>
    <row r="550" ht="12.75" customHeight="1">
      <c r="V550" s="30">
        <f t="shared" si="1"/>
        <v>0</v>
      </c>
      <c r="Y550" s="30"/>
      <c r="Z550" s="224">
        <f t="shared" si="2"/>
        <v>0</v>
      </c>
      <c r="AA550" s="223">
        <f t="shared" si="3"/>
        <v>0</v>
      </c>
      <c r="AB550" s="170">
        <f t="shared" si="4"/>
        <v>0</v>
      </c>
      <c r="AC550" s="170">
        <f t="shared" si="5"/>
        <v>0</v>
      </c>
      <c r="AD550" s="170">
        <f t="shared" si="6"/>
        <v>0</v>
      </c>
      <c r="AE550" s="170"/>
      <c r="AF550" s="225">
        <f t="shared" si="8"/>
        <v>0</v>
      </c>
    </row>
    <row r="551" ht="12.75" customHeight="1">
      <c r="V551" s="30">
        <f t="shared" si="1"/>
        <v>0</v>
      </c>
      <c r="Y551" s="30"/>
      <c r="Z551" s="224">
        <f t="shared" si="2"/>
        <v>0</v>
      </c>
      <c r="AA551" s="223">
        <f t="shared" si="3"/>
        <v>0</v>
      </c>
      <c r="AB551" s="170">
        <f t="shared" si="4"/>
        <v>0</v>
      </c>
      <c r="AC551" s="170">
        <f t="shared" si="5"/>
        <v>0</v>
      </c>
      <c r="AD551" s="170">
        <f t="shared" si="6"/>
        <v>0</v>
      </c>
      <c r="AE551" s="170"/>
      <c r="AF551" s="225">
        <f t="shared" si="8"/>
        <v>0</v>
      </c>
    </row>
    <row r="552" ht="12.75" customHeight="1">
      <c r="V552" s="30">
        <f t="shared" si="1"/>
        <v>0</v>
      </c>
      <c r="Y552" s="30"/>
      <c r="Z552" s="224">
        <f t="shared" si="2"/>
        <v>0</v>
      </c>
      <c r="AA552" s="223">
        <f t="shared" si="3"/>
        <v>0</v>
      </c>
      <c r="AB552" s="170">
        <f t="shared" si="4"/>
        <v>0</v>
      </c>
      <c r="AC552" s="170">
        <f t="shared" si="5"/>
        <v>0</v>
      </c>
      <c r="AD552" s="170">
        <f t="shared" si="6"/>
        <v>0</v>
      </c>
      <c r="AE552" s="170"/>
      <c r="AF552" s="225">
        <f t="shared" si="8"/>
        <v>0</v>
      </c>
    </row>
    <row r="553" ht="12.75" customHeight="1">
      <c r="V553" s="30">
        <f t="shared" si="1"/>
        <v>0</v>
      </c>
      <c r="Y553" s="30"/>
      <c r="Z553" s="224">
        <f t="shared" si="2"/>
        <v>0</v>
      </c>
      <c r="AA553" s="223">
        <f t="shared" si="3"/>
        <v>0</v>
      </c>
      <c r="AB553" s="170">
        <f t="shared" si="4"/>
        <v>0</v>
      </c>
      <c r="AC553" s="170">
        <f t="shared" si="5"/>
        <v>0</v>
      </c>
      <c r="AD553" s="170">
        <f t="shared" si="6"/>
        <v>0</v>
      </c>
      <c r="AE553" s="170"/>
      <c r="AF553" s="225">
        <f t="shared" si="8"/>
        <v>0</v>
      </c>
    </row>
    <row r="554" ht="12.75" customHeight="1">
      <c r="V554" s="30">
        <f t="shared" si="1"/>
        <v>0</v>
      </c>
      <c r="Y554" s="30"/>
      <c r="Z554" s="224">
        <f t="shared" si="2"/>
        <v>0</v>
      </c>
      <c r="AA554" s="223">
        <f t="shared" si="3"/>
        <v>0</v>
      </c>
      <c r="AB554" s="170">
        <f t="shared" si="4"/>
        <v>0</v>
      </c>
      <c r="AC554" s="170">
        <f t="shared" si="5"/>
        <v>0</v>
      </c>
      <c r="AD554" s="170">
        <f t="shared" si="6"/>
        <v>0</v>
      </c>
      <c r="AE554" s="170"/>
      <c r="AF554" s="225">
        <f t="shared" si="8"/>
        <v>0</v>
      </c>
    </row>
    <row r="555" ht="12.75" customHeight="1">
      <c r="V555" s="30">
        <f t="shared" si="1"/>
        <v>0</v>
      </c>
      <c r="Y555" s="30"/>
      <c r="Z555" s="224">
        <f t="shared" si="2"/>
        <v>0</v>
      </c>
      <c r="AA555" s="223">
        <f t="shared" si="3"/>
        <v>0</v>
      </c>
      <c r="AB555" s="170">
        <f t="shared" si="4"/>
        <v>0</v>
      </c>
      <c r="AC555" s="170">
        <f t="shared" si="5"/>
        <v>0</v>
      </c>
      <c r="AD555" s="170">
        <f t="shared" si="6"/>
        <v>0</v>
      </c>
      <c r="AE555" s="170"/>
      <c r="AF555" s="225">
        <f t="shared" si="8"/>
        <v>0</v>
      </c>
    </row>
    <row r="556" ht="12.75" customHeight="1">
      <c r="V556" s="30">
        <f t="shared" si="1"/>
        <v>0</v>
      </c>
      <c r="Y556" s="30"/>
      <c r="Z556" s="224">
        <f t="shared" si="2"/>
        <v>0</v>
      </c>
      <c r="AA556" s="223">
        <f t="shared" si="3"/>
        <v>0</v>
      </c>
      <c r="AB556" s="170">
        <f t="shared" si="4"/>
        <v>0</v>
      </c>
      <c r="AC556" s="170">
        <f t="shared" si="5"/>
        <v>0</v>
      </c>
      <c r="AD556" s="170">
        <f t="shared" si="6"/>
        <v>0</v>
      </c>
      <c r="AE556" s="170"/>
      <c r="AF556" s="225">
        <f t="shared" si="8"/>
        <v>0</v>
      </c>
    </row>
    <row r="557" ht="12.75" customHeight="1">
      <c r="V557" s="30">
        <f t="shared" si="1"/>
        <v>0</v>
      </c>
      <c r="Y557" s="30"/>
      <c r="Z557" s="224">
        <f t="shared" si="2"/>
        <v>0</v>
      </c>
      <c r="AA557" s="223">
        <f t="shared" si="3"/>
        <v>0</v>
      </c>
      <c r="AB557" s="170">
        <f t="shared" si="4"/>
        <v>0</v>
      </c>
      <c r="AC557" s="170">
        <f t="shared" si="5"/>
        <v>0</v>
      </c>
      <c r="AD557" s="170">
        <f t="shared" si="6"/>
        <v>0</v>
      </c>
      <c r="AE557" s="170"/>
      <c r="AF557" s="225">
        <f t="shared" si="8"/>
        <v>0</v>
      </c>
    </row>
    <row r="558" ht="12.75" customHeight="1">
      <c r="V558" s="30">
        <f t="shared" si="1"/>
        <v>0</v>
      </c>
      <c r="Y558" s="30"/>
      <c r="Z558" s="224">
        <f t="shared" si="2"/>
        <v>0</v>
      </c>
      <c r="AA558" s="223">
        <f t="shared" si="3"/>
        <v>0</v>
      </c>
      <c r="AB558" s="170">
        <f t="shared" si="4"/>
        <v>0</v>
      </c>
      <c r="AC558" s="170">
        <f t="shared" si="5"/>
        <v>0</v>
      </c>
      <c r="AD558" s="170">
        <f t="shared" si="6"/>
        <v>0</v>
      </c>
      <c r="AE558" s="170"/>
      <c r="AF558" s="225">
        <f t="shared" si="8"/>
        <v>0</v>
      </c>
    </row>
    <row r="559" ht="12.75" customHeight="1">
      <c r="V559" s="30">
        <f t="shared" si="1"/>
        <v>0</v>
      </c>
      <c r="Y559" s="30"/>
      <c r="Z559" s="224">
        <f t="shared" si="2"/>
        <v>0</v>
      </c>
      <c r="AA559" s="223">
        <f t="shared" si="3"/>
        <v>0</v>
      </c>
      <c r="AB559" s="170">
        <f t="shared" si="4"/>
        <v>0</v>
      </c>
      <c r="AC559" s="170">
        <f t="shared" si="5"/>
        <v>0</v>
      </c>
      <c r="AD559" s="170">
        <f t="shared" si="6"/>
        <v>0</v>
      </c>
      <c r="AE559" s="170"/>
      <c r="AF559" s="225">
        <f t="shared" si="8"/>
        <v>0</v>
      </c>
    </row>
    <row r="560" ht="12.75" customHeight="1">
      <c r="V560" s="30">
        <f t="shared" si="1"/>
        <v>0</v>
      </c>
      <c r="Y560" s="30"/>
      <c r="Z560" s="224">
        <f t="shared" si="2"/>
        <v>0</v>
      </c>
      <c r="AA560" s="223">
        <f t="shared" si="3"/>
        <v>0</v>
      </c>
      <c r="AB560" s="170">
        <f t="shared" si="4"/>
        <v>0</v>
      </c>
      <c r="AC560" s="170">
        <f t="shared" si="5"/>
        <v>0</v>
      </c>
      <c r="AD560" s="170">
        <f t="shared" si="6"/>
        <v>0</v>
      </c>
      <c r="AE560" s="170"/>
      <c r="AF560" s="225">
        <f t="shared" si="8"/>
        <v>0</v>
      </c>
    </row>
    <row r="561" ht="12.75" customHeight="1">
      <c r="V561" s="30">
        <f t="shared" si="1"/>
        <v>0</v>
      </c>
      <c r="Y561" s="30"/>
      <c r="Z561" s="224">
        <f t="shared" si="2"/>
        <v>0</v>
      </c>
      <c r="AA561" s="223">
        <f t="shared" si="3"/>
        <v>0</v>
      </c>
      <c r="AB561" s="170">
        <f t="shared" si="4"/>
        <v>0</v>
      </c>
      <c r="AC561" s="170">
        <f t="shared" si="5"/>
        <v>0</v>
      </c>
      <c r="AD561" s="170">
        <f t="shared" si="6"/>
        <v>0</v>
      </c>
      <c r="AE561" s="170"/>
      <c r="AF561" s="225">
        <f t="shared" si="8"/>
        <v>0</v>
      </c>
    </row>
    <row r="562" ht="12.75" customHeight="1">
      <c r="V562" s="30">
        <f t="shared" si="1"/>
        <v>0</v>
      </c>
      <c r="Y562" s="30"/>
      <c r="Z562" s="224">
        <f t="shared" si="2"/>
        <v>0</v>
      </c>
      <c r="AA562" s="223">
        <f t="shared" si="3"/>
        <v>0</v>
      </c>
      <c r="AB562" s="170">
        <f t="shared" si="4"/>
        <v>0</v>
      </c>
      <c r="AC562" s="170">
        <f t="shared" si="5"/>
        <v>0</v>
      </c>
      <c r="AD562" s="170">
        <f t="shared" si="6"/>
        <v>0</v>
      </c>
      <c r="AE562" s="170"/>
      <c r="AF562" s="225">
        <f t="shared" si="8"/>
        <v>0</v>
      </c>
    </row>
    <row r="563" ht="12.75" customHeight="1">
      <c r="V563" s="30">
        <f t="shared" si="1"/>
        <v>0</v>
      </c>
      <c r="Y563" s="30"/>
      <c r="Z563" s="224">
        <f t="shared" si="2"/>
        <v>0</v>
      </c>
      <c r="AA563" s="223">
        <f t="shared" si="3"/>
        <v>0</v>
      </c>
      <c r="AB563" s="170">
        <f t="shared" si="4"/>
        <v>0</v>
      </c>
      <c r="AC563" s="170">
        <f t="shared" si="5"/>
        <v>0</v>
      </c>
      <c r="AD563" s="170">
        <f t="shared" si="6"/>
        <v>0</v>
      </c>
      <c r="AE563" s="170"/>
      <c r="AF563" s="225">
        <f t="shared" si="8"/>
        <v>0</v>
      </c>
    </row>
    <row r="564" ht="12.75" customHeight="1">
      <c r="V564" s="30">
        <f t="shared" si="1"/>
        <v>0</v>
      </c>
      <c r="Y564" s="30"/>
      <c r="Z564" s="224">
        <f t="shared" si="2"/>
        <v>0</v>
      </c>
      <c r="AA564" s="223">
        <f t="shared" si="3"/>
        <v>0</v>
      </c>
      <c r="AB564" s="170">
        <f t="shared" si="4"/>
        <v>0</v>
      </c>
      <c r="AC564" s="170">
        <f t="shared" si="5"/>
        <v>0</v>
      </c>
      <c r="AD564" s="170">
        <f t="shared" si="6"/>
        <v>0</v>
      </c>
      <c r="AE564" s="170"/>
      <c r="AF564" s="225">
        <f t="shared" si="8"/>
        <v>0</v>
      </c>
    </row>
    <row r="565" ht="12.75" customHeight="1">
      <c r="V565" s="30">
        <f t="shared" si="1"/>
        <v>0</v>
      </c>
      <c r="Y565" s="30"/>
      <c r="Z565" s="224">
        <f t="shared" si="2"/>
        <v>0</v>
      </c>
      <c r="AA565" s="223">
        <f t="shared" si="3"/>
        <v>0</v>
      </c>
      <c r="AB565" s="170">
        <f t="shared" si="4"/>
        <v>0</v>
      </c>
      <c r="AC565" s="170">
        <f t="shared" si="5"/>
        <v>0</v>
      </c>
      <c r="AD565" s="170">
        <f t="shared" si="6"/>
        <v>0</v>
      </c>
      <c r="AE565" s="170"/>
      <c r="AF565" s="225">
        <f t="shared" si="8"/>
        <v>0</v>
      </c>
    </row>
    <row r="566" ht="12.75" customHeight="1">
      <c r="V566" s="30">
        <f t="shared" si="1"/>
        <v>0</v>
      </c>
      <c r="Y566" s="30"/>
      <c r="Z566" s="224">
        <f t="shared" si="2"/>
        <v>0</v>
      </c>
      <c r="AA566" s="223">
        <f t="shared" si="3"/>
        <v>0</v>
      </c>
      <c r="AB566" s="170">
        <f t="shared" si="4"/>
        <v>0</v>
      </c>
      <c r="AC566" s="170">
        <f t="shared" si="5"/>
        <v>0</v>
      </c>
      <c r="AD566" s="170">
        <f t="shared" si="6"/>
        <v>0</v>
      </c>
      <c r="AE566" s="170"/>
      <c r="AF566" s="225">
        <f t="shared" si="8"/>
        <v>0</v>
      </c>
    </row>
    <row r="567" ht="12.75" customHeight="1">
      <c r="V567" s="30">
        <f t="shared" si="1"/>
        <v>0</v>
      </c>
      <c r="Y567" s="30"/>
      <c r="Z567" s="224">
        <f t="shared" si="2"/>
        <v>0</v>
      </c>
      <c r="AA567" s="223">
        <f t="shared" si="3"/>
        <v>0</v>
      </c>
      <c r="AB567" s="170">
        <f t="shared" si="4"/>
        <v>0</v>
      </c>
      <c r="AC567" s="170">
        <f t="shared" si="5"/>
        <v>0</v>
      </c>
      <c r="AD567" s="170">
        <f t="shared" si="6"/>
        <v>0</v>
      </c>
      <c r="AE567" s="170"/>
      <c r="AF567" s="225">
        <f t="shared" si="8"/>
        <v>0</v>
      </c>
    </row>
    <row r="568" ht="12.75" customHeight="1">
      <c r="V568" s="30">
        <f t="shared" si="1"/>
        <v>0</v>
      </c>
      <c r="Y568" s="30"/>
      <c r="Z568" s="224">
        <f t="shared" si="2"/>
        <v>0</v>
      </c>
      <c r="AA568" s="223">
        <f t="shared" si="3"/>
        <v>0</v>
      </c>
      <c r="AB568" s="170">
        <f t="shared" si="4"/>
        <v>0</v>
      </c>
      <c r="AC568" s="170">
        <f t="shared" si="5"/>
        <v>0</v>
      </c>
      <c r="AD568" s="170">
        <f t="shared" si="6"/>
        <v>0</v>
      </c>
      <c r="AE568" s="170"/>
      <c r="AF568" s="225">
        <f t="shared" si="8"/>
        <v>0</v>
      </c>
    </row>
    <row r="569" ht="12.75" customHeight="1">
      <c r="V569" s="30">
        <f t="shared" si="1"/>
        <v>0</v>
      </c>
      <c r="Y569" s="30"/>
      <c r="Z569" s="224">
        <f t="shared" si="2"/>
        <v>0</v>
      </c>
      <c r="AA569" s="223">
        <f t="shared" si="3"/>
        <v>0</v>
      </c>
      <c r="AB569" s="170">
        <f t="shared" si="4"/>
        <v>0</v>
      </c>
      <c r="AC569" s="170">
        <f t="shared" si="5"/>
        <v>0</v>
      </c>
      <c r="AD569" s="170">
        <f t="shared" si="6"/>
        <v>0</v>
      </c>
      <c r="AE569" s="170"/>
      <c r="AF569" s="225">
        <f t="shared" si="8"/>
        <v>0</v>
      </c>
    </row>
    <row r="570" ht="12.75" customHeight="1">
      <c r="V570" s="30">
        <f t="shared" si="1"/>
        <v>0</v>
      </c>
      <c r="Y570" s="30"/>
      <c r="Z570" s="224">
        <f t="shared" si="2"/>
        <v>0</v>
      </c>
      <c r="AA570" s="223">
        <f t="shared" si="3"/>
        <v>0</v>
      </c>
      <c r="AB570" s="170">
        <f t="shared" si="4"/>
        <v>0</v>
      </c>
      <c r="AC570" s="170">
        <f t="shared" si="5"/>
        <v>0</v>
      </c>
      <c r="AD570" s="170">
        <f t="shared" si="6"/>
        <v>0</v>
      </c>
      <c r="AE570" s="170"/>
      <c r="AF570" s="225">
        <f t="shared" si="8"/>
        <v>0</v>
      </c>
    </row>
    <row r="571" ht="12.75" customHeight="1">
      <c r="V571" s="30">
        <f t="shared" si="1"/>
        <v>0</v>
      </c>
      <c r="Y571" s="30"/>
      <c r="Z571" s="224">
        <f t="shared" si="2"/>
        <v>0</v>
      </c>
      <c r="AA571" s="223">
        <f t="shared" si="3"/>
        <v>0</v>
      </c>
      <c r="AB571" s="170">
        <f t="shared" si="4"/>
        <v>0</v>
      </c>
      <c r="AC571" s="170">
        <f t="shared" si="5"/>
        <v>0</v>
      </c>
      <c r="AD571" s="170">
        <f t="shared" si="6"/>
        <v>0</v>
      </c>
      <c r="AE571" s="170"/>
      <c r="AF571" s="225">
        <f t="shared" si="8"/>
        <v>0</v>
      </c>
    </row>
    <row r="572" ht="12.75" customHeight="1">
      <c r="V572" s="30">
        <f t="shared" si="1"/>
        <v>0</v>
      </c>
      <c r="Y572" s="30"/>
      <c r="Z572" s="224">
        <f t="shared" si="2"/>
        <v>0</v>
      </c>
      <c r="AA572" s="223">
        <f t="shared" si="3"/>
        <v>0</v>
      </c>
      <c r="AB572" s="170">
        <f t="shared" si="4"/>
        <v>0</v>
      </c>
      <c r="AC572" s="170">
        <f t="shared" si="5"/>
        <v>0</v>
      </c>
      <c r="AD572" s="170">
        <f t="shared" si="6"/>
        <v>0</v>
      </c>
      <c r="AE572" s="170"/>
      <c r="AF572" s="225">
        <f t="shared" si="8"/>
        <v>0</v>
      </c>
    </row>
    <row r="573" ht="12.75" customHeight="1">
      <c r="V573" s="30">
        <f t="shared" si="1"/>
        <v>0</v>
      </c>
      <c r="Y573" s="30"/>
      <c r="Z573" s="224">
        <f t="shared" si="2"/>
        <v>0</v>
      </c>
      <c r="AA573" s="223">
        <f t="shared" si="3"/>
        <v>0</v>
      </c>
      <c r="AB573" s="170">
        <f t="shared" si="4"/>
        <v>0</v>
      </c>
      <c r="AC573" s="170">
        <f t="shared" si="5"/>
        <v>0</v>
      </c>
      <c r="AD573" s="170">
        <f t="shared" si="6"/>
        <v>0</v>
      </c>
      <c r="AE573" s="170"/>
      <c r="AF573" s="225">
        <f t="shared" si="8"/>
        <v>0</v>
      </c>
    </row>
    <row r="574" ht="12.75" customHeight="1">
      <c r="V574" s="30">
        <f t="shared" si="1"/>
        <v>0</v>
      </c>
      <c r="Y574" s="30"/>
      <c r="Z574" s="224">
        <f t="shared" si="2"/>
        <v>0</v>
      </c>
      <c r="AA574" s="223">
        <f t="shared" si="3"/>
        <v>0</v>
      </c>
      <c r="AB574" s="170">
        <f t="shared" si="4"/>
        <v>0</v>
      </c>
      <c r="AC574" s="170">
        <f t="shared" si="5"/>
        <v>0</v>
      </c>
      <c r="AD574" s="170">
        <f t="shared" si="6"/>
        <v>0</v>
      </c>
      <c r="AE574" s="170"/>
      <c r="AF574" s="225">
        <f t="shared" si="8"/>
        <v>0</v>
      </c>
    </row>
    <row r="575" ht="12.75" customHeight="1">
      <c r="V575" s="30">
        <f t="shared" si="1"/>
        <v>0</v>
      </c>
      <c r="Y575" s="30"/>
      <c r="Z575" s="224">
        <f t="shared" si="2"/>
        <v>0</v>
      </c>
      <c r="AA575" s="223">
        <f t="shared" si="3"/>
        <v>0</v>
      </c>
      <c r="AB575" s="170">
        <f t="shared" si="4"/>
        <v>0</v>
      </c>
      <c r="AC575" s="170">
        <f t="shared" si="5"/>
        <v>0</v>
      </c>
      <c r="AD575" s="170">
        <f t="shared" si="6"/>
        <v>0</v>
      </c>
      <c r="AE575" s="170"/>
      <c r="AF575" s="225">
        <f t="shared" si="8"/>
        <v>0</v>
      </c>
    </row>
    <row r="576" ht="12.75" customHeight="1">
      <c r="V576" s="30">
        <f t="shared" si="1"/>
        <v>0</v>
      </c>
      <c r="Y576" s="30"/>
      <c r="Z576" s="224">
        <f t="shared" si="2"/>
        <v>0</v>
      </c>
      <c r="AA576" s="223">
        <f t="shared" si="3"/>
        <v>0</v>
      </c>
      <c r="AB576" s="170">
        <f t="shared" si="4"/>
        <v>0</v>
      </c>
      <c r="AC576" s="170">
        <f t="shared" si="5"/>
        <v>0</v>
      </c>
      <c r="AD576" s="170">
        <f t="shared" si="6"/>
        <v>0</v>
      </c>
      <c r="AE576" s="170"/>
      <c r="AF576" s="225">
        <f t="shared" si="8"/>
        <v>0</v>
      </c>
    </row>
    <row r="577" ht="12.75" customHeight="1">
      <c r="V577" s="30">
        <f t="shared" si="1"/>
        <v>0</v>
      </c>
      <c r="Y577" s="30"/>
      <c r="Z577" s="224">
        <f t="shared" si="2"/>
        <v>0</v>
      </c>
      <c r="AA577" s="223">
        <f t="shared" si="3"/>
        <v>0</v>
      </c>
      <c r="AB577" s="170">
        <f t="shared" si="4"/>
        <v>0</v>
      </c>
      <c r="AC577" s="170">
        <f t="shared" si="5"/>
        <v>0</v>
      </c>
      <c r="AD577" s="170">
        <f t="shared" si="6"/>
        <v>0</v>
      </c>
      <c r="AE577" s="170"/>
      <c r="AF577" s="225">
        <f t="shared" si="8"/>
        <v>0</v>
      </c>
    </row>
    <row r="578" ht="12.75" customHeight="1">
      <c r="V578" s="30">
        <f t="shared" si="1"/>
        <v>0</v>
      </c>
      <c r="Y578" s="30"/>
      <c r="Z578" s="224">
        <f t="shared" si="2"/>
        <v>0</v>
      </c>
      <c r="AA578" s="223">
        <f t="shared" si="3"/>
        <v>0</v>
      </c>
      <c r="AB578" s="170">
        <f t="shared" si="4"/>
        <v>0</v>
      </c>
      <c r="AC578" s="170">
        <f t="shared" si="5"/>
        <v>0</v>
      </c>
      <c r="AD578" s="170">
        <f t="shared" si="6"/>
        <v>0</v>
      </c>
      <c r="AE578" s="170"/>
      <c r="AF578" s="225">
        <f t="shared" si="8"/>
        <v>0</v>
      </c>
    </row>
    <row r="579" ht="12.75" customHeight="1">
      <c r="V579" s="30">
        <f t="shared" si="1"/>
        <v>0</v>
      </c>
      <c r="Y579" s="30"/>
      <c r="Z579" s="224">
        <f t="shared" si="2"/>
        <v>0</v>
      </c>
      <c r="AA579" s="223">
        <f t="shared" si="3"/>
        <v>0</v>
      </c>
      <c r="AB579" s="170">
        <f t="shared" si="4"/>
        <v>0</v>
      </c>
      <c r="AC579" s="170">
        <f t="shared" si="5"/>
        <v>0</v>
      </c>
      <c r="AD579" s="170">
        <f t="shared" si="6"/>
        <v>0</v>
      </c>
      <c r="AE579" s="170"/>
      <c r="AF579" s="225">
        <f t="shared" si="8"/>
        <v>0</v>
      </c>
    </row>
    <row r="580" ht="12.75" customHeight="1">
      <c r="V580" s="30">
        <f t="shared" si="1"/>
        <v>0</v>
      </c>
      <c r="Y580" s="30"/>
      <c r="Z580" s="224">
        <f t="shared" si="2"/>
        <v>0</v>
      </c>
      <c r="AA580" s="223">
        <f t="shared" si="3"/>
        <v>0</v>
      </c>
      <c r="AB580" s="170">
        <f t="shared" si="4"/>
        <v>0</v>
      </c>
      <c r="AC580" s="170">
        <f t="shared" si="5"/>
        <v>0</v>
      </c>
      <c r="AD580" s="170">
        <f t="shared" si="6"/>
        <v>0</v>
      </c>
      <c r="AE580" s="170"/>
      <c r="AF580" s="225">
        <f t="shared" si="8"/>
        <v>0</v>
      </c>
    </row>
    <row r="581" ht="12.75" customHeight="1">
      <c r="V581" s="30">
        <f t="shared" si="1"/>
        <v>0</v>
      </c>
      <c r="Y581" s="30"/>
      <c r="Z581" s="224">
        <f t="shared" si="2"/>
        <v>0</v>
      </c>
      <c r="AA581" s="223">
        <f t="shared" si="3"/>
        <v>0</v>
      </c>
      <c r="AB581" s="170">
        <f t="shared" si="4"/>
        <v>0</v>
      </c>
      <c r="AC581" s="170">
        <f t="shared" si="5"/>
        <v>0</v>
      </c>
      <c r="AD581" s="170">
        <f t="shared" si="6"/>
        <v>0</v>
      </c>
      <c r="AE581" s="170"/>
      <c r="AF581" s="225">
        <f t="shared" si="8"/>
        <v>0</v>
      </c>
    </row>
    <row r="582" ht="12.75" customHeight="1">
      <c r="V582" s="30">
        <f t="shared" si="1"/>
        <v>0</v>
      </c>
      <c r="Y582" s="30"/>
      <c r="Z582" s="224">
        <f t="shared" si="2"/>
        <v>0</v>
      </c>
      <c r="AA582" s="223">
        <f t="shared" si="3"/>
        <v>0</v>
      </c>
      <c r="AB582" s="170">
        <f t="shared" si="4"/>
        <v>0</v>
      </c>
      <c r="AC582" s="170">
        <f t="shared" si="5"/>
        <v>0</v>
      </c>
      <c r="AD582" s="170">
        <f t="shared" si="6"/>
        <v>0</v>
      </c>
      <c r="AE582" s="170"/>
      <c r="AF582" s="225">
        <f t="shared" si="8"/>
        <v>0</v>
      </c>
    </row>
    <row r="583" ht="12.75" customHeight="1">
      <c r="V583" s="30">
        <f t="shared" si="1"/>
        <v>0</v>
      </c>
      <c r="Y583" s="30"/>
      <c r="Z583" s="224">
        <f t="shared" si="2"/>
        <v>0</v>
      </c>
      <c r="AA583" s="223">
        <f t="shared" si="3"/>
        <v>0</v>
      </c>
      <c r="AB583" s="170">
        <f t="shared" si="4"/>
        <v>0</v>
      </c>
      <c r="AC583" s="170">
        <f t="shared" si="5"/>
        <v>0</v>
      </c>
      <c r="AD583" s="170">
        <f t="shared" si="6"/>
        <v>0</v>
      </c>
      <c r="AE583" s="170"/>
      <c r="AF583" s="225">
        <f t="shared" si="8"/>
        <v>0</v>
      </c>
    </row>
    <row r="584" ht="12.75" customHeight="1">
      <c r="V584" s="30">
        <f t="shared" si="1"/>
        <v>0</v>
      </c>
      <c r="Y584" s="30"/>
      <c r="Z584" s="224">
        <f t="shared" si="2"/>
        <v>0</v>
      </c>
      <c r="AA584" s="223">
        <f t="shared" si="3"/>
        <v>0</v>
      </c>
      <c r="AB584" s="170">
        <f t="shared" si="4"/>
        <v>0</v>
      </c>
      <c r="AC584" s="170">
        <f t="shared" si="5"/>
        <v>0</v>
      </c>
      <c r="AD584" s="170">
        <f t="shared" si="6"/>
        <v>0</v>
      </c>
      <c r="AE584" s="170"/>
      <c r="AF584" s="225">
        <f t="shared" si="8"/>
        <v>0</v>
      </c>
    </row>
    <row r="585" ht="12.75" customHeight="1">
      <c r="V585" s="30">
        <f t="shared" si="1"/>
        <v>0</v>
      </c>
      <c r="Y585" s="30"/>
      <c r="Z585" s="224">
        <f t="shared" si="2"/>
        <v>0</v>
      </c>
      <c r="AA585" s="223">
        <f t="shared" si="3"/>
        <v>0</v>
      </c>
      <c r="AB585" s="170">
        <f t="shared" si="4"/>
        <v>0</v>
      </c>
      <c r="AC585" s="170">
        <f t="shared" si="5"/>
        <v>0</v>
      </c>
      <c r="AD585" s="170">
        <f t="shared" si="6"/>
        <v>0</v>
      </c>
      <c r="AE585" s="170"/>
      <c r="AF585" s="225">
        <f t="shared" si="8"/>
        <v>0</v>
      </c>
    </row>
    <row r="586" ht="12.75" customHeight="1">
      <c r="V586" s="30">
        <f t="shared" si="1"/>
        <v>0</v>
      </c>
      <c r="Y586" s="30"/>
      <c r="Z586" s="224">
        <f t="shared" si="2"/>
        <v>0</v>
      </c>
      <c r="AA586" s="223">
        <f t="shared" si="3"/>
        <v>0</v>
      </c>
      <c r="AB586" s="170">
        <f t="shared" si="4"/>
        <v>0</v>
      </c>
      <c r="AC586" s="170">
        <f t="shared" si="5"/>
        <v>0</v>
      </c>
      <c r="AD586" s="170">
        <f t="shared" si="6"/>
        <v>0</v>
      </c>
      <c r="AE586" s="170"/>
      <c r="AF586" s="225">
        <f t="shared" si="8"/>
        <v>0</v>
      </c>
    </row>
    <row r="587" ht="12.75" customHeight="1">
      <c r="V587" s="30">
        <f t="shared" si="1"/>
        <v>0</v>
      </c>
      <c r="Y587" s="30"/>
      <c r="Z587" s="224">
        <f t="shared" si="2"/>
        <v>0</v>
      </c>
      <c r="AA587" s="223">
        <f t="shared" si="3"/>
        <v>0</v>
      </c>
      <c r="AB587" s="170">
        <f t="shared" si="4"/>
        <v>0</v>
      </c>
      <c r="AC587" s="170">
        <f t="shared" si="5"/>
        <v>0</v>
      </c>
      <c r="AD587" s="170">
        <f t="shared" si="6"/>
        <v>0</v>
      </c>
      <c r="AE587" s="170"/>
      <c r="AF587" s="225">
        <f t="shared" si="8"/>
        <v>0</v>
      </c>
    </row>
    <row r="588" ht="12.75" customHeight="1">
      <c r="V588" s="30">
        <f t="shared" si="1"/>
        <v>0</v>
      </c>
      <c r="Y588" s="30"/>
      <c r="Z588" s="224">
        <f t="shared" si="2"/>
        <v>0</v>
      </c>
      <c r="AA588" s="223">
        <f t="shared" si="3"/>
        <v>0</v>
      </c>
      <c r="AB588" s="170">
        <f t="shared" si="4"/>
        <v>0</v>
      </c>
      <c r="AC588" s="170">
        <f t="shared" si="5"/>
        <v>0</v>
      </c>
      <c r="AD588" s="170">
        <f t="shared" si="6"/>
        <v>0</v>
      </c>
      <c r="AE588" s="170"/>
      <c r="AF588" s="225">
        <f t="shared" si="8"/>
        <v>0</v>
      </c>
    </row>
    <row r="589" ht="12.75" customHeight="1">
      <c r="V589" s="30">
        <f t="shared" si="1"/>
        <v>0</v>
      </c>
      <c r="Y589" s="30"/>
      <c r="Z589" s="224">
        <f t="shared" si="2"/>
        <v>0</v>
      </c>
      <c r="AA589" s="223">
        <f t="shared" si="3"/>
        <v>0</v>
      </c>
      <c r="AB589" s="170">
        <f t="shared" si="4"/>
        <v>0</v>
      </c>
      <c r="AC589" s="170">
        <f t="shared" si="5"/>
        <v>0</v>
      </c>
      <c r="AD589" s="170">
        <f t="shared" si="6"/>
        <v>0</v>
      </c>
      <c r="AE589" s="170"/>
      <c r="AF589" s="225">
        <f t="shared" si="8"/>
        <v>0</v>
      </c>
    </row>
    <row r="590" ht="12.75" customHeight="1">
      <c r="V590" s="30">
        <f t="shared" si="1"/>
        <v>0</v>
      </c>
      <c r="Y590" s="30"/>
      <c r="Z590" s="224">
        <f t="shared" si="2"/>
        <v>0</v>
      </c>
      <c r="AA590" s="223">
        <f t="shared" si="3"/>
        <v>0</v>
      </c>
      <c r="AB590" s="170">
        <f t="shared" si="4"/>
        <v>0</v>
      </c>
      <c r="AC590" s="170">
        <f t="shared" si="5"/>
        <v>0</v>
      </c>
      <c r="AD590" s="170">
        <f t="shared" si="6"/>
        <v>0</v>
      </c>
      <c r="AE590" s="170"/>
      <c r="AF590" s="225">
        <f t="shared" si="8"/>
        <v>0</v>
      </c>
    </row>
    <row r="591" ht="12.75" customHeight="1">
      <c r="V591" s="30">
        <f t="shared" si="1"/>
        <v>0</v>
      </c>
      <c r="Y591" s="30"/>
      <c r="Z591" s="224">
        <f t="shared" si="2"/>
        <v>0</v>
      </c>
      <c r="AA591" s="223">
        <f t="shared" si="3"/>
        <v>0</v>
      </c>
      <c r="AB591" s="170">
        <f t="shared" si="4"/>
        <v>0</v>
      </c>
      <c r="AC591" s="170">
        <f t="shared" si="5"/>
        <v>0</v>
      </c>
      <c r="AD591" s="170">
        <f t="shared" si="6"/>
        <v>0</v>
      </c>
      <c r="AE591" s="170"/>
      <c r="AF591" s="225">
        <f t="shared" si="8"/>
        <v>0</v>
      </c>
    </row>
    <row r="592" ht="12.75" customHeight="1">
      <c r="V592" s="30">
        <f t="shared" si="1"/>
        <v>0</v>
      </c>
      <c r="Y592" s="30"/>
      <c r="Z592" s="224">
        <f t="shared" si="2"/>
        <v>0</v>
      </c>
      <c r="AA592" s="223">
        <f t="shared" si="3"/>
        <v>0</v>
      </c>
      <c r="AB592" s="170">
        <f t="shared" si="4"/>
        <v>0</v>
      </c>
      <c r="AC592" s="170">
        <f t="shared" si="5"/>
        <v>0</v>
      </c>
      <c r="AD592" s="170">
        <f t="shared" si="6"/>
        <v>0</v>
      </c>
      <c r="AE592" s="170"/>
      <c r="AF592" s="225">
        <f t="shared" si="8"/>
        <v>0</v>
      </c>
    </row>
    <row r="593" ht="12.75" customHeight="1">
      <c r="V593" s="30">
        <f t="shared" si="1"/>
        <v>0</v>
      </c>
      <c r="Y593" s="30"/>
      <c r="Z593" s="224">
        <f t="shared" si="2"/>
        <v>0</v>
      </c>
      <c r="AA593" s="223">
        <f t="shared" si="3"/>
        <v>0</v>
      </c>
      <c r="AB593" s="170">
        <f t="shared" si="4"/>
        <v>0</v>
      </c>
      <c r="AC593" s="170">
        <f t="shared" si="5"/>
        <v>0</v>
      </c>
      <c r="AD593" s="170">
        <f t="shared" si="6"/>
        <v>0</v>
      </c>
      <c r="AE593" s="170"/>
      <c r="AF593" s="225">
        <f t="shared" si="8"/>
        <v>0</v>
      </c>
    </row>
    <row r="594" ht="12.75" customHeight="1">
      <c r="V594" s="30">
        <f t="shared" si="1"/>
        <v>0</v>
      </c>
      <c r="Y594" s="30"/>
      <c r="Z594" s="224">
        <f t="shared" si="2"/>
        <v>0</v>
      </c>
      <c r="AA594" s="223">
        <f t="shared" si="3"/>
        <v>0</v>
      </c>
      <c r="AB594" s="170">
        <f t="shared" si="4"/>
        <v>0</v>
      </c>
      <c r="AC594" s="170">
        <f t="shared" si="5"/>
        <v>0</v>
      </c>
      <c r="AD594" s="170">
        <f t="shared" si="6"/>
        <v>0</v>
      </c>
      <c r="AE594" s="170"/>
      <c r="AF594" s="225">
        <f t="shared" si="8"/>
        <v>0</v>
      </c>
    </row>
    <row r="595" ht="12.75" customHeight="1">
      <c r="V595" s="30">
        <f t="shared" si="1"/>
        <v>0</v>
      </c>
      <c r="Y595" s="30"/>
      <c r="Z595" s="224">
        <f t="shared" si="2"/>
        <v>0</v>
      </c>
      <c r="AA595" s="223">
        <f t="shared" si="3"/>
        <v>0</v>
      </c>
      <c r="AB595" s="170">
        <f t="shared" si="4"/>
        <v>0</v>
      </c>
      <c r="AC595" s="170">
        <f t="shared" si="5"/>
        <v>0</v>
      </c>
      <c r="AD595" s="170">
        <f t="shared" si="6"/>
        <v>0</v>
      </c>
      <c r="AE595" s="170"/>
      <c r="AF595" s="225">
        <f t="shared" si="8"/>
        <v>0</v>
      </c>
    </row>
    <row r="596" ht="12.75" customHeight="1">
      <c r="V596" s="30">
        <f t="shared" si="1"/>
        <v>0</v>
      </c>
      <c r="Y596" s="30"/>
      <c r="Z596" s="224">
        <f t="shared" si="2"/>
        <v>0</v>
      </c>
      <c r="AA596" s="223">
        <f t="shared" si="3"/>
        <v>0</v>
      </c>
      <c r="AB596" s="170">
        <f t="shared" si="4"/>
        <v>0</v>
      </c>
      <c r="AC596" s="170">
        <f t="shared" si="5"/>
        <v>0</v>
      </c>
      <c r="AD596" s="170">
        <f t="shared" si="6"/>
        <v>0</v>
      </c>
      <c r="AE596" s="170"/>
      <c r="AF596" s="225">
        <f t="shared" si="8"/>
        <v>0</v>
      </c>
    </row>
    <row r="597" ht="12.75" customHeight="1">
      <c r="V597" s="30">
        <f t="shared" si="1"/>
        <v>0</v>
      </c>
      <c r="Y597" s="30"/>
      <c r="Z597" s="224">
        <f t="shared" si="2"/>
        <v>0</v>
      </c>
      <c r="AA597" s="223">
        <f t="shared" si="3"/>
        <v>0</v>
      </c>
      <c r="AB597" s="170">
        <f t="shared" si="4"/>
        <v>0</v>
      </c>
      <c r="AC597" s="170">
        <f t="shared" si="5"/>
        <v>0</v>
      </c>
      <c r="AD597" s="170">
        <f t="shared" si="6"/>
        <v>0</v>
      </c>
      <c r="AE597" s="170"/>
      <c r="AF597" s="225">
        <f t="shared" si="8"/>
        <v>0</v>
      </c>
    </row>
    <row r="598" ht="12.75" customHeight="1">
      <c r="V598" s="30">
        <f t="shared" si="1"/>
        <v>0</v>
      </c>
      <c r="Y598" s="30"/>
      <c r="Z598" s="224">
        <f t="shared" si="2"/>
        <v>0</v>
      </c>
      <c r="AA598" s="223">
        <f t="shared" si="3"/>
        <v>0</v>
      </c>
      <c r="AB598" s="170">
        <f t="shared" si="4"/>
        <v>0</v>
      </c>
      <c r="AC598" s="170">
        <f t="shared" si="5"/>
        <v>0</v>
      </c>
      <c r="AD598" s="170">
        <f t="shared" si="6"/>
        <v>0</v>
      </c>
      <c r="AE598" s="170"/>
      <c r="AF598" s="225">
        <f t="shared" si="8"/>
        <v>0</v>
      </c>
    </row>
    <row r="599" ht="12.75" customHeight="1">
      <c r="V599" s="30">
        <f t="shared" si="1"/>
        <v>0</v>
      </c>
      <c r="Y599" s="30"/>
      <c r="Z599" s="224">
        <f t="shared" si="2"/>
        <v>0</v>
      </c>
      <c r="AA599" s="223">
        <f t="shared" si="3"/>
        <v>0</v>
      </c>
      <c r="AB599" s="170">
        <f t="shared" si="4"/>
        <v>0</v>
      </c>
      <c r="AC599" s="170">
        <f t="shared" si="5"/>
        <v>0</v>
      </c>
      <c r="AD599" s="170">
        <f t="shared" si="6"/>
        <v>0</v>
      </c>
      <c r="AE599" s="170"/>
      <c r="AF599" s="225">
        <f t="shared" si="8"/>
        <v>0</v>
      </c>
    </row>
    <row r="600" ht="12.75" customHeight="1">
      <c r="V600" s="30">
        <f t="shared" si="1"/>
        <v>0</v>
      </c>
      <c r="Y600" s="30"/>
      <c r="Z600" s="224">
        <f t="shared" si="2"/>
        <v>0</v>
      </c>
      <c r="AA600" s="223">
        <f t="shared" si="3"/>
        <v>0</v>
      </c>
      <c r="AB600" s="170">
        <f t="shared" si="4"/>
        <v>0</v>
      </c>
      <c r="AC600" s="170">
        <f t="shared" si="5"/>
        <v>0</v>
      </c>
      <c r="AD600" s="170">
        <f t="shared" si="6"/>
        <v>0</v>
      </c>
      <c r="AE600" s="170"/>
      <c r="AF600" s="225">
        <f t="shared" si="8"/>
        <v>0</v>
      </c>
    </row>
    <row r="601" ht="12.75" customHeight="1">
      <c r="V601" s="30">
        <f t="shared" si="1"/>
        <v>0</v>
      </c>
      <c r="Y601" s="30"/>
      <c r="Z601" s="224">
        <f t="shared" si="2"/>
        <v>0</v>
      </c>
      <c r="AA601" s="223">
        <f t="shared" si="3"/>
        <v>0</v>
      </c>
      <c r="AB601" s="170">
        <f t="shared" si="4"/>
        <v>0</v>
      </c>
      <c r="AC601" s="170">
        <f t="shared" si="5"/>
        <v>0</v>
      </c>
      <c r="AD601" s="170">
        <f t="shared" si="6"/>
        <v>0</v>
      </c>
      <c r="AE601" s="170"/>
      <c r="AF601" s="225">
        <f t="shared" si="8"/>
        <v>0</v>
      </c>
    </row>
    <row r="602" ht="12.75" customHeight="1">
      <c r="V602" s="30">
        <f t="shared" si="1"/>
        <v>0</v>
      </c>
      <c r="Y602" s="30"/>
      <c r="Z602" s="224">
        <f t="shared" si="2"/>
        <v>0</v>
      </c>
      <c r="AA602" s="223">
        <f t="shared" si="3"/>
        <v>0</v>
      </c>
      <c r="AB602" s="170">
        <f t="shared" si="4"/>
        <v>0</v>
      </c>
      <c r="AC602" s="170">
        <f t="shared" si="5"/>
        <v>0</v>
      </c>
      <c r="AD602" s="170">
        <f t="shared" si="6"/>
        <v>0</v>
      </c>
      <c r="AE602" s="170"/>
      <c r="AF602" s="225">
        <f t="shared" si="8"/>
        <v>0</v>
      </c>
    </row>
    <row r="603" ht="12.75" customHeight="1">
      <c r="V603" s="30">
        <f t="shared" si="1"/>
        <v>0</v>
      </c>
      <c r="Y603" s="30"/>
      <c r="Z603" s="224">
        <f t="shared" si="2"/>
        <v>0</v>
      </c>
      <c r="AA603" s="223">
        <f t="shared" si="3"/>
        <v>0</v>
      </c>
      <c r="AB603" s="170">
        <f t="shared" si="4"/>
        <v>0</v>
      </c>
      <c r="AC603" s="170">
        <f t="shared" si="5"/>
        <v>0</v>
      </c>
      <c r="AD603" s="170">
        <f t="shared" si="6"/>
        <v>0</v>
      </c>
      <c r="AE603" s="170"/>
      <c r="AF603" s="225">
        <f t="shared" si="8"/>
        <v>0</v>
      </c>
    </row>
    <row r="604" ht="12.75" customHeight="1">
      <c r="V604" s="30">
        <f t="shared" si="1"/>
        <v>0</v>
      </c>
      <c r="Y604" s="30"/>
      <c r="Z604" s="224">
        <f t="shared" si="2"/>
        <v>0</v>
      </c>
      <c r="AA604" s="223">
        <f t="shared" si="3"/>
        <v>0</v>
      </c>
      <c r="AB604" s="170">
        <f t="shared" si="4"/>
        <v>0</v>
      </c>
      <c r="AC604" s="170">
        <f t="shared" si="5"/>
        <v>0</v>
      </c>
      <c r="AD604" s="170">
        <f t="shared" si="6"/>
        <v>0</v>
      </c>
      <c r="AE604" s="170"/>
      <c r="AF604" s="225">
        <f t="shared" si="8"/>
        <v>0</v>
      </c>
    </row>
    <row r="605" ht="12.75" customHeight="1">
      <c r="V605" s="30">
        <f t="shared" si="1"/>
        <v>0</v>
      </c>
      <c r="Y605" s="30"/>
      <c r="Z605" s="224">
        <f t="shared" si="2"/>
        <v>0</v>
      </c>
      <c r="AA605" s="223">
        <f t="shared" si="3"/>
        <v>0</v>
      </c>
      <c r="AB605" s="170">
        <f t="shared" si="4"/>
        <v>0</v>
      </c>
      <c r="AC605" s="170">
        <f t="shared" si="5"/>
        <v>0</v>
      </c>
      <c r="AD605" s="170">
        <f t="shared" si="6"/>
        <v>0</v>
      </c>
      <c r="AE605" s="170"/>
      <c r="AF605" s="225">
        <f t="shared" si="8"/>
        <v>0</v>
      </c>
    </row>
    <row r="606" ht="12.75" customHeight="1">
      <c r="V606" s="30">
        <f t="shared" si="1"/>
        <v>0</v>
      </c>
      <c r="Y606" s="30"/>
      <c r="Z606" s="224">
        <f t="shared" si="2"/>
        <v>0</v>
      </c>
      <c r="AA606" s="223">
        <f t="shared" si="3"/>
        <v>0</v>
      </c>
      <c r="AB606" s="170">
        <f t="shared" si="4"/>
        <v>0</v>
      </c>
      <c r="AC606" s="170">
        <f t="shared" si="5"/>
        <v>0</v>
      </c>
      <c r="AD606" s="170">
        <f t="shared" si="6"/>
        <v>0</v>
      </c>
      <c r="AE606" s="170"/>
      <c r="AF606" s="225">
        <f t="shared" si="8"/>
        <v>0</v>
      </c>
    </row>
    <row r="607" ht="12.75" customHeight="1">
      <c r="V607" s="30">
        <f t="shared" si="1"/>
        <v>0</v>
      </c>
      <c r="Y607" s="30"/>
      <c r="Z607" s="224">
        <f t="shared" si="2"/>
        <v>0</v>
      </c>
      <c r="AA607" s="223">
        <f t="shared" si="3"/>
        <v>0</v>
      </c>
      <c r="AB607" s="170">
        <f t="shared" si="4"/>
        <v>0</v>
      </c>
      <c r="AC607" s="170">
        <f t="shared" si="5"/>
        <v>0</v>
      </c>
      <c r="AD607" s="170">
        <f t="shared" si="6"/>
        <v>0</v>
      </c>
      <c r="AE607" s="170"/>
      <c r="AF607" s="225">
        <f t="shared" si="8"/>
        <v>0</v>
      </c>
    </row>
    <row r="608" ht="12.75" customHeight="1">
      <c r="V608" s="30">
        <f t="shared" si="1"/>
        <v>0</v>
      </c>
      <c r="Y608" s="30"/>
      <c r="Z608" s="224">
        <f t="shared" si="2"/>
        <v>0</v>
      </c>
      <c r="AA608" s="223">
        <f t="shared" si="3"/>
        <v>0</v>
      </c>
      <c r="AB608" s="170">
        <f t="shared" si="4"/>
        <v>0</v>
      </c>
      <c r="AC608" s="170">
        <f t="shared" si="5"/>
        <v>0</v>
      </c>
      <c r="AD608" s="170">
        <f t="shared" si="6"/>
        <v>0</v>
      </c>
      <c r="AE608" s="170"/>
      <c r="AF608" s="225">
        <f t="shared" si="8"/>
        <v>0</v>
      </c>
    </row>
    <row r="609" ht="12.75" customHeight="1">
      <c r="V609" s="30">
        <f t="shared" si="1"/>
        <v>0</v>
      </c>
      <c r="Y609" s="30"/>
      <c r="Z609" s="224">
        <f t="shared" si="2"/>
        <v>0</v>
      </c>
      <c r="AA609" s="223">
        <f t="shared" si="3"/>
        <v>0</v>
      </c>
      <c r="AB609" s="170">
        <f t="shared" si="4"/>
        <v>0</v>
      </c>
      <c r="AC609" s="170">
        <f t="shared" si="5"/>
        <v>0</v>
      </c>
      <c r="AD609" s="170">
        <f t="shared" si="6"/>
        <v>0</v>
      </c>
      <c r="AE609" s="170"/>
      <c r="AF609" s="225">
        <f t="shared" si="8"/>
        <v>0</v>
      </c>
    </row>
    <row r="610" ht="12.75" customHeight="1">
      <c r="V610" s="30">
        <f t="shared" si="1"/>
        <v>0</v>
      </c>
      <c r="Y610" s="30"/>
      <c r="Z610" s="224">
        <f t="shared" si="2"/>
        <v>0</v>
      </c>
      <c r="AA610" s="223">
        <f t="shared" si="3"/>
        <v>0</v>
      </c>
      <c r="AB610" s="170">
        <f t="shared" si="4"/>
        <v>0</v>
      </c>
      <c r="AC610" s="170">
        <f t="shared" si="5"/>
        <v>0</v>
      </c>
      <c r="AD610" s="170">
        <f t="shared" si="6"/>
        <v>0</v>
      </c>
      <c r="AE610" s="170"/>
      <c r="AF610" s="225">
        <f t="shared" si="8"/>
        <v>0</v>
      </c>
    </row>
    <row r="611" ht="12.75" customHeight="1">
      <c r="V611" s="30">
        <f t="shared" si="1"/>
        <v>0</v>
      </c>
      <c r="Y611" s="30"/>
      <c r="Z611" s="224">
        <f t="shared" si="2"/>
        <v>0</v>
      </c>
      <c r="AA611" s="223">
        <f t="shared" si="3"/>
        <v>0</v>
      </c>
      <c r="AB611" s="170">
        <f t="shared" si="4"/>
        <v>0</v>
      </c>
      <c r="AC611" s="170">
        <f t="shared" si="5"/>
        <v>0</v>
      </c>
      <c r="AD611" s="170">
        <f t="shared" si="6"/>
        <v>0</v>
      </c>
      <c r="AE611" s="170"/>
      <c r="AF611" s="225">
        <f t="shared" si="8"/>
        <v>0</v>
      </c>
    </row>
    <row r="612" ht="12.75" customHeight="1">
      <c r="V612" s="30">
        <f t="shared" si="1"/>
        <v>0</v>
      </c>
      <c r="Y612" s="30"/>
      <c r="Z612" s="224">
        <f t="shared" si="2"/>
        <v>0</v>
      </c>
      <c r="AA612" s="223">
        <f t="shared" si="3"/>
        <v>0</v>
      </c>
      <c r="AB612" s="170">
        <f t="shared" si="4"/>
        <v>0</v>
      </c>
      <c r="AC612" s="170">
        <f t="shared" si="5"/>
        <v>0</v>
      </c>
      <c r="AD612" s="170">
        <f t="shared" si="6"/>
        <v>0</v>
      </c>
      <c r="AE612" s="170"/>
      <c r="AF612" s="225">
        <f t="shared" si="8"/>
        <v>0</v>
      </c>
    </row>
    <row r="613" ht="12.75" customHeight="1">
      <c r="V613" s="30">
        <f t="shared" si="1"/>
        <v>0</v>
      </c>
      <c r="Y613" s="30"/>
      <c r="Z613" s="224">
        <f t="shared" si="2"/>
        <v>0</v>
      </c>
      <c r="AA613" s="223">
        <f t="shared" si="3"/>
        <v>0</v>
      </c>
      <c r="AB613" s="170">
        <f t="shared" si="4"/>
        <v>0</v>
      </c>
      <c r="AC613" s="170">
        <f t="shared" si="5"/>
        <v>0</v>
      </c>
      <c r="AD613" s="170">
        <f t="shared" si="6"/>
        <v>0</v>
      </c>
      <c r="AE613" s="170"/>
      <c r="AF613" s="225">
        <f t="shared" si="8"/>
        <v>0</v>
      </c>
    </row>
    <row r="614" ht="12.75" customHeight="1">
      <c r="V614" s="30">
        <f t="shared" si="1"/>
        <v>0</v>
      </c>
      <c r="Y614" s="30"/>
      <c r="Z614" s="224">
        <f t="shared" si="2"/>
        <v>0</v>
      </c>
      <c r="AA614" s="223">
        <f t="shared" si="3"/>
        <v>0</v>
      </c>
      <c r="AB614" s="170">
        <f t="shared" si="4"/>
        <v>0</v>
      </c>
      <c r="AC614" s="170">
        <f t="shared" si="5"/>
        <v>0</v>
      </c>
      <c r="AD614" s="170">
        <f t="shared" si="6"/>
        <v>0</v>
      </c>
      <c r="AE614" s="170"/>
      <c r="AF614" s="225">
        <f t="shared" si="8"/>
        <v>0</v>
      </c>
    </row>
    <row r="615" ht="12.75" customHeight="1">
      <c r="V615" s="30">
        <f t="shared" si="1"/>
        <v>0</v>
      </c>
      <c r="Y615" s="30"/>
      <c r="Z615" s="224">
        <f t="shared" si="2"/>
        <v>0</v>
      </c>
      <c r="AA615" s="223">
        <f t="shared" si="3"/>
        <v>0</v>
      </c>
      <c r="AB615" s="170">
        <f t="shared" si="4"/>
        <v>0</v>
      </c>
      <c r="AC615" s="170">
        <f t="shared" si="5"/>
        <v>0</v>
      </c>
      <c r="AD615" s="170">
        <f t="shared" si="6"/>
        <v>0</v>
      </c>
      <c r="AE615" s="170"/>
      <c r="AF615" s="225">
        <f t="shared" si="8"/>
        <v>0</v>
      </c>
    </row>
    <row r="616" ht="12.75" customHeight="1">
      <c r="V616" s="30">
        <f t="shared" si="1"/>
        <v>0</v>
      </c>
      <c r="Y616" s="30"/>
      <c r="Z616" s="224">
        <f t="shared" si="2"/>
        <v>0</v>
      </c>
      <c r="AA616" s="223">
        <f t="shared" si="3"/>
        <v>0</v>
      </c>
      <c r="AB616" s="170">
        <f t="shared" si="4"/>
        <v>0</v>
      </c>
      <c r="AC616" s="170">
        <f t="shared" si="5"/>
        <v>0</v>
      </c>
      <c r="AD616" s="170">
        <f t="shared" si="6"/>
        <v>0</v>
      </c>
      <c r="AE616" s="170"/>
      <c r="AF616" s="225">
        <f t="shared" si="8"/>
        <v>0</v>
      </c>
    </row>
    <row r="617" ht="12.75" customHeight="1">
      <c r="V617" s="30">
        <f t="shared" si="1"/>
        <v>0</v>
      </c>
      <c r="Y617" s="30"/>
      <c r="Z617" s="224">
        <f t="shared" si="2"/>
        <v>0</v>
      </c>
      <c r="AA617" s="223">
        <f t="shared" si="3"/>
        <v>0</v>
      </c>
      <c r="AB617" s="170">
        <f t="shared" si="4"/>
        <v>0</v>
      </c>
      <c r="AC617" s="170">
        <f t="shared" si="5"/>
        <v>0</v>
      </c>
      <c r="AD617" s="170">
        <f t="shared" si="6"/>
        <v>0</v>
      </c>
      <c r="AE617" s="170"/>
      <c r="AF617" s="225">
        <f t="shared" si="8"/>
        <v>0</v>
      </c>
    </row>
    <row r="618" ht="12.75" customHeight="1">
      <c r="V618" s="30">
        <f t="shared" si="1"/>
        <v>0</v>
      </c>
      <c r="Y618" s="30"/>
      <c r="Z618" s="224">
        <f t="shared" si="2"/>
        <v>0</v>
      </c>
      <c r="AA618" s="223">
        <f t="shared" si="3"/>
        <v>0</v>
      </c>
      <c r="AB618" s="170">
        <f t="shared" si="4"/>
        <v>0</v>
      </c>
      <c r="AC618" s="170">
        <f t="shared" si="5"/>
        <v>0</v>
      </c>
      <c r="AD618" s="170">
        <f t="shared" si="6"/>
        <v>0</v>
      </c>
      <c r="AE618" s="170"/>
      <c r="AF618" s="225">
        <f t="shared" si="8"/>
        <v>0</v>
      </c>
    </row>
    <row r="619" ht="12.75" customHeight="1">
      <c r="V619" s="30">
        <f t="shared" si="1"/>
        <v>0</v>
      </c>
      <c r="Y619" s="30"/>
      <c r="Z619" s="224">
        <f t="shared" si="2"/>
        <v>0</v>
      </c>
      <c r="AA619" s="223">
        <f t="shared" si="3"/>
        <v>0</v>
      </c>
      <c r="AB619" s="170">
        <f t="shared" si="4"/>
        <v>0</v>
      </c>
      <c r="AC619" s="170">
        <f t="shared" si="5"/>
        <v>0</v>
      </c>
      <c r="AD619" s="170">
        <f t="shared" si="6"/>
        <v>0</v>
      </c>
      <c r="AE619" s="170"/>
      <c r="AF619" s="225">
        <f t="shared" si="8"/>
        <v>0</v>
      </c>
    </row>
    <row r="620" ht="12.75" customHeight="1">
      <c r="V620" s="30">
        <f t="shared" si="1"/>
        <v>0</v>
      </c>
      <c r="Y620" s="30"/>
      <c r="Z620" s="224">
        <f t="shared" si="2"/>
        <v>0</v>
      </c>
      <c r="AA620" s="223">
        <f t="shared" si="3"/>
        <v>0</v>
      </c>
      <c r="AB620" s="170">
        <f t="shared" si="4"/>
        <v>0</v>
      </c>
      <c r="AC620" s="170">
        <f t="shared" si="5"/>
        <v>0</v>
      </c>
      <c r="AD620" s="170">
        <f t="shared" si="6"/>
        <v>0</v>
      </c>
      <c r="AE620" s="170"/>
      <c r="AF620" s="225">
        <f t="shared" si="8"/>
        <v>0</v>
      </c>
    </row>
    <row r="621" ht="12.75" customHeight="1">
      <c r="V621" s="30">
        <f t="shared" si="1"/>
        <v>0</v>
      </c>
      <c r="Y621" s="30"/>
      <c r="Z621" s="224">
        <f t="shared" si="2"/>
        <v>0</v>
      </c>
      <c r="AA621" s="223">
        <f t="shared" si="3"/>
        <v>0</v>
      </c>
      <c r="AB621" s="170">
        <f t="shared" si="4"/>
        <v>0</v>
      </c>
      <c r="AC621" s="170">
        <f t="shared" si="5"/>
        <v>0</v>
      </c>
      <c r="AD621" s="170">
        <f t="shared" si="6"/>
        <v>0</v>
      </c>
      <c r="AE621" s="170"/>
      <c r="AF621" s="225">
        <f t="shared" si="8"/>
        <v>0</v>
      </c>
    </row>
    <row r="622" ht="12.75" customHeight="1">
      <c r="V622" s="30">
        <f t="shared" si="1"/>
        <v>0</v>
      </c>
      <c r="Y622" s="30"/>
      <c r="Z622" s="224">
        <f t="shared" si="2"/>
        <v>0</v>
      </c>
      <c r="AA622" s="223">
        <f t="shared" si="3"/>
        <v>0</v>
      </c>
      <c r="AB622" s="170">
        <f t="shared" si="4"/>
        <v>0</v>
      </c>
      <c r="AC622" s="170">
        <f t="shared" si="5"/>
        <v>0</v>
      </c>
      <c r="AD622" s="170">
        <f t="shared" si="6"/>
        <v>0</v>
      </c>
      <c r="AE622" s="170"/>
      <c r="AF622" s="225">
        <f t="shared" si="8"/>
        <v>0</v>
      </c>
    </row>
    <row r="623" ht="12.75" customHeight="1">
      <c r="V623" s="30">
        <f t="shared" si="1"/>
        <v>0</v>
      </c>
      <c r="Y623" s="30"/>
      <c r="Z623" s="224">
        <f t="shared" si="2"/>
        <v>0</v>
      </c>
      <c r="AA623" s="223">
        <f t="shared" si="3"/>
        <v>0</v>
      </c>
      <c r="AB623" s="170">
        <f t="shared" si="4"/>
        <v>0</v>
      </c>
      <c r="AC623" s="170">
        <f t="shared" si="5"/>
        <v>0</v>
      </c>
      <c r="AD623" s="170">
        <f t="shared" si="6"/>
        <v>0</v>
      </c>
      <c r="AE623" s="170"/>
      <c r="AF623" s="225">
        <f t="shared" si="8"/>
        <v>0</v>
      </c>
    </row>
    <row r="624" ht="12.75" customHeight="1">
      <c r="V624" s="30">
        <f t="shared" si="1"/>
        <v>0</v>
      </c>
      <c r="Y624" s="30"/>
      <c r="Z624" s="224">
        <f t="shared" si="2"/>
        <v>0</v>
      </c>
      <c r="AA624" s="223">
        <f t="shared" si="3"/>
        <v>0</v>
      </c>
      <c r="AB624" s="170">
        <f t="shared" si="4"/>
        <v>0</v>
      </c>
      <c r="AC624" s="170">
        <f t="shared" si="5"/>
        <v>0</v>
      </c>
      <c r="AD624" s="170">
        <f t="shared" si="6"/>
        <v>0</v>
      </c>
      <c r="AE624" s="170"/>
      <c r="AF624" s="225">
        <f t="shared" si="8"/>
        <v>0</v>
      </c>
    </row>
    <row r="625" ht="12.75" customHeight="1">
      <c r="V625" s="30">
        <f t="shared" si="1"/>
        <v>0</v>
      </c>
      <c r="Y625" s="30"/>
      <c r="Z625" s="224">
        <f t="shared" si="2"/>
        <v>0</v>
      </c>
      <c r="AA625" s="223">
        <f t="shared" si="3"/>
        <v>0</v>
      </c>
      <c r="AB625" s="170">
        <f t="shared" si="4"/>
        <v>0</v>
      </c>
      <c r="AC625" s="170">
        <f t="shared" si="5"/>
        <v>0</v>
      </c>
      <c r="AD625" s="170">
        <f t="shared" si="6"/>
        <v>0</v>
      </c>
      <c r="AE625" s="170"/>
      <c r="AF625" s="225">
        <f t="shared" si="8"/>
        <v>0</v>
      </c>
    </row>
    <row r="626" ht="12.75" customHeight="1">
      <c r="V626" s="30">
        <f t="shared" si="1"/>
        <v>0</v>
      </c>
      <c r="Y626" s="30"/>
      <c r="Z626" s="224">
        <f t="shared" si="2"/>
        <v>0</v>
      </c>
      <c r="AA626" s="223">
        <f t="shared" si="3"/>
        <v>0</v>
      </c>
      <c r="AB626" s="170">
        <f t="shared" si="4"/>
        <v>0</v>
      </c>
      <c r="AC626" s="170">
        <f t="shared" si="5"/>
        <v>0</v>
      </c>
      <c r="AD626" s="170">
        <f t="shared" si="6"/>
        <v>0</v>
      </c>
      <c r="AE626" s="170"/>
      <c r="AF626" s="225">
        <f t="shared" si="8"/>
        <v>0</v>
      </c>
    </row>
    <row r="627" ht="12.75" customHeight="1">
      <c r="V627" s="30">
        <f t="shared" si="1"/>
        <v>0</v>
      </c>
      <c r="Y627" s="30"/>
      <c r="Z627" s="224">
        <f t="shared" si="2"/>
        <v>0</v>
      </c>
      <c r="AA627" s="223">
        <f t="shared" si="3"/>
        <v>0</v>
      </c>
      <c r="AB627" s="170">
        <f t="shared" si="4"/>
        <v>0</v>
      </c>
      <c r="AC627" s="170">
        <f t="shared" si="5"/>
        <v>0</v>
      </c>
      <c r="AD627" s="170">
        <f t="shared" si="6"/>
        <v>0</v>
      </c>
      <c r="AE627" s="170"/>
      <c r="AF627" s="225">
        <f t="shared" si="8"/>
        <v>0</v>
      </c>
    </row>
    <row r="628" ht="12.75" customHeight="1">
      <c r="V628" s="30">
        <f t="shared" si="1"/>
        <v>0</v>
      </c>
      <c r="Y628" s="30"/>
      <c r="Z628" s="224">
        <f t="shared" si="2"/>
        <v>0</v>
      </c>
      <c r="AA628" s="223">
        <f t="shared" si="3"/>
        <v>0</v>
      </c>
      <c r="AB628" s="170">
        <f t="shared" si="4"/>
        <v>0</v>
      </c>
      <c r="AC628" s="170">
        <f t="shared" si="5"/>
        <v>0</v>
      </c>
      <c r="AD628" s="170">
        <f t="shared" si="6"/>
        <v>0</v>
      </c>
      <c r="AE628" s="170"/>
      <c r="AF628" s="225">
        <f t="shared" si="8"/>
        <v>0</v>
      </c>
    </row>
    <row r="629" ht="12.75" customHeight="1">
      <c r="V629" s="30">
        <f t="shared" si="1"/>
        <v>0</v>
      </c>
      <c r="Y629" s="30"/>
      <c r="Z629" s="224">
        <f t="shared" si="2"/>
        <v>0</v>
      </c>
      <c r="AA629" s="223">
        <f t="shared" si="3"/>
        <v>0</v>
      </c>
      <c r="AB629" s="170">
        <f t="shared" si="4"/>
        <v>0</v>
      </c>
      <c r="AC629" s="170">
        <f t="shared" si="5"/>
        <v>0</v>
      </c>
      <c r="AD629" s="170">
        <f t="shared" si="6"/>
        <v>0</v>
      </c>
      <c r="AE629" s="170"/>
      <c r="AF629" s="225">
        <f t="shared" si="8"/>
        <v>0</v>
      </c>
    </row>
    <row r="630" ht="12.75" customHeight="1">
      <c r="V630" s="30">
        <f t="shared" si="1"/>
        <v>0</v>
      </c>
      <c r="Y630" s="30"/>
      <c r="Z630" s="224">
        <f t="shared" si="2"/>
        <v>0</v>
      </c>
      <c r="AA630" s="223">
        <f t="shared" si="3"/>
        <v>0</v>
      </c>
      <c r="AB630" s="170">
        <f t="shared" si="4"/>
        <v>0</v>
      </c>
      <c r="AC630" s="170">
        <f t="shared" si="5"/>
        <v>0</v>
      </c>
      <c r="AD630" s="170">
        <f t="shared" si="6"/>
        <v>0</v>
      </c>
      <c r="AE630" s="170"/>
      <c r="AF630" s="225">
        <f t="shared" si="8"/>
        <v>0</v>
      </c>
    </row>
    <row r="631" ht="12.75" customHeight="1">
      <c r="V631" s="30">
        <f t="shared" si="1"/>
        <v>0</v>
      </c>
      <c r="Y631" s="30"/>
      <c r="Z631" s="224">
        <f t="shared" si="2"/>
        <v>0</v>
      </c>
      <c r="AA631" s="223">
        <f t="shared" si="3"/>
        <v>0</v>
      </c>
      <c r="AB631" s="170">
        <f t="shared" si="4"/>
        <v>0</v>
      </c>
      <c r="AC631" s="170">
        <f t="shared" si="5"/>
        <v>0</v>
      </c>
      <c r="AD631" s="170">
        <f t="shared" si="6"/>
        <v>0</v>
      </c>
      <c r="AE631" s="170"/>
      <c r="AF631" s="225">
        <f t="shared" si="8"/>
        <v>0</v>
      </c>
    </row>
    <row r="632" ht="12.75" customHeight="1">
      <c r="V632" s="30">
        <f t="shared" si="1"/>
        <v>0</v>
      </c>
      <c r="Y632" s="30"/>
      <c r="Z632" s="224">
        <f t="shared" si="2"/>
        <v>0</v>
      </c>
      <c r="AA632" s="223">
        <f t="shared" si="3"/>
        <v>0</v>
      </c>
      <c r="AB632" s="170">
        <f t="shared" si="4"/>
        <v>0</v>
      </c>
      <c r="AC632" s="170">
        <f t="shared" si="5"/>
        <v>0</v>
      </c>
      <c r="AD632" s="170">
        <f t="shared" si="6"/>
        <v>0</v>
      </c>
      <c r="AE632" s="170"/>
      <c r="AF632" s="225">
        <f t="shared" si="8"/>
        <v>0</v>
      </c>
    </row>
    <row r="633" ht="12.75" customHeight="1">
      <c r="V633" s="30">
        <f t="shared" si="1"/>
        <v>0</v>
      </c>
      <c r="Y633" s="30"/>
      <c r="Z633" s="224">
        <f t="shared" si="2"/>
        <v>0</v>
      </c>
      <c r="AA633" s="223">
        <f t="shared" si="3"/>
        <v>0</v>
      </c>
      <c r="AB633" s="170">
        <f t="shared" si="4"/>
        <v>0</v>
      </c>
      <c r="AC633" s="170">
        <f t="shared" si="5"/>
        <v>0</v>
      </c>
      <c r="AD633" s="170">
        <f t="shared" si="6"/>
        <v>0</v>
      </c>
      <c r="AE633" s="170"/>
      <c r="AF633" s="225">
        <f t="shared" si="8"/>
        <v>0</v>
      </c>
    </row>
    <row r="634" ht="12.75" customHeight="1">
      <c r="V634" s="30">
        <f t="shared" si="1"/>
        <v>0</v>
      </c>
      <c r="Y634" s="30"/>
      <c r="Z634" s="224">
        <f t="shared" si="2"/>
        <v>0</v>
      </c>
      <c r="AA634" s="223">
        <f t="shared" si="3"/>
        <v>0</v>
      </c>
      <c r="AB634" s="170">
        <f t="shared" si="4"/>
        <v>0</v>
      </c>
      <c r="AC634" s="170">
        <f t="shared" si="5"/>
        <v>0</v>
      </c>
      <c r="AD634" s="170">
        <f t="shared" si="6"/>
        <v>0</v>
      </c>
      <c r="AE634" s="170"/>
      <c r="AF634" s="225">
        <f t="shared" si="8"/>
        <v>0</v>
      </c>
    </row>
    <row r="635" ht="12.75" customHeight="1">
      <c r="V635" s="30">
        <f t="shared" si="1"/>
        <v>0</v>
      </c>
      <c r="Y635" s="30"/>
      <c r="Z635" s="224">
        <f t="shared" si="2"/>
        <v>0</v>
      </c>
      <c r="AA635" s="223">
        <f t="shared" si="3"/>
        <v>0</v>
      </c>
      <c r="AB635" s="170">
        <f t="shared" si="4"/>
        <v>0</v>
      </c>
      <c r="AC635" s="170">
        <f t="shared" si="5"/>
        <v>0</v>
      </c>
      <c r="AD635" s="170">
        <f t="shared" si="6"/>
        <v>0</v>
      </c>
      <c r="AE635" s="170"/>
      <c r="AF635" s="225">
        <f t="shared" si="8"/>
        <v>0</v>
      </c>
    </row>
    <row r="636" ht="12.75" customHeight="1">
      <c r="V636" s="30">
        <f t="shared" si="1"/>
        <v>0</v>
      </c>
      <c r="Y636" s="30"/>
      <c r="Z636" s="224">
        <f t="shared" si="2"/>
        <v>0</v>
      </c>
      <c r="AA636" s="223">
        <f t="shared" si="3"/>
        <v>0</v>
      </c>
      <c r="AB636" s="170">
        <f t="shared" si="4"/>
        <v>0</v>
      </c>
      <c r="AC636" s="170">
        <f t="shared" si="5"/>
        <v>0</v>
      </c>
      <c r="AD636" s="170">
        <f t="shared" si="6"/>
        <v>0</v>
      </c>
      <c r="AE636" s="170"/>
      <c r="AF636" s="225">
        <f t="shared" si="8"/>
        <v>0</v>
      </c>
    </row>
    <row r="637" ht="12.75" customHeight="1">
      <c r="V637" s="30">
        <f t="shared" si="1"/>
        <v>0</v>
      </c>
      <c r="Y637" s="30"/>
      <c r="Z637" s="224">
        <f t="shared" si="2"/>
        <v>0</v>
      </c>
      <c r="AA637" s="223">
        <f t="shared" si="3"/>
        <v>0</v>
      </c>
      <c r="AB637" s="170">
        <f t="shared" si="4"/>
        <v>0</v>
      </c>
      <c r="AC637" s="170">
        <f t="shared" si="5"/>
        <v>0</v>
      </c>
      <c r="AD637" s="170">
        <f t="shared" si="6"/>
        <v>0</v>
      </c>
      <c r="AE637" s="170"/>
      <c r="AF637" s="225">
        <f t="shared" si="8"/>
        <v>0</v>
      </c>
    </row>
    <row r="638" ht="12.75" customHeight="1">
      <c r="V638" s="30">
        <f t="shared" si="1"/>
        <v>0</v>
      </c>
      <c r="Y638" s="30"/>
      <c r="Z638" s="224">
        <f t="shared" si="2"/>
        <v>0</v>
      </c>
      <c r="AA638" s="223">
        <f t="shared" si="3"/>
        <v>0</v>
      </c>
      <c r="AB638" s="170">
        <f t="shared" si="4"/>
        <v>0</v>
      </c>
      <c r="AC638" s="170">
        <f t="shared" si="5"/>
        <v>0</v>
      </c>
      <c r="AD638" s="170">
        <f t="shared" si="6"/>
        <v>0</v>
      </c>
      <c r="AE638" s="170"/>
      <c r="AF638" s="225">
        <f t="shared" si="8"/>
        <v>0</v>
      </c>
    </row>
    <row r="639" ht="12.75" customHeight="1">
      <c r="V639" s="30">
        <f t="shared" si="1"/>
        <v>0</v>
      </c>
      <c r="Y639" s="30"/>
      <c r="Z639" s="224">
        <f t="shared" si="2"/>
        <v>0</v>
      </c>
      <c r="AA639" s="223">
        <f t="shared" si="3"/>
        <v>0</v>
      </c>
      <c r="AB639" s="170">
        <f t="shared" si="4"/>
        <v>0</v>
      </c>
      <c r="AC639" s="170">
        <f t="shared" si="5"/>
        <v>0</v>
      </c>
      <c r="AD639" s="170">
        <f t="shared" si="6"/>
        <v>0</v>
      </c>
      <c r="AE639" s="170"/>
      <c r="AF639" s="225">
        <f t="shared" si="8"/>
        <v>0</v>
      </c>
    </row>
    <row r="640" ht="12.75" customHeight="1">
      <c r="V640" s="30">
        <f t="shared" si="1"/>
        <v>0</v>
      </c>
      <c r="Y640" s="30"/>
      <c r="Z640" s="224">
        <f t="shared" si="2"/>
        <v>0</v>
      </c>
      <c r="AA640" s="223">
        <f t="shared" si="3"/>
        <v>0</v>
      </c>
      <c r="AB640" s="170">
        <f t="shared" si="4"/>
        <v>0</v>
      </c>
      <c r="AC640" s="170">
        <f t="shared" si="5"/>
        <v>0</v>
      </c>
      <c r="AD640" s="170">
        <f t="shared" si="6"/>
        <v>0</v>
      </c>
      <c r="AE640" s="170"/>
      <c r="AF640" s="225">
        <f t="shared" si="8"/>
        <v>0</v>
      </c>
    </row>
    <row r="641" ht="12.75" customHeight="1">
      <c r="V641" s="30">
        <f t="shared" si="1"/>
        <v>0</v>
      </c>
      <c r="Y641" s="30"/>
      <c r="Z641" s="224">
        <f t="shared" si="2"/>
        <v>0</v>
      </c>
      <c r="AA641" s="223">
        <f t="shared" si="3"/>
        <v>0</v>
      </c>
      <c r="AB641" s="170">
        <f t="shared" si="4"/>
        <v>0</v>
      </c>
      <c r="AC641" s="170">
        <f t="shared" si="5"/>
        <v>0</v>
      </c>
      <c r="AD641" s="170">
        <f t="shared" si="6"/>
        <v>0</v>
      </c>
      <c r="AE641" s="170"/>
      <c r="AF641" s="225">
        <f t="shared" si="8"/>
        <v>0</v>
      </c>
    </row>
    <row r="642" ht="12.75" customHeight="1">
      <c r="V642" s="30">
        <f t="shared" si="1"/>
        <v>0</v>
      </c>
      <c r="Y642" s="30"/>
      <c r="Z642" s="224">
        <f t="shared" si="2"/>
        <v>0</v>
      </c>
      <c r="AA642" s="223">
        <f t="shared" si="3"/>
        <v>0</v>
      </c>
      <c r="AB642" s="170">
        <f t="shared" si="4"/>
        <v>0</v>
      </c>
      <c r="AC642" s="170">
        <f t="shared" si="5"/>
        <v>0</v>
      </c>
      <c r="AD642" s="170">
        <f t="shared" si="6"/>
        <v>0</v>
      </c>
      <c r="AE642" s="170"/>
      <c r="AF642" s="225">
        <f t="shared" si="8"/>
        <v>0</v>
      </c>
    </row>
    <row r="643" ht="12.75" customHeight="1">
      <c r="V643" s="30">
        <f t="shared" si="1"/>
        <v>0</v>
      </c>
      <c r="Y643" s="30"/>
      <c r="Z643" s="224">
        <f t="shared" si="2"/>
        <v>0</v>
      </c>
      <c r="AA643" s="223">
        <f t="shared" si="3"/>
        <v>0</v>
      </c>
      <c r="AB643" s="170">
        <f t="shared" si="4"/>
        <v>0</v>
      </c>
      <c r="AC643" s="170">
        <f t="shared" si="5"/>
        <v>0</v>
      </c>
      <c r="AD643" s="170">
        <f t="shared" si="6"/>
        <v>0</v>
      </c>
      <c r="AE643" s="170"/>
      <c r="AF643" s="225">
        <f t="shared" si="8"/>
        <v>0</v>
      </c>
    </row>
    <row r="644" ht="12.75" customHeight="1">
      <c r="V644" s="30">
        <f t="shared" si="1"/>
        <v>0</v>
      </c>
      <c r="Y644" s="30"/>
      <c r="Z644" s="224">
        <f t="shared" si="2"/>
        <v>0</v>
      </c>
      <c r="AA644" s="223">
        <f t="shared" si="3"/>
        <v>0</v>
      </c>
      <c r="AB644" s="170">
        <f t="shared" si="4"/>
        <v>0</v>
      </c>
      <c r="AC644" s="170">
        <f t="shared" si="5"/>
        <v>0</v>
      </c>
      <c r="AD644" s="170">
        <f t="shared" si="6"/>
        <v>0</v>
      </c>
      <c r="AE644" s="170"/>
      <c r="AF644" s="225">
        <f t="shared" si="8"/>
        <v>0</v>
      </c>
    </row>
    <row r="645" ht="12.75" customHeight="1">
      <c r="V645" s="30">
        <f t="shared" si="1"/>
        <v>0</v>
      </c>
      <c r="Y645" s="30"/>
      <c r="Z645" s="224">
        <f t="shared" si="2"/>
        <v>0</v>
      </c>
      <c r="AA645" s="223">
        <f t="shared" si="3"/>
        <v>0</v>
      </c>
      <c r="AB645" s="170">
        <f t="shared" si="4"/>
        <v>0</v>
      </c>
      <c r="AC645" s="170">
        <f t="shared" si="5"/>
        <v>0</v>
      </c>
      <c r="AD645" s="170">
        <f t="shared" si="6"/>
        <v>0</v>
      </c>
      <c r="AE645" s="170"/>
      <c r="AF645" s="225">
        <f t="shared" si="8"/>
        <v>0</v>
      </c>
    </row>
    <row r="646" ht="12.75" customHeight="1">
      <c r="V646" s="30">
        <f t="shared" si="1"/>
        <v>0</v>
      </c>
      <c r="Y646" s="30"/>
      <c r="Z646" s="224">
        <f t="shared" si="2"/>
        <v>0</v>
      </c>
      <c r="AA646" s="223">
        <f t="shared" si="3"/>
        <v>0</v>
      </c>
      <c r="AB646" s="170">
        <f t="shared" si="4"/>
        <v>0</v>
      </c>
      <c r="AC646" s="170">
        <f t="shared" si="5"/>
        <v>0</v>
      </c>
      <c r="AD646" s="170">
        <f t="shared" si="6"/>
        <v>0</v>
      </c>
      <c r="AE646" s="170"/>
      <c r="AF646" s="225">
        <f t="shared" si="8"/>
        <v>0</v>
      </c>
    </row>
    <row r="647" ht="12.75" customHeight="1">
      <c r="V647" s="30">
        <f t="shared" si="1"/>
        <v>0</v>
      </c>
      <c r="Y647" s="30"/>
      <c r="Z647" s="224">
        <f t="shared" si="2"/>
        <v>0</v>
      </c>
      <c r="AA647" s="223">
        <f t="shared" si="3"/>
        <v>0</v>
      </c>
      <c r="AB647" s="170">
        <f t="shared" si="4"/>
        <v>0</v>
      </c>
      <c r="AC647" s="170">
        <f t="shared" si="5"/>
        <v>0</v>
      </c>
      <c r="AD647" s="170">
        <f t="shared" si="6"/>
        <v>0</v>
      </c>
      <c r="AE647" s="170"/>
      <c r="AF647" s="225">
        <f t="shared" si="8"/>
        <v>0</v>
      </c>
    </row>
    <row r="648" ht="12.75" customHeight="1">
      <c r="V648" s="30">
        <f t="shared" si="1"/>
        <v>0</v>
      </c>
      <c r="Y648" s="30"/>
      <c r="Z648" s="224">
        <f t="shared" si="2"/>
        <v>0</v>
      </c>
      <c r="AA648" s="223">
        <f t="shared" si="3"/>
        <v>0</v>
      </c>
      <c r="AB648" s="170">
        <f t="shared" si="4"/>
        <v>0</v>
      </c>
      <c r="AC648" s="170">
        <f t="shared" si="5"/>
        <v>0</v>
      </c>
      <c r="AD648" s="170">
        <f t="shared" si="6"/>
        <v>0</v>
      </c>
      <c r="AE648" s="170"/>
      <c r="AF648" s="225">
        <f t="shared" si="8"/>
        <v>0</v>
      </c>
    </row>
    <row r="649" ht="12.75" customHeight="1">
      <c r="V649" s="30">
        <f t="shared" si="1"/>
        <v>0</v>
      </c>
      <c r="Y649" s="30"/>
      <c r="Z649" s="224">
        <f t="shared" si="2"/>
        <v>0</v>
      </c>
      <c r="AA649" s="223">
        <f t="shared" si="3"/>
        <v>0</v>
      </c>
      <c r="AB649" s="170">
        <f t="shared" si="4"/>
        <v>0</v>
      </c>
      <c r="AC649" s="170">
        <f t="shared" si="5"/>
        <v>0</v>
      </c>
      <c r="AD649" s="170">
        <f t="shared" si="6"/>
        <v>0</v>
      </c>
      <c r="AE649" s="170"/>
      <c r="AF649" s="225">
        <f t="shared" si="8"/>
        <v>0</v>
      </c>
    </row>
    <row r="650" ht="12.75" customHeight="1">
      <c r="V650" s="30">
        <f t="shared" si="1"/>
        <v>0</v>
      </c>
      <c r="Y650" s="30"/>
      <c r="Z650" s="224">
        <f t="shared" si="2"/>
        <v>0</v>
      </c>
      <c r="AA650" s="223">
        <f t="shared" si="3"/>
        <v>0</v>
      </c>
      <c r="AB650" s="170">
        <f t="shared" si="4"/>
        <v>0</v>
      </c>
      <c r="AC650" s="170">
        <f t="shared" si="5"/>
        <v>0</v>
      </c>
      <c r="AD650" s="170">
        <f t="shared" si="6"/>
        <v>0</v>
      </c>
      <c r="AE650" s="170"/>
      <c r="AF650" s="225">
        <f t="shared" si="8"/>
        <v>0</v>
      </c>
    </row>
    <row r="651" ht="12.75" customHeight="1">
      <c r="V651" s="30">
        <f t="shared" si="1"/>
        <v>0</v>
      </c>
      <c r="Y651" s="30"/>
      <c r="Z651" s="224">
        <f t="shared" si="2"/>
        <v>0</v>
      </c>
      <c r="AA651" s="223">
        <f t="shared" si="3"/>
        <v>0</v>
      </c>
      <c r="AB651" s="170">
        <f t="shared" si="4"/>
        <v>0</v>
      </c>
      <c r="AC651" s="170">
        <f t="shared" si="5"/>
        <v>0</v>
      </c>
      <c r="AD651" s="170">
        <f t="shared" si="6"/>
        <v>0</v>
      </c>
      <c r="AE651" s="170"/>
      <c r="AF651" s="225">
        <f t="shared" si="8"/>
        <v>0</v>
      </c>
    </row>
    <row r="652" ht="12.75" customHeight="1">
      <c r="V652" s="30">
        <f t="shared" si="1"/>
        <v>0</v>
      </c>
      <c r="Y652" s="30"/>
      <c r="Z652" s="224">
        <f t="shared" si="2"/>
        <v>0</v>
      </c>
      <c r="AA652" s="223">
        <f t="shared" si="3"/>
        <v>0</v>
      </c>
      <c r="AB652" s="170">
        <f t="shared" si="4"/>
        <v>0</v>
      </c>
      <c r="AC652" s="170">
        <f t="shared" si="5"/>
        <v>0</v>
      </c>
      <c r="AD652" s="170">
        <f t="shared" si="6"/>
        <v>0</v>
      </c>
      <c r="AE652" s="170"/>
      <c r="AF652" s="225">
        <f t="shared" si="8"/>
        <v>0</v>
      </c>
    </row>
    <row r="653" ht="12.75" customHeight="1">
      <c r="V653" s="30">
        <f t="shared" si="1"/>
        <v>0</v>
      </c>
      <c r="Y653" s="30"/>
      <c r="Z653" s="224">
        <f t="shared" si="2"/>
        <v>0</v>
      </c>
      <c r="AA653" s="223">
        <f t="shared" si="3"/>
        <v>0</v>
      </c>
      <c r="AB653" s="170">
        <f t="shared" si="4"/>
        <v>0</v>
      </c>
      <c r="AC653" s="170">
        <f t="shared" si="5"/>
        <v>0</v>
      </c>
      <c r="AD653" s="170">
        <f t="shared" si="6"/>
        <v>0</v>
      </c>
      <c r="AE653" s="170"/>
      <c r="AF653" s="225">
        <f t="shared" si="8"/>
        <v>0</v>
      </c>
    </row>
    <row r="654" ht="12.75" customHeight="1">
      <c r="V654" s="30">
        <f t="shared" si="1"/>
        <v>0</v>
      </c>
      <c r="Y654" s="30"/>
      <c r="Z654" s="224">
        <f t="shared" si="2"/>
        <v>0</v>
      </c>
      <c r="AA654" s="223">
        <f t="shared" si="3"/>
        <v>0</v>
      </c>
      <c r="AB654" s="170">
        <f t="shared" si="4"/>
        <v>0</v>
      </c>
      <c r="AC654" s="170">
        <f t="shared" si="5"/>
        <v>0</v>
      </c>
      <c r="AD654" s="170">
        <f t="shared" si="6"/>
        <v>0</v>
      </c>
      <c r="AE654" s="170"/>
      <c r="AF654" s="225">
        <f t="shared" si="8"/>
        <v>0</v>
      </c>
    </row>
    <row r="655" ht="12.75" customHeight="1">
      <c r="V655" s="30">
        <f t="shared" si="1"/>
        <v>0</v>
      </c>
      <c r="Y655" s="30"/>
      <c r="Z655" s="224">
        <f t="shared" si="2"/>
        <v>0</v>
      </c>
      <c r="AA655" s="223">
        <f t="shared" si="3"/>
        <v>0</v>
      </c>
      <c r="AB655" s="170">
        <f t="shared" si="4"/>
        <v>0</v>
      </c>
      <c r="AC655" s="170">
        <f t="shared" si="5"/>
        <v>0</v>
      </c>
      <c r="AD655" s="170">
        <f t="shared" si="6"/>
        <v>0</v>
      </c>
      <c r="AE655" s="170"/>
      <c r="AF655" s="225">
        <f t="shared" si="8"/>
        <v>0</v>
      </c>
    </row>
    <row r="656" ht="12.75" customHeight="1">
      <c r="V656" s="30">
        <f t="shared" si="1"/>
        <v>0</v>
      </c>
      <c r="Y656" s="30"/>
      <c r="Z656" s="224">
        <f t="shared" si="2"/>
        <v>0</v>
      </c>
      <c r="AA656" s="223">
        <f t="shared" si="3"/>
        <v>0</v>
      </c>
      <c r="AB656" s="170">
        <f t="shared" si="4"/>
        <v>0</v>
      </c>
      <c r="AC656" s="170">
        <f t="shared" si="5"/>
        <v>0</v>
      </c>
      <c r="AD656" s="170">
        <f t="shared" si="6"/>
        <v>0</v>
      </c>
      <c r="AE656" s="170"/>
      <c r="AF656" s="225">
        <f t="shared" si="8"/>
        <v>0</v>
      </c>
    </row>
    <row r="657" ht="12.75" customHeight="1">
      <c r="V657" s="30">
        <f t="shared" si="1"/>
        <v>0</v>
      </c>
      <c r="Y657" s="30"/>
      <c r="Z657" s="224">
        <f t="shared" si="2"/>
        <v>0</v>
      </c>
      <c r="AA657" s="223">
        <f t="shared" si="3"/>
        <v>0</v>
      </c>
      <c r="AB657" s="170">
        <f t="shared" si="4"/>
        <v>0</v>
      </c>
      <c r="AC657" s="170">
        <f t="shared" si="5"/>
        <v>0</v>
      </c>
      <c r="AD657" s="170">
        <f t="shared" si="6"/>
        <v>0</v>
      </c>
      <c r="AE657" s="170"/>
      <c r="AF657" s="225">
        <f t="shared" si="8"/>
        <v>0</v>
      </c>
    </row>
    <row r="658" ht="12.75" customHeight="1">
      <c r="V658" s="30">
        <f t="shared" si="1"/>
        <v>0</v>
      </c>
      <c r="Y658" s="30"/>
      <c r="Z658" s="224">
        <f t="shared" si="2"/>
        <v>0</v>
      </c>
      <c r="AA658" s="223">
        <f t="shared" si="3"/>
        <v>0</v>
      </c>
      <c r="AB658" s="170">
        <f t="shared" si="4"/>
        <v>0</v>
      </c>
      <c r="AC658" s="170">
        <f t="shared" si="5"/>
        <v>0</v>
      </c>
      <c r="AD658" s="170">
        <f t="shared" si="6"/>
        <v>0</v>
      </c>
      <c r="AE658" s="170"/>
      <c r="AF658" s="225">
        <f t="shared" si="8"/>
        <v>0</v>
      </c>
    </row>
    <row r="659" ht="12.75" customHeight="1">
      <c r="V659" s="30">
        <f t="shared" si="1"/>
        <v>0</v>
      </c>
      <c r="Y659" s="30"/>
      <c r="Z659" s="224">
        <f t="shared" si="2"/>
        <v>0</v>
      </c>
      <c r="AA659" s="223">
        <f t="shared" si="3"/>
        <v>0</v>
      </c>
      <c r="AB659" s="170">
        <f t="shared" si="4"/>
        <v>0</v>
      </c>
      <c r="AC659" s="170">
        <f t="shared" si="5"/>
        <v>0</v>
      </c>
      <c r="AD659" s="170">
        <f t="shared" si="6"/>
        <v>0</v>
      </c>
      <c r="AE659" s="170"/>
      <c r="AF659" s="225">
        <f t="shared" si="8"/>
        <v>0</v>
      </c>
    </row>
    <row r="660" ht="12.75" customHeight="1">
      <c r="V660" s="30">
        <f t="shared" si="1"/>
        <v>0</v>
      </c>
      <c r="Y660" s="30"/>
      <c r="Z660" s="224">
        <f t="shared" si="2"/>
        <v>0</v>
      </c>
      <c r="AA660" s="223">
        <f t="shared" si="3"/>
        <v>0</v>
      </c>
      <c r="AB660" s="170">
        <f t="shared" si="4"/>
        <v>0</v>
      </c>
      <c r="AC660" s="170">
        <f t="shared" si="5"/>
        <v>0</v>
      </c>
      <c r="AD660" s="170">
        <f t="shared" si="6"/>
        <v>0</v>
      </c>
      <c r="AE660" s="170"/>
      <c r="AF660" s="225">
        <f t="shared" si="8"/>
        <v>0</v>
      </c>
    </row>
    <row r="661" ht="12.75" customHeight="1">
      <c r="V661" s="30">
        <f t="shared" si="1"/>
        <v>0</v>
      </c>
      <c r="Y661" s="30"/>
      <c r="Z661" s="224">
        <f t="shared" si="2"/>
        <v>0</v>
      </c>
      <c r="AA661" s="223">
        <f t="shared" si="3"/>
        <v>0</v>
      </c>
      <c r="AB661" s="170">
        <f t="shared" si="4"/>
        <v>0</v>
      </c>
      <c r="AC661" s="170">
        <f t="shared" si="5"/>
        <v>0</v>
      </c>
      <c r="AD661" s="170">
        <f t="shared" si="6"/>
        <v>0</v>
      </c>
      <c r="AE661" s="170"/>
      <c r="AF661" s="225">
        <f t="shared" si="8"/>
        <v>0</v>
      </c>
    </row>
    <row r="662" ht="12.75" customHeight="1">
      <c r="V662" s="30">
        <f t="shared" si="1"/>
        <v>0</v>
      </c>
      <c r="Y662" s="30"/>
      <c r="Z662" s="224">
        <f t="shared" si="2"/>
        <v>0</v>
      </c>
      <c r="AA662" s="223">
        <f t="shared" si="3"/>
        <v>0</v>
      </c>
      <c r="AB662" s="170">
        <f t="shared" si="4"/>
        <v>0</v>
      </c>
      <c r="AC662" s="170">
        <f t="shared" si="5"/>
        <v>0</v>
      </c>
      <c r="AD662" s="170">
        <f t="shared" si="6"/>
        <v>0</v>
      </c>
      <c r="AE662" s="170"/>
      <c r="AF662" s="225">
        <f t="shared" si="8"/>
        <v>0</v>
      </c>
    </row>
    <row r="663" ht="12.75" customHeight="1">
      <c r="V663" s="30">
        <f t="shared" si="1"/>
        <v>0</v>
      </c>
      <c r="Y663" s="30"/>
      <c r="Z663" s="224">
        <f t="shared" si="2"/>
        <v>0</v>
      </c>
      <c r="AA663" s="223">
        <f t="shared" si="3"/>
        <v>0</v>
      </c>
      <c r="AB663" s="170">
        <f t="shared" si="4"/>
        <v>0</v>
      </c>
      <c r="AC663" s="170">
        <f t="shared" si="5"/>
        <v>0</v>
      </c>
      <c r="AD663" s="170">
        <f t="shared" si="6"/>
        <v>0</v>
      </c>
      <c r="AE663" s="170"/>
      <c r="AF663" s="225">
        <f t="shared" si="8"/>
        <v>0</v>
      </c>
    </row>
    <row r="664" ht="12.75" customHeight="1">
      <c r="V664" s="30">
        <f t="shared" si="1"/>
        <v>0</v>
      </c>
      <c r="Y664" s="30"/>
      <c r="Z664" s="224">
        <f t="shared" si="2"/>
        <v>0</v>
      </c>
      <c r="AA664" s="223">
        <f t="shared" si="3"/>
        <v>0</v>
      </c>
      <c r="AB664" s="170">
        <f t="shared" si="4"/>
        <v>0</v>
      </c>
      <c r="AC664" s="170">
        <f t="shared" si="5"/>
        <v>0</v>
      </c>
      <c r="AD664" s="170">
        <f t="shared" si="6"/>
        <v>0</v>
      </c>
      <c r="AE664" s="170"/>
      <c r="AF664" s="225">
        <f t="shared" si="8"/>
        <v>0</v>
      </c>
    </row>
    <row r="665" ht="12.75" customHeight="1">
      <c r="V665" s="30">
        <f t="shared" si="1"/>
        <v>0</v>
      </c>
      <c r="Y665" s="30"/>
      <c r="Z665" s="224">
        <f t="shared" si="2"/>
        <v>0</v>
      </c>
      <c r="AA665" s="223">
        <f t="shared" si="3"/>
        <v>0</v>
      </c>
      <c r="AB665" s="170">
        <f t="shared" si="4"/>
        <v>0</v>
      </c>
      <c r="AC665" s="170">
        <f t="shared" si="5"/>
        <v>0</v>
      </c>
      <c r="AD665" s="170">
        <f t="shared" si="6"/>
        <v>0</v>
      </c>
      <c r="AE665" s="170"/>
      <c r="AF665" s="225">
        <f t="shared" si="8"/>
        <v>0</v>
      </c>
    </row>
    <row r="666" ht="12.75" customHeight="1">
      <c r="V666" s="30">
        <f t="shared" si="1"/>
        <v>0</v>
      </c>
      <c r="Y666" s="30"/>
      <c r="Z666" s="224">
        <f t="shared" si="2"/>
        <v>0</v>
      </c>
      <c r="AA666" s="223">
        <f t="shared" si="3"/>
        <v>0</v>
      </c>
      <c r="AB666" s="170">
        <f t="shared" si="4"/>
        <v>0</v>
      </c>
      <c r="AC666" s="170">
        <f t="shared" si="5"/>
        <v>0</v>
      </c>
      <c r="AD666" s="170">
        <f t="shared" si="6"/>
        <v>0</v>
      </c>
      <c r="AE666" s="170"/>
      <c r="AF666" s="225">
        <f t="shared" si="8"/>
        <v>0</v>
      </c>
    </row>
    <row r="667" ht="12.75" customHeight="1">
      <c r="V667" s="30">
        <f t="shared" si="1"/>
        <v>0</v>
      </c>
      <c r="Y667" s="30"/>
      <c r="Z667" s="224">
        <f t="shared" si="2"/>
        <v>0</v>
      </c>
      <c r="AA667" s="223">
        <f t="shared" si="3"/>
        <v>0</v>
      </c>
      <c r="AB667" s="170">
        <f t="shared" si="4"/>
        <v>0</v>
      </c>
      <c r="AC667" s="170">
        <f t="shared" si="5"/>
        <v>0</v>
      </c>
      <c r="AD667" s="170">
        <f t="shared" si="6"/>
        <v>0</v>
      </c>
      <c r="AE667" s="170"/>
      <c r="AF667" s="225">
        <f t="shared" si="8"/>
        <v>0</v>
      </c>
    </row>
    <row r="668" ht="12.75" customHeight="1">
      <c r="V668" s="30">
        <f t="shared" si="1"/>
        <v>0</v>
      </c>
      <c r="Y668" s="30"/>
      <c r="Z668" s="224">
        <f t="shared" si="2"/>
        <v>0</v>
      </c>
      <c r="AA668" s="223">
        <f t="shared" si="3"/>
        <v>0</v>
      </c>
      <c r="AB668" s="170">
        <f t="shared" si="4"/>
        <v>0</v>
      </c>
      <c r="AC668" s="170">
        <f t="shared" si="5"/>
        <v>0</v>
      </c>
      <c r="AD668" s="170">
        <f t="shared" si="6"/>
        <v>0</v>
      </c>
      <c r="AE668" s="170"/>
      <c r="AF668" s="225">
        <f t="shared" si="8"/>
        <v>0</v>
      </c>
    </row>
    <row r="669" ht="12.75" customHeight="1">
      <c r="V669" s="30">
        <f t="shared" si="1"/>
        <v>0</v>
      </c>
      <c r="Y669" s="30"/>
      <c r="Z669" s="224">
        <f t="shared" si="2"/>
        <v>0</v>
      </c>
      <c r="AA669" s="223">
        <f t="shared" si="3"/>
        <v>0</v>
      </c>
      <c r="AB669" s="170">
        <f t="shared" si="4"/>
        <v>0</v>
      </c>
      <c r="AC669" s="170">
        <f t="shared" si="5"/>
        <v>0</v>
      </c>
      <c r="AD669" s="170">
        <f t="shared" si="6"/>
        <v>0</v>
      </c>
      <c r="AE669" s="170"/>
      <c r="AF669" s="225">
        <f t="shared" si="8"/>
        <v>0</v>
      </c>
    </row>
    <row r="670" ht="12.75" customHeight="1">
      <c r="V670" s="30">
        <f t="shared" si="1"/>
        <v>0</v>
      </c>
      <c r="Y670" s="30"/>
      <c r="Z670" s="224">
        <f t="shared" si="2"/>
        <v>0</v>
      </c>
      <c r="AA670" s="223">
        <f t="shared" si="3"/>
        <v>0</v>
      </c>
      <c r="AB670" s="170">
        <f t="shared" si="4"/>
        <v>0</v>
      </c>
      <c r="AC670" s="170">
        <f t="shared" si="5"/>
        <v>0</v>
      </c>
      <c r="AD670" s="170">
        <f t="shared" si="6"/>
        <v>0</v>
      </c>
      <c r="AE670" s="170"/>
      <c r="AF670" s="225">
        <f t="shared" si="8"/>
        <v>0</v>
      </c>
    </row>
    <row r="671" ht="12.75" customHeight="1">
      <c r="V671" s="30">
        <f t="shared" si="1"/>
        <v>0</v>
      </c>
      <c r="Y671" s="30"/>
      <c r="Z671" s="224">
        <f t="shared" si="2"/>
        <v>0</v>
      </c>
      <c r="AA671" s="223">
        <f t="shared" si="3"/>
        <v>0</v>
      </c>
      <c r="AB671" s="170">
        <f t="shared" si="4"/>
        <v>0</v>
      </c>
      <c r="AC671" s="170">
        <f t="shared" si="5"/>
        <v>0</v>
      </c>
      <c r="AD671" s="170">
        <f t="shared" si="6"/>
        <v>0</v>
      </c>
      <c r="AE671" s="170"/>
      <c r="AF671" s="225">
        <f t="shared" si="8"/>
        <v>0</v>
      </c>
    </row>
    <row r="672" ht="12.75" customHeight="1">
      <c r="V672" s="30">
        <f t="shared" si="1"/>
        <v>0</v>
      </c>
      <c r="Y672" s="30"/>
      <c r="Z672" s="224">
        <f t="shared" si="2"/>
        <v>0</v>
      </c>
      <c r="AA672" s="223">
        <f t="shared" si="3"/>
        <v>0</v>
      </c>
      <c r="AB672" s="170">
        <f t="shared" si="4"/>
        <v>0</v>
      </c>
      <c r="AC672" s="170">
        <f t="shared" si="5"/>
        <v>0</v>
      </c>
      <c r="AD672" s="170">
        <f t="shared" si="6"/>
        <v>0</v>
      </c>
      <c r="AE672" s="170"/>
      <c r="AF672" s="225">
        <f t="shared" si="8"/>
        <v>0</v>
      </c>
    </row>
    <row r="673" ht="12.75" customHeight="1">
      <c r="V673" s="30">
        <f t="shared" si="1"/>
        <v>0</v>
      </c>
      <c r="Y673" s="30"/>
      <c r="Z673" s="224">
        <f t="shared" si="2"/>
        <v>0</v>
      </c>
      <c r="AA673" s="223">
        <f t="shared" si="3"/>
        <v>0</v>
      </c>
      <c r="AB673" s="170">
        <f t="shared" si="4"/>
        <v>0</v>
      </c>
      <c r="AC673" s="170">
        <f t="shared" si="5"/>
        <v>0</v>
      </c>
      <c r="AD673" s="170">
        <f t="shared" si="6"/>
        <v>0</v>
      </c>
      <c r="AE673" s="170"/>
      <c r="AF673" s="225">
        <f t="shared" si="8"/>
        <v>0</v>
      </c>
    </row>
    <row r="674" ht="12.75" customHeight="1">
      <c r="V674" s="30">
        <f t="shared" si="1"/>
        <v>0</v>
      </c>
      <c r="Y674" s="30"/>
      <c r="Z674" s="224">
        <f t="shared" si="2"/>
        <v>0</v>
      </c>
      <c r="AA674" s="223">
        <f t="shared" si="3"/>
        <v>0</v>
      </c>
      <c r="AB674" s="170">
        <f t="shared" si="4"/>
        <v>0</v>
      </c>
      <c r="AC674" s="170">
        <f t="shared" si="5"/>
        <v>0</v>
      </c>
      <c r="AD674" s="170">
        <f t="shared" si="6"/>
        <v>0</v>
      </c>
      <c r="AE674" s="170"/>
      <c r="AF674" s="225">
        <f t="shared" si="8"/>
        <v>0</v>
      </c>
    </row>
    <row r="675" ht="12.75" customHeight="1">
      <c r="V675" s="30">
        <f t="shared" si="1"/>
        <v>0</v>
      </c>
      <c r="Y675" s="30"/>
      <c r="Z675" s="224">
        <f t="shared" si="2"/>
        <v>0</v>
      </c>
      <c r="AA675" s="223">
        <f t="shared" si="3"/>
        <v>0</v>
      </c>
      <c r="AB675" s="170">
        <f t="shared" si="4"/>
        <v>0</v>
      </c>
      <c r="AC675" s="170">
        <f t="shared" si="5"/>
        <v>0</v>
      </c>
      <c r="AD675" s="170">
        <f t="shared" si="6"/>
        <v>0</v>
      </c>
      <c r="AE675" s="170"/>
      <c r="AF675" s="225">
        <f t="shared" si="8"/>
        <v>0</v>
      </c>
    </row>
    <row r="676" ht="12.75" customHeight="1">
      <c r="V676" s="30">
        <f t="shared" si="1"/>
        <v>0</v>
      </c>
      <c r="Y676" s="30"/>
      <c r="Z676" s="224">
        <f t="shared" si="2"/>
        <v>0</v>
      </c>
      <c r="AA676" s="223">
        <f t="shared" si="3"/>
        <v>0</v>
      </c>
      <c r="AB676" s="170">
        <f t="shared" si="4"/>
        <v>0</v>
      </c>
      <c r="AC676" s="170">
        <f t="shared" si="5"/>
        <v>0</v>
      </c>
      <c r="AD676" s="170">
        <f t="shared" si="6"/>
        <v>0</v>
      </c>
      <c r="AE676" s="170"/>
      <c r="AF676" s="225">
        <f t="shared" si="8"/>
        <v>0</v>
      </c>
    </row>
    <row r="677" ht="12.75" customHeight="1">
      <c r="V677" s="30">
        <f t="shared" si="1"/>
        <v>0</v>
      </c>
      <c r="Y677" s="30"/>
      <c r="Z677" s="224">
        <f t="shared" si="2"/>
        <v>0</v>
      </c>
      <c r="AA677" s="223">
        <f t="shared" si="3"/>
        <v>0</v>
      </c>
      <c r="AB677" s="170">
        <f t="shared" si="4"/>
        <v>0</v>
      </c>
      <c r="AC677" s="170">
        <f t="shared" si="5"/>
        <v>0</v>
      </c>
      <c r="AD677" s="170">
        <f t="shared" si="6"/>
        <v>0</v>
      </c>
      <c r="AE677" s="170"/>
      <c r="AF677" s="225">
        <f t="shared" si="8"/>
        <v>0</v>
      </c>
    </row>
    <row r="678" ht="12.75" customHeight="1">
      <c r="V678" s="30">
        <f t="shared" si="1"/>
        <v>0</v>
      </c>
      <c r="Y678" s="30"/>
      <c r="Z678" s="224">
        <f t="shared" si="2"/>
        <v>0</v>
      </c>
      <c r="AA678" s="223">
        <f t="shared" si="3"/>
        <v>0</v>
      </c>
      <c r="AB678" s="170">
        <f t="shared" si="4"/>
        <v>0</v>
      </c>
      <c r="AC678" s="170">
        <f t="shared" si="5"/>
        <v>0</v>
      </c>
      <c r="AD678" s="170">
        <f t="shared" si="6"/>
        <v>0</v>
      </c>
      <c r="AE678" s="170"/>
      <c r="AF678" s="225">
        <f t="shared" si="8"/>
        <v>0</v>
      </c>
    </row>
    <row r="679" ht="12.75" customHeight="1">
      <c r="V679" s="30">
        <f t="shared" si="1"/>
        <v>0</v>
      </c>
      <c r="Y679" s="30"/>
      <c r="Z679" s="224">
        <f t="shared" si="2"/>
        <v>0</v>
      </c>
      <c r="AA679" s="223">
        <f t="shared" si="3"/>
        <v>0</v>
      </c>
      <c r="AB679" s="170">
        <f t="shared" si="4"/>
        <v>0</v>
      </c>
      <c r="AC679" s="170">
        <f t="shared" si="5"/>
        <v>0</v>
      </c>
      <c r="AD679" s="170">
        <f t="shared" si="6"/>
        <v>0</v>
      </c>
      <c r="AE679" s="170"/>
      <c r="AF679" s="225">
        <f t="shared" si="8"/>
        <v>0</v>
      </c>
    </row>
    <row r="680" ht="12.75" customHeight="1">
      <c r="V680" s="30">
        <f t="shared" si="1"/>
        <v>0</v>
      </c>
      <c r="Y680" s="30"/>
      <c r="Z680" s="224">
        <f t="shared" si="2"/>
        <v>0</v>
      </c>
      <c r="AA680" s="223">
        <f t="shared" si="3"/>
        <v>0</v>
      </c>
      <c r="AB680" s="170">
        <f t="shared" si="4"/>
        <v>0</v>
      </c>
      <c r="AC680" s="170">
        <f t="shared" si="5"/>
        <v>0</v>
      </c>
      <c r="AD680" s="170">
        <f t="shared" si="6"/>
        <v>0</v>
      </c>
      <c r="AE680" s="170"/>
      <c r="AF680" s="225">
        <f t="shared" si="8"/>
        <v>0</v>
      </c>
    </row>
    <row r="681" ht="12.75" customHeight="1">
      <c r="V681" s="30">
        <f t="shared" si="1"/>
        <v>0</v>
      </c>
      <c r="Y681" s="30"/>
      <c r="Z681" s="224">
        <f t="shared" si="2"/>
        <v>0</v>
      </c>
      <c r="AA681" s="223">
        <f t="shared" si="3"/>
        <v>0</v>
      </c>
      <c r="AB681" s="170">
        <f t="shared" si="4"/>
        <v>0</v>
      </c>
      <c r="AC681" s="170">
        <f t="shared" si="5"/>
        <v>0</v>
      </c>
      <c r="AD681" s="170">
        <f t="shared" si="6"/>
        <v>0</v>
      </c>
      <c r="AE681" s="170"/>
      <c r="AF681" s="225">
        <f t="shared" si="8"/>
        <v>0</v>
      </c>
    </row>
    <row r="682" ht="12.75" customHeight="1">
      <c r="V682" s="30">
        <f t="shared" si="1"/>
        <v>0</v>
      </c>
      <c r="Y682" s="30"/>
      <c r="Z682" s="224">
        <f t="shared" si="2"/>
        <v>0</v>
      </c>
      <c r="AA682" s="223">
        <f t="shared" si="3"/>
        <v>0</v>
      </c>
      <c r="AB682" s="170">
        <f t="shared" si="4"/>
        <v>0</v>
      </c>
      <c r="AC682" s="170">
        <f t="shared" si="5"/>
        <v>0</v>
      </c>
      <c r="AD682" s="170">
        <f t="shared" si="6"/>
        <v>0</v>
      </c>
      <c r="AE682" s="170"/>
      <c r="AF682" s="225">
        <f t="shared" si="8"/>
        <v>0</v>
      </c>
    </row>
    <row r="683" ht="12.75" customHeight="1">
      <c r="V683" s="30">
        <f t="shared" si="1"/>
        <v>0</v>
      </c>
      <c r="Y683" s="30"/>
      <c r="Z683" s="224">
        <f t="shared" si="2"/>
        <v>0</v>
      </c>
      <c r="AA683" s="223">
        <f t="shared" si="3"/>
        <v>0</v>
      </c>
      <c r="AB683" s="170">
        <f t="shared" si="4"/>
        <v>0</v>
      </c>
      <c r="AC683" s="170">
        <f t="shared" si="5"/>
        <v>0</v>
      </c>
      <c r="AD683" s="170">
        <f t="shared" si="6"/>
        <v>0</v>
      </c>
      <c r="AE683" s="170"/>
      <c r="AF683" s="225">
        <f t="shared" si="8"/>
        <v>0</v>
      </c>
    </row>
    <row r="684" ht="12.75" customHeight="1">
      <c r="V684" s="30">
        <f t="shared" si="1"/>
        <v>0</v>
      </c>
      <c r="Y684" s="30"/>
      <c r="Z684" s="224">
        <f t="shared" si="2"/>
        <v>0</v>
      </c>
      <c r="AA684" s="223">
        <f t="shared" si="3"/>
        <v>0</v>
      </c>
      <c r="AB684" s="170">
        <f t="shared" si="4"/>
        <v>0</v>
      </c>
      <c r="AC684" s="170">
        <f t="shared" si="5"/>
        <v>0</v>
      </c>
      <c r="AD684" s="170">
        <f t="shared" si="6"/>
        <v>0</v>
      </c>
      <c r="AE684" s="170"/>
      <c r="AF684" s="225">
        <f t="shared" si="8"/>
        <v>0</v>
      </c>
    </row>
    <row r="685" ht="12.75" customHeight="1">
      <c r="V685" s="30">
        <f t="shared" si="1"/>
        <v>0</v>
      </c>
      <c r="Y685" s="30"/>
      <c r="Z685" s="224">
        <f t="shared" si="2"/>
        <v>0</v>
      </c>
      <c r="AA685" s="223">
        <f t="shared" si="3"/>
        <v>0</v>
      </c>
      <c r="AB685" s="170">
        <f t="shared" si="4"/>
        <v>0</v>
      </c>
      <c r="AC685" s="170">
        <f t="shared" si="5"/>
        <v>0</v>
      </c>
      <c r="AD685" s="170">
        <f t="shared" si="6"/>
        <v>0</v>
      </c>
      <c r="AE685" s="170"/>
      <c r="AF685" s="225">
        <f t="shared" si="8"/>
        <v>0</v>
      </c>
    </row>
    <row r="686" ht="12.75" customHeight="1">
      <c r="V686" s="30">
        <f t="shared" si="1"/>
        <v>0</v>
      </c>
      <c r="Y686" s="30"/>
      <c r="Z686" s="224">
        <f t="shared" si="2"/>
        <v>0</v>
      </c>
      <c r="AA686" s="223">
        <f t="shared" si="3"/>
        <v>0</v>
      </c>
      <c r="AB686" s="170">
        <f t="shared" si="4"/>
        <v>0</v>
      </c>
      <c r="AC686" s="170">
        <f t="shared" si="5"/>
        <v>0</v>
      </c>
      <c r="AD686" s="170">
        <f t="shared" si="6"/>
        <v>0</v>
      </c>
      <c r="AE686" s="170"/>
      <c r="AF686" s="225">
        <f t="shared" si="8"/>
        <v>0</v>
      </c>
    </row>
    <row r="687" ht="12.75" customHeight="1">
      <c r="V687" s="30">
        <f t="shared" si="1"/>
        <v>0</v>
      </c>
      <c r="Y687" s="30"/>
      <c r="Z687" s="224">
        <f t="shared" si="2"/>
        <v>0</v>
      </c>
      <c r="AA687" s="223">
        <f t="shared" si="3"/>
        <v>0</v>
      </c>
      <c r="AB687" s="170">
        <f t="shared" si="4"/>
        <v>0</v>
      </c>
      <c r="AC687" s="170">
        <f t="shared" si="5"/>
        <v>0</v>
      </c>
      <c r="AD687" s="170">
        <f t="shared" si="6"/>
        <v>0</v>
      </c>
      <c r="AE687" s="170"/>
      <c r="AF687" s="225">
        <f t="shared" si="8"/>
        <v>0</v>
      </c>
    </row>
    <row r="688" ht="12.75" customHeight="1">
      <c r="V688" s="30">
        <f t="shared" si="1"/>
        <v>0</v>
      </c>
      <c r="Y688" s="30"/>
      <c r="Z688" s="224">
        <f t="shared" si="2"/>
        <v>0</v>
      </c>
      <c r="AA688" s="223">
        <f t="shared" si="3"/>
        <v>0</v>
      </c>
      <c r="AB688" s="170">
        <f t="shared" si="4"/>
        <v>0</v>
      </c>
      <c r="AC688" s="170">
        <f t="shared" si="5"/>
        <v>0</v>
      </c>
      <c r="AD688" s="170">
        <f t="shared" si="6"/>
        <v>0</v>
      </c>
      <c r="AE688" s="170"/>
      <c r="AF688" s="225">
        <f t="shared" si="8"/>
        <v>0</v>
      </c>
    </row>
    <row r="689" ht="12.75" customHeight="1">
      <c r="V689" s="30">
        <f t="shared" si="1"/>
        <v>0</v>
      </c>
      <c r="Y689" s="30"/>
      <c r="Z689" s="224">
        <f t="shared" si="2"/>
        <v>0</v>
      </c>
      <c r="AA689" s="223">
        <f t="shared" si="3"/>
        <v>0</v>
      </c>
      <c r="AB689" s="170">
        <f t="shared" si="4"/>
        <v>0</v>
      </c>
      <c r="AC689" s="170">
        <f t="shared" si="5"/>
        <v>0</v>
      </c>
      <c r="AD689" s="170">
        <f t="shared" si="6"/>
        <v>0</v>
      </c>
      <c r="AE689" s="170"/>
      <c r="AF689" s="225">
        <f t="shared" si="8"/>
        <v>0</v>
      </c>
    </row>
    <row r="690" ht="12.75" customHeight="1">
      <c r="V690" s="30">
        <f t="shared" si="1"/>
        <v>0</v>
      </c>
      <c r="Y690" s="30"/>
      <c r="Z690" s="224">
        <f t="shared" si="2"/>
        <v>0</v>
      </c>
      <c r="AA690" s="223">
        <f t="shared" si="3"/>
        <v>0</v>
      </c>
      <c r="AB690" s="170">
        <f t="shared" si="4"/>
        <v>0</v>
      </c>
      <c r="AC690" s="170">
        <f t="shared" si="5"/>
        <v>0</v>
      </c>
      <c r="AD690" s="170">
        <f t="shared" si="6"/>
        <v>0</v>
      </c>
      <c r="AE690" s="170"/>
      <c r="AF690" s="225">
        <f t="shared" si="8"/>
        <v>0</v>
      </c>
    </row>
    <row r="691" ht="12.75" customHeight="1">
      <c r="V691" s="30">
        <f t="shared" si="1"/>
        <v>0</v>
      </c>
      <c r="Y691" s="30"/>
      <c r="Z691" s="224">
        <f t="shared" si="2"/>
        <v>0</v>
      </c>
      <c r="AA691" s="223">
        <f t="shared" si="3"/>
        <v>0</v>
      </c>
      <c r="AB691" s="170">
        <f t="shared" si="4"/>
        <v>0</v>
      </c>
      <c r="AC691" s="170">
        <f t="shared" si="5"/>
        <v>0</v>
      </c>
      <c r="AD691" s="170">
        <f t="shared" si="6"/>
        <v>0</v>
      </c>
      <c r="AE691" s="170"/>
      <c r="AF691" s="225">
        <f t="shared" si="8"/>
        <v>0</v>
      </c>
    </row>
    <row r="692" ht="12.75" customHeight="1">
      <c r="V692" s="30">
        <f t="shared" si="1"/>
        <v>0</v>
      </c>
      <c r="Y692" s="30"/>
      <c r="Z692" s="224">
        <f t="shared" si="2"/>
        <v>0</v>
      </c>
      <c r="AA692" s="223">
        <f t="shared" si="3"/>
        <v>0</v>
      </c>
      <c r="AB692" s="170">
        <f t="shared" si="4"/>
        <v>0</v>
      </c>
      <c r="AC692" s="170">
        <f t="shared" si="5"/>
        <v>0</v>
      </c>
      <c r="AD692" s="170">
        <f t="shared" si="6"/>
        <v>0</v>
      </c>
      <c r="AE692" s="170"/>
      <c r="AF692" s="225">
        <f t="shared" si="8"/>
        <v>0</v>
      </c>
    </row>
    <row r="693" ht="12.75" customHeight="1">
      <c r="V693" s="30">
        <f t="shared" si="1"/>
        <v>0</v>
      </c>
      <c r="Y693" s="30"/>
      <c r="Z693" s="224">
        <f t="shared" si="2"/>
        <v>0</v>
      </c>
      <c r="AA693" s="223">
        <f t="shared" si="3"/>
        <v>0</v>
      </c>
      <c r="AB693" s="170">
        <f t="shared" si="4"/>
        <v>0</v>
      </c>
      <c r="AC693" s="170">
        <f t="shared" si="5"/>
        <v>0</v>
      </c>
      <c r="AD693" s="170">
        <f t="shared" si="6"/>
        <v>0</v>
      </c>
      <c r="AE693" s="170"/>
      <c r="AF693" s="225">
        <f t="shared" si="8"/>
        <v>0</v>
      </c>
    </row>
    <row r="694" ht="12.75" customHeight="1">
      <c r="V694" s="30">
        <f t="shared" si="1"/>
        <v>0</v>
      </c>
      <c r="Y694" s="30"/>
      <c r="Z694" s="224">
        <f t="shared" si="2"/>
        <v>0</v>
      </c>
      <c r="AA694" s="223">
        <f t="shared" si="3"/>
        <v>0</v>
      </c>
      <c r="AB694" s="170">
        <f t="shared" si="4"/>
        <v>0</v>
      </c>
      <c r="AC694" s="170">
        <f t="shared" si="5"/>
        <v>0</v>
      </c>
      <c r="AD694" s="170">
        <f t="shared" si="6"/>
        <v>0</v>
      </c>
      <c r="AE694" s="170"/>
      <c r="AF694" s="225">
        <f t="shared" si="8"/>
        <v>0</v>
      </c>
    </row>
    <row r="695" ht="12.75" customHeight="1">
      <c r="V695" s="30">
        <f t="shared" si="1"/>
        <v>0</v>
      </c>
      <c r="Y695" s="30"/>
      <c r="Z695" s="224">
        <f t="shared" si="2"/>
        <v>0</v>
      </c>
      <c r="AA695" s="223">
        <f t="shared" si="3"/>
        <v>0</v>
      </c>
      <c r="AB695" s="170">
        <f t="shared" si="4"/>
        <v>0</v>
      </c>
      <c r="AC695" s="170">
        <f t="shared" si="5"/>
        <v>0</v>
      </c>
      <c r="AD695" s="170">
        <f t="shared" si="6"/>
        <v>0</v>
      </c>
      <c r="AE695" s="170"/>
      <c r="AF695" s="225">
        <f t="shared" si="8"/>
        <v>0</v>
      </c>
    </row>
    <row r="696" ht="12.75" customHeight="1">
      <c r="V696" s="30">
        <f t="shared" si="1"/>
        <v>0</v>
      </c>
      <c r="Y696" s="30"/>
      <c r="Z696" s="224">
        <f t="shared" si="2"/>
        <v>0</v>
      </c>
      <c r="AA696" s="223">
        <f t="shared" si="3"/>
        <v>0</v>
      </c>
      <c r="AB696" s="170">
        <f t="shared" si="4"/>
        <v>0</v>
      </c>
      <c r="AC696" s="170">
        <f t="shared" si="5"/>
        <v>0</v>
      </c>
      <c r="AD696" s="170">
        <f t="shared" si="6"/>
        <v>0</v>
      </c>
      <c r="AE696" s="170"/>
      <c r="AF696" s="225">
        <f t="shared" si="8"/>
        <v>0</v>
      </c>
    </row>
    <row r="697" ht="12.75" customHeight="1">
      <c r="V697" s="30">
        <f t="shared" si="1"/>
        <v>0</v>
      </c>
      <c r="Y697" s="30"/>
      <c r="Z697" s="224">
        <f t="shared" si="2"/>
        <v>0</v>
      </c>
      <c r="AA697" s="223">
        <f t="shared" si="3"/>
        <v>0</v>
      </c>
      <c r="AB697" s="170">
        <f t="shared" si="4"/>
        <v>0</v>
      </c>
      <c r="AC697" s="170">
        <f t="shared" si="5"/>
        <v>0</v>
      </c>
      <c r="AD697" s="170">
        <f t="shared" si="6"/>
        <v>0</v>
      </c>
      <c r="AE697" s="170"/>
      <c r="AF697" s="225">
        <f t="shared" si="8"/>
        <v>0</v>
      </c>
    </row>
    <row r="698" ht="12.75" customHeight="1">
      <c r="V698" s="30">
        <f t="shared" si="1"/>
        <v>0</v>
      </c>
      <c r="Y698" s="30"/>
      <c r="Z698" s="224">
        <f t="shared" si="2"/>
        <v>0</v>
      </c>
      <c r="AA698" s="223">
        <f t="shared" si="3"/>
        <v>0</v>
      </c>
      <c r="AB698" s="170">
        <f t="shared" si="4"/>
        <v>0</v>
      </c>
      <c r="AC698" s="170">
        <f t="shared" si="5"/>
        <v>0</v>
      </c>
      <c r="AD698" s="170">
        <f t="shared" si="6"/>
        <v>0</v>
      </c>
      <c r="AE698" s="170"/>
      <c r="AF698" s="225">
        <f t="shared" si="8"/>
        <v>0</v>
      </c>
    </row>
    <row r="699" ht="12.75" customHeight="1">
      <c r="V699" s="30">
        <f t="shared" si="1"/>
        <v>0</v>
      </c>
      <c r="Y699" s="30"/>
      <c r="Z699" s="224">
        <f t="shared" si="2"/>
        <v>0</v>
      </c>
      <c r="AA699" s="223">
        <f t="shared" si="3"/>
        <v>0</v>
      </c>
      <c r="AB699" s="170">
        <f t="shared" si="4"/>
        <v>0</v>
      </c>
      <c r="AC699" s="170">
        <f t="shared" si="5"/>
        <v>0</v>
      </c>
      <c r="AD699" s="170">
        <f t="shared" si="6"/>
        <v>0</v>
      </c>
      <c r="AE699" s="170"/>
      <c r="AF699" s="225">
        <f t="shared" si="8"/>
        <v>0</v>
      </c>
    </row>
    <row r="700" ht="12.75" customHeight="1">
      <c r="V700" s="30">
        <f t="shared" si="1"/>
        <v>0</v>
      </c>
      <c r="Y700" s="30"/>
      <c r="Z700" s="224">
        <f t="shared" si="2"/>
        <v>0</v>
      </c>
      <c r="AA700" s="223">
        <f t="shared" si="3"/>
        <v>0</v>
      </c>
      <c r="AB700" s="170">
        <f t="shared" si="4"/>
        <v>0</v>
      </c>
      <c r="AC700" s="170">
        <f t="shared" si="5"/>
        <v>0</v>
      </c>
      <c r="AD700" s="170">
        <f t="shared" si="6"/>
        <v>0</v>
      </c>
      <c r="AE700" s="170"/>
      <c r="AF700" s="225">
        <f t="shared" si="8"/>
        <v>0</v>
      </c>
    </row>
    <row r="701" ht="12.75" customHeight="1">
      <c r="V701" s="30">
        <f t="shared" si="1"/>
        <v>0</v>
      </c>
      <c r="Y701" s="30"/>
      <c r="Z701" s="224">
        <f t="shared" si="2"/>
        <v>0</v>
      </c>
      <c r="AA701" s="223">
        <f t="shared" si="3"/>
        <v>0</v>
      </c>
      <c r="AB701" s="170">
        <f t="shared" si="4"/>
        <v>0</v>
      </c>
      <c r="AC701" s="170">
        <f t="shared" si="5"/>
        <v>0</v>
      </c>
      <c r="AD701" s="170">
        <f t="shared" si="6"/>
        <v>0</v>
      </c>
      <c r="AE701" s="170"/>
      <c r="AF701" s="225">
        <f t="shared" si="8"/>
        <v>0</v>
      </c>
    </row>
    <row r="702" ht="12.75" customHeight="1">
      <c r="V702" s="30">
        <f t="shared" si="1"/>
        <v>0</v>
      </c>
      <c r="Y702" s="30"/>
      <c r="Z702" s="224">
        <f t="shared" si="2"/>
        <v>0</v>
      </c>
      <c r="AA702" s="223">
        <f t="shared" si="3"/>
        <v>0</v>
      </c>
      <c r="AB702" s="170">
        <f t="shared" si="4"/>
        <v>0</v>
      </c>
      <c r="AC702" s="170">
        <f t="shared" si="5"/>
        <v>0</v>
      </c>
      <c r="AD702" s="170">
        <f t="shared" si="6"/>
        <v>0</v>
      </c>
      <c r="AE702" s="170"/>
      <c r="AF702" s="225">
        <f t="shared" si="8"/>
        <v>0</v>
      </c>
    </row>
    <row r="703" ht="12.75" customHeight="1">
      <c r="V703" s="30">
        <f t="shared" si="1"/>
        <v>0</v>
      </c>
      <c r="Y703" s="30"/>
      <c r="Z703" s="224">
        <f t="shared" si="2"/>
        <v>0</v>
      </c>
      <c r="AA703" s="223">
        <f t="shared" si="3"/>
        <v>0</v>
      </c>
      <c r="AB703" s="170">
        <f t="shared" si="4"/>
        <v>0</v>
      </c>
      <c r="AC703" s="170">
        <f t="shared" si="5"/>
        <v>0</v>
      </c>
      <c r="AD703" s="170">
        <f t="shared" si="6"/>
        <v>0</v>
      </c>
      <c r="AE703" s="170"/>
      <c r="AF703" s="225">
        <f t="shared" si="8"/>
        <v>0</v>
      </c>
    </row>
    <row r="704" ht="12.75" customHeight="1">
      <c r="V704" s="30">
        <f t="shared" si="1"/>
        <v>0</v>
      </c>
      <c r="Y704" s="30"/>
      <c r="Z704" s="224">
        <f t="shared" si="2"/>
        <v>0</v>
      </c>
      <c r="AA704" s="223">
        <f t="shared" si="3"/>
        <v>0</v>
      </c>
      <c r="AB704" s="170">
        <f t="shared" si="4"/>
        <v>0</v>
      </c>
      <c r="AC704" s="170">
        <f t="shared" si="5"/>
        <v>0</v>
      </c>
      <c r="AD704" s="170">
        <f t="shared" si="6"/>
        <v>0</v>
      </c>
      <c r="AE704" s="170"/>
      <c r="AF704" s="225">
        <f t="shared" si="8"/>
        <v>0</v>
      </c>
    </row>
    <row r="705" ht="12.75" customHeight="1">
      <c r="V705" s="30">
        <f t="shared" si="1"/>
        <v>0</v>
      </c>
      <c r="Y705" s="30"/>
      <c r="Z705" s="224">
        <f t="shared" si="2"/>
        <v>0</v>
      </c>
      <c r="AA705" s="223">
        <f t="shared" si="3"/>
        <v>0</v>
      </c>
      <c r="AB705" s="170">
        <f t="shared" si="4"/>
        <v>0</v>
      </c>
      <c r="AC705" s="170">
        <f t="shared" si="5"/>
        <v>0</v>
      </c>
      <c r="AD705" s="170">
        <f t="shared" si="6"/>
        <v>0</v>
      </c>
      <c r="AE705" s="170"/>
      <c r="AF705" s="225">
        <f t="shared" si="8"/>
        <v>0</v>
      </c>
    </row>
    <row r="706" ht="12.75" customHeight="1">
      <c r="V706" s="30">
        <f t="shared" si="1"/>
        <v>0</v>
      </c>
      <c r="Y706" s="30"/>
      <c r="Z706" s="224">
        <f t="shared" si="2"/>
        <v>0</v>
      </c>
      <c r="AA706" s="223">
        <f t="shared" si="3"/>
        <v>0</v>
      </c>
      <c r="AB706" s="170">
        <f t="shared" si="4"/>
        <v>0</v>
      </c>
      <c r="AC706" s="170">
        <f t="shared" si="5"/>
        <v>0</v>
      </c>
      <c r="AD706" s="170">
        <f t="shared" si="6"/>
        <v>0</v>
      </c>
      <c r="AE706" s="170"/>
      <c r="AF706" s="225">
        <f t="shared" si="8"/>
        <v>0</v>
      </c>
    </row>
    <row r="707" ht="12.75" customHeight="1">
      <c r="V707" s="30">
        <f t="shared" si="1"/>
        <v>0</v>
      </c>
      <c r="Y707" s="30"/>
      <c r="Z707" s="224">
        <f t="shared" si="2"/>
        <v>0</v>
      </c>
      <c r="AA707" s="223">
        <f t="shared" si="3"/>
        <v>0</v>
      </c>
      <c r="AB707" s="170">
        <f t="shared" si="4"/>
        <v>0</v>
      </c>
      <c r="AC707" s="170">
        <f t="shared" si="5"/>
        <v>0</v>
      </c>
      <c r="AD707" s="170">
        <f t="shared" si="6"/>
        <v>0</v>
      </c>
      <c r="AE707" s="170"/>
      <c r="AF707" s="225">
        <f t="shared" si="8"/>
        <v>0</v>
      </c>
    </row>
    <row r="708" ht="12.75" customHeight="1">
      <c r="V708" s="30">
        <f t="shared" si="1"/>
        <v>0</v>
      </c>
      <c r="Y708" s="30"/>
      <c r="Z708" s="224">
        <f t="shared" si="2"/>
        <v>0</v>
      </c>
      <c r="AA708" s="223">
        <f t="shared" si="3"/>
        <v>0</v>
      </c>
      <c r="AB708" s="170">
        <f t="shared" si="4"/>
        <v>0</v>
      </c>
      <c r="AC708" s="170">
        <f t="shared" si="5"/>
        <v>0</v>
      </c>
      <c r="AD708" s="170">
        <f t="shared" si="6"/>
        <v>0</v>
      </c>
      <c r="AE708" s="170"/>
      <c r="AF708" s="225">
        <f t="shared" si="8"/>
        <v>0</v>
      </c>
    </row>
    <row r="709" ht="12.75" customHeight="1">
      <c r="V709" s="30">
        <f t="shared" si="1"/>
        <v>0</v>
      </c>
      <c r="Y709" s="30"/>
      <c r="Z709" s="224">
        <f t="shared" si="2"/>
        <v>0</v>
      </c>
      <c r="AA709" s="223">
        <f t="shared" si="3"/>
        <v>0</v>
      </c>
      <c r="AB709" s="170">
        <f t="shared" si="4"/>
        <v>0</v>
      </c>
      <c r="AC709" s="170">
        <f t="shared" si="5"/>
        <v>0</v>
      </c>
      <c r="AD709" s="170">
        <f t="shared" si="6"/>
        <v>0</v>
      </c>
      <c r="AE709" s="170"/>
      <c r="AF709" s="225">
        <f t="shared" si="8"/>
        <v>0</v>
      </c>
    </row>
    <row r="710" ht="12.75" customHeight="1">
      <c r="V710" s="30">
        <f t="shared" si="1"/>
        <v>0</v>
      </c>
      <c r="Y710" s="30"/>
      <c r="Z710" s="224">
        <f t="shared" si="2"/>
        <v>0</v>
      </c>
      <c r="AA710" s="223">
        <f t="shared" si="3"/>
        <v>0</v>
      </c>
      <c r="AB710" s="170">
        <f t="shared" si="4"/>
        <v>0</v>
      </c>
      <c r="AC710" s="170">
        <f t="shared" si="5"/>
        <v>0</v>
      </c>
      <c r="AD710" s="170">
        <f t="shared" si="6"/>
        <v>0</v>
      </c>
      <c r="AE710" s="170"/>
      <c r="AF710" s="225">
        <f t="shared" si="8"/>
        <v>0</v>
      </c>
    </row>
    <row r="711" ht="12.75" customHeight="1">
      <c r="V711" s="30">
        <f t="shared" si="1"/>
        <v>0</v>
      </c>
      <c r="Y711" s="30"/>
      <c r="Z711" s="224">
        <f t="shared" si="2"/>
        <v>0</v>
      </c>
      <c r="AA711" s="223">
        <f t="shared" si="3"/>
        <v>0</v>
      </c>
      <c r="AB711" s="170">
        <f t="shared" si="4"/>
        <v>0</v>
      </c>
      <c r="AC711" s="170">
        <f t="shared" si="5"/>
        <v>0</v>
      </c>
      <c r="AD711" s="170">
        <f t="shared" si="6"/>
        <v>0</v>
      </c>
      <c r="AE711" s="170"/>
      <c r="AF711" s="225">
        <f t="shared" si="8"/>
        <v>0</v>
      </c>
    </row>
    <row r="712" ht="12.75" customHeight="1">
      <c r="V712" s="30">
        <f t="shared" si="1"/>
        <v>0</v>
      </c>
      <c r="Y712" s="30"/>
      <c r="Z712" s="224">
        <f t="shared" si="2"/>
        <v>0</v>
      </c>
      <c r="AA712" s="223">
        <f t="shared" si="3"/>
        <v>0</v>
      </c>
      <c r="AB712" s="170">
        <f t="shared" si="4"/>
        <v>0</v>
      </c>
      <c r="AC712" s="170">
        <f t="shared" si="5"/>
        <v>0</v>
      </c>
      <c r="AD712" s="170">
        <f t="shared" si="6"/>
        <v>0</v>
      </c>
      <c r="AE712" s="170"/>
      <c r="AF712" s="225">
        <f t="shared" si="8"/>
        <v>0</v>
      </c>
    </row>
    <row r="713" ht="12.75" customHeight="1">
      <c r="V713" s="30">
        <f t="shared" si="1"/>
        <v>0</v>
      </c>
      <c r="Y713" s="30"/>
      <c r="Z713" s="224">
        <f t="shared" si="2"/>
        <v>0</v>
      </c>
      <c r="AA713" s="223">
        <f t="shared" si="3"/>
        <v>0</v>
      </c>
      <c r="AB713" s="170">
        <f t="shared" si="4"/>
        <v>0</v>
      </c>
      <c r="AC713" s="170">
        <f t="shared" si="5"/>
        <v>0</v>
      </c>
      <c r="AD713" s="170">
        <f t="shared" si="6"/>
        <v>0</v>
      </c>
      <c r="AE713" s="170"/>
      <c r="AF713" s="225">
        <f t="shared" si="8"/>
        <v>0</v>
      </c>
    </row>
    <row r="714" ht="12.75" customHeight="1">
      <c r="V714" s="30">
        <f t="shared" si="1"/>
        <v>0</v>
      </c>
      <c r="Y714" s="30"/>
      <c r="Z714" s="224">
        <f t="shared" si="2"/>
        <v>0</v>
      </c>
      <c r="AA714" s="223">
        <f t="shared" si="3"/>
        <v>0</v>
      </c>
      <c r="AB714" s="170">
        <f t="shared" si="4"/>
        <v>0</v>
      </c>
      <c r="AC714" s="170">
        <f t="shared" si="5"/>
        <v>0</v>
      </c>
      <c r="AD714" s="170">
        <f t="shared" si="6"/>
        <v>0</v>
      </c>
      <c r="AE714" s="170"/>
      <c r="AF714" s="225">
        <f t="shared" si="8"/>
        <v>0</v>
      </c>
    </row>
    <row r="715" ht="12.75" customHeight="1">
      <c r="V715" s="30">
        <f t="shared" si="1"/>
        <v>0</v>
      </c>
      <c r="Y715" s="30"/>
      <c r="Z715" s="224">
        <f t="shared" si="2"/>
        <v>0</v>
      </c>
      <c r="AA715" s="223">
        <f t="shared" si="3"/>
        <v>0</v>
      </c>
      <c r="AB715" s="170">
        <f t="shared" si="4"/>
        <v>0</v>
      </c>
      <c r="AC715" s="170">
        <f t="shared" si="5"/>
        <v>0</v>
      </c>
      <c r="AD715" s="170">
        <f t="shared" si="6"/>
        <v>0</v>
      </c>
      <c r="AE715" s="170"/>
      <c r="AF715" s="225">
        <f t="shared" si="8"/>
        <v>0</v>
      </c>
    </row>
    <row r="716" ht="12.75" customHeight="1">
      <c r="V716" s="30">
        <f t="shared" si="1"/>
        <v>0</v>
      </c>
      <c r="Y716" s="30"/>
      <c r="Z716" s="224">
        <f t="shared" si="2"/>
        <v>0</v>
      </c>
      <c r="AA716" s="223">
        <f t="shared" si="3"/>
        <v>0</v>
      </c>
      <c r="AB716" s="170">
        <f t="shared" si="4"/>
        <v>0</v>
      </c>
      <c r="AC716" s="170">
        <f t="shared" si="5"/>
        <v>0</v>
      </c>
      <c r="AD716" s="170">
        <f t="shared" si="6"/>
        <v>0</v>
      </c>
      <c r="AE716" s="170"/>
      <c r="AF716" s="225">
        <f t="shared" si="8"/>
        <v>0</v>
      </c>
    </row>
    <row r="717" ht="12.75" customHeight="1">
      <c r="V717" s="30">
        <f t="shared" si="1"/>
        <v>0</v>
      </c>
      <c r="Y717" s="30"/>
      <c r="Z717" s="224">
        <f t="shared" si="2"/>
        <v>0</v>
      </c>
      <c r="AA717" s="223">
        <f t="shared" si="3"/>
        <v>0</v>
      </c>
      <c r="AB717" s="170">
        <f t="shared" si="4"/>
        <v>0</v>
      </c>
      <c r="AC717" s="170">
        <f t="shared" si="5"/>
        <v>0</v>
      </c>
      <c r="AD717" s="170">
        <f t="shared" si="6"/>
        <v>0</v>
      </c>
      <c r="AE717" s="170"/>
      <c r="AF717" s="225">
        <f t="shared" si="8"/>
        <v>0</v>
      </c>
    </row>
    <row r="718" ht="12.75" customHeight="1">
      <c r="V718" s="30">
        <f t="shared" si="1"/>
        <v>0</v>
      </c>
      <c r="Y718" s="30"/>
      <c r="Z718" s="224">
        <f t="shared" si="2"/>
        <v>0</v>
      </c>
      <c r="AA718" s="223">
        <f t="shared" si="3"/>
        <v>0</v>
      </c>
      <c r="AB718" s="170">
        <f t="shared" si="4"/>
        <v>0</v>
      </c>
      <c r="AC718" s="170">
        <f t="shared" si="5"/>
        <v>0</v>
      </c>
      <c r="AD718" s="170">
        <f t="shared" si="6"/>
        <v>0</v>
      </c>
      <c r="AE718" s="170"/>
      <c r="AF718" s="225">
        <f t="shared" si="8"/>
        <v>0</v>
      </c>
    </row>
    <row r="719" ht="12.75" customHeight="1">
      <c r="V719" s="30">
        <f t="shared" si="1"/>
        <v>0</v>
      </c>
      <c r="Y719" s="30"/>
      <c r="Z719" s="224">
        <f t="shared" si="2"/>
        <v>0</v>
      </c>
      <c r="AA719" s="223">
        <f t="shared" si="3"/>
        <v>0</v>
      </c>
      <c r="AB719" s="170">
        <f t="shared" si="4"/>
        <v>0</v>
      </c>
      <c r="AC719" s="170">
        <f t="shared" si="5"/>
        <v>0</v>
      </c>
      <c r="AD719" s="170">
        <f t="shared" si="6"/>
        <v>0</v>
      </c>
      <c r="AE719" s="170"/>
      <c r="AF719" s="225">
        <f t="shared" si="8"/>
        <v>0</v>
      </c>
    </row>
    <row r="720" ht="12.75" customHeight="1">
      <c r="V720" s="30">
        <f t="shared" si="1"/>
        <v>0</v>
      </c>
      <c r="Y720" s="30"/>
      <c r="Z720" s="224">
        <f t="shared" si="2"/>
        <v>0</v>
      </c>
      <c r="AA720" s="223">
        <f t="shared" si="3"/>
        <v>0</v>
      </c>
      <c r="AB720" s="170">
        <f t="shared" si="4"/>
        <v>0</v>
      </c>
      <c r="AC720" s="170">
        <f t="shared" si="5"/>
        <v>0</v>
      </c>
      <c r="AD720" s="170">
        <f t="shared" si="6"/>
        <v>0</v>
      </c>
      <c r="AE720" s="170"/>
      <c r="AF720" s="225">
        <f t="shared" si="8"/>
        <v>0</v>
      </c>
    </row>
    <row r="721" ht="12.75" customHeight="1">
      <c r="V721" s="30">
        <f t="shared" si="1"/>
        <v>0</v>
      </c>
      <c r="Y721" s="30"/>
      <c r="Z721" s="224">
        <f t="shared" si="2"/>
        <v>0</v>
      </c>
      <c r="AA721" s="223">
        <f t="shared" si="3"/>
        <v>0</v>
      </c>
      <c r="AB721" s="170">
        <f t="shared" si="4"/>
        <v>0</v>
      </c>
      <c r="AC721" s="170">
        <f t="shared" si="5"/>
        <v>0</v>
      </c>
      <c r="AD721" s="170">
        <f t="shared" si="6"/>
        <v>0</v>
      </c>
      <c r="AE721" s="170"/>
      <c r="AF721" s="225">
        <f t="shared" si="8"/>
        <v>0</v>
      </c>
    </row>
    <row r="722" ht="12.75" customHeight="1">
      <c r="V722" s="30">
        <f t="shared" si="1"/>
        <v>0</v>
      </c>
      <c r="Y722" s="30"/>
      <c r="Z722" s="224">
        <f t="shared" si="2"/>
        <v>0</v>
      </c>
      <c r="AA722" s="223">
        <f t="shared" si="3"/>
        <v>0</v>
      </c>
      <c r="AB722" s="170">
        <f t="shared" si="4"/>
        <v>0</v>
      </c>
      <c r="AC722" s="170">
        <f t="shared" si="5"/>
        <v>0</v>
      </c>
      <c r="AD722" s="170">
        <f t="shared" si="6"/>
        <v>0</v>
      </c>
      <c r="AE722" s="170"/>
      <c r="AF722" s="225">
        <f t="shared" si="8"/>
        <v>0</v>
      </c>
    </row>
    <row r="723" ht="12.75" customHeight="1">
      <c r="V723" s="30">
        <f t="shared" si="1"/>
        <v>0</v>
      </c>
      <c r="Y723" s="30"/>
      <c r="Z723" s="224">
        <f t="shared" si="2"/>
        <v>0</v>
      </c>
      <c r="AA723" s="223">
        <f t="shared" si="3"/>
        <v>0</v>
      </c>
      <c r="AB723" s="170">
        <f t="shared" si="4"/>
        <v>0</v>
      </c>
      <c r="AC723" s="170">
        <f t="shared" si="5"/>
        <v>0</v>
      </c>
      <c r="AD723" s="170">
        <f t="shared" si="6"/>
        <v>0</v>
      </c>
      <c r="AE723" s="170"/>
      <c r="AF723" s="225">
        <f t="shared" si="8"/>
        <v>0</v>
      </c>
    </row>
    <row r="724" ht="12.75" customHeight="1">
      <c r="V724" s="30">
        <f t="shared" si="1"/>
        <v>0</v>
      </c>
      <c r="Y724" s="30"/>
      <c r="Z724" s="224">
        <f t="shared" si="2"/>
        <v>0</v>
      </c>
      <c r="AA724" s="223">
        <f t="shared" si="3"/>
        <v>0</v>
      </c>
      <c r="AB724" s="170">
        <f t="shared" si="4"/>
        <v>0</v>
      </c>
      <c r="AC724" s="170">
        <f t="shared" si="5"/>
        <v>0</v>
      </c>
      <c r="AD724" s="170">
        <f t="shared" si="6"/>
        <v>0</v>
      </c>
      <c r="AE724" s="170"/>
      <c r="AF724" s="225">
        <f t="shared" si="8"/>
        <v>0</v>
      </c>
    </row>
    <row r="725" ht="12.75" customHeight="1">
      <c r="V725" s="30">
        <f t="shared" si="1"/>
        <v>0</v>
      </c>
      <c r="Y725" s="30"/>
      <c r="Z725" s="224">
        <f t="shared" si="2"/>
        <v>0</v>
      </c>
      <c r="AA725" s="223">
        <f t="shared" si="3"/>
        <v>0</v>
      </c>
      <c r="AB725" s="170">
        <f t="shared" si="4"/>
        <v>0</v>
      </c>
      <c r="AC725" s="170">
        <f t="shared" si="5"/>
        <v>0</v>
      </c>
      <c r="AD725" s="170">
        <f t="shared" si="6"/>
        <v>0</v>
      </c>
      <c r="AE725" s="170"/>
      <c r="AF725" s="225">
        <f t="shared" si="8"/>
        <v>0</v>
      </c>
    </row>
    <row r="726" ht="12.75" customHeight="1">
      <c r="V726" s="30">
        <f t="shared" si="1"/>
        <v>0</v>
      </c>
      <c r="Y726" s="30"/>
      <c r="Z726" s="224">
        <f t="shared" si="2"/>
        <v>0</v>
      </c>
      <c r="AA726" s="223">
        <f t="shared" si="3"/>
        <v>0</v>
      </c>
      <c r="AB726" s="170">
        <f t="shared" si="4"/>
        <v>0</v>
      </c>
      <c r="AC726" s="170">
        <f t="shared" si="5"/>
        <v>0</v>
      </c>
      <c r="AD726" s="170">
        <f t="shared" si="6"/>
        <v>0</v>
      </c>
      <c r="AE726" s="170"/>
      <c r="AF726" s="225">
        <f t="shared" si="8"/>
        <v>0</v>
      </c>
    </row>
    <row r="727" ht="12.75" customHeight="1">
      <c r="V727" s="30">
        <f t="shared" si="1"/>
        <v>0</v>
      </c>
      <c r="Y727" s="30"/>
      <c r="Z727" s="224">
        <f t="shared" si="2"/>
        <v>0</v>
      </c>
      <c r="AA727" s="223">
        <f t="shared" si="3"/>
        <v>0</v>
      </c>
      <c r="AB727" s="170">
        <f t="shared" si="4"/>
        <v>0</v>
      </c>
      <c r="AC727" s="170">
        <f t="shared" si="5"/>
        <v>0</v>
      </c>
      <c r="AD727" s="170">
        <f t="shared" si="6"/>
        <v>0</v>
      </c>
      <c r="AE727" s="170"/>
      <c r="AF727" s="225">
        <f t="shared" si="8"/>
        <v>0</v>
      </c>
    </row>
    <row r="728" ht="12.75" customHeight="1">
      <c r="V728" s="30">
        <f t="shared" si="1"/>
        <v>0</v>
      </c>
      <c r="Y728" s="30"/>
      <c r="Z728" s="224">
        <f t="shared" si="2"/>
        <v>0</v>
      </c>
      <c r="AA728" s="223">
        <f t="shared" si="3"/>
        <v>0</v>
      </c>
      <c r="AB728" s="170">
        <f t="shared" si="4"/>
        <v>0</v>
      </c>
      <c r="AC728" s="170">
        <f t="shared" si="5"/>
        <v>0</v>
      </c>
      <c r="AD728" s="170">
        <f t="shared" si="6"/>
        <v>0</v>
      </c>
      <c r="AE728" s="170"/>
      <c r="AF728" s="225">
        <f t="shared" si="8"/>
        <v>0</v>
      </c>
    </row>
    <row r="729" ht="12.75" customHeight="1">
      <c r="V729" s="30">
        <f t="shared" si="1"/>
        <v>0</v>
      </c>
      <c r="Y729" s="30"/>
      <c r="Z729" s="224">
        <f t="shared" si="2"/>
        <v>0</v>
      </c>
      <c r="AA729" s="223">
        <f t="shared" si="3"/>
        <v>0</v>
      </c>
      <c r="AB729" s="170">
        <f t="shared" si="4"/>
        <v>0</v>
      </c>
      <c r="AC729" s="170">
        <f t="shared" si="5"/>
        <v>0</v>
      </c>
      <c r="AD729" s="170">
        <f t="shared" si="6"/>
        <v>0</v>
      </c>
      <c r="AE729" s="170"/>
      <c r="AF729" s="225">
        <f t="shared" si="8"/>
        <v>0</v>
      </c>
    </row>
    <row r="730" ht="12.75" customHeight="1">
      <c r="V730" s="30">
        <f t="shared" si="1"/>
        <v>0</v>
      </c>
      <c r="Y730" s="30"/>
      <c r="Z730" s="224">
        <f t="shared" si="2"/>
        <v>0</v>
      </c>
      <c r="AA730" s="223">
        <f t="shared" si="3"/>
        <v>0</v>
      </c>
      <c r="AB730" s="170">
        <f t="shared" si="4"/>
        <v>0</v>
      </c>
      <c r="AC730" s="170">
        <f t="shared" si="5"/>
        <v>0</v>
      </c>
      <c r="AD730" s="170">
        <f t="shared" si="6"/>
        <v>0</v>
      </c>
      <c r="AE730" s="170"/>
      <c r="AF730" s="225">
        <f t="shared" si="8"/>
        <v>0</v>
      </c>
    </row>
    <row r="731" ht="12.75" customHeight="1">
      <c r="V731" s="30">
        <f t="shared" si="1"/>
        <v>0</v>
      </c>
      <c r="Y731" s="30"/>
      <c r="Z731" s="224">
        <f t="shared" si="2"/>
        <v>0</v>
      </c>
      <c r="AA731" s="223">
        <f t="shared" si="3"/>
        <v>0</v>
      </c>
      <c r="AB731" s="170">
        <f t="shared" si="4"/>
        <v>0</v>
      </c>
      <c r="AC731" s="170">
        <f t="shared" si="5"/>
        <v>0</v>
      </c>
      <c r="AD731" s="170">
        <f t="shared" si="6"/>
        <v>0</v>
      </c>
      <c r="AE731" s="170"/>
      <c r="AF731" s="225">
        <f t="shared" si="8"/>
        <v>0</v>
      </c>
    </row>
    <row r="732" ht="12.75" customHeight="1">
      <c r="V732" s="30">
        <f t="shared" si="1"/>
        <v>0</v>
      </c>
      <c r="Y732" s="30"/>
      <c r="Z732" s="224">
        <f t="shared" si="2"/>
        <v>0</v>
      </c>
      <c r="AA732" s="223">
        <f t="shared" si="3"/>
        <v>0</v>
      </c>
      <c r="AB732" s="170">
        <f t="shared" si="4"/>
        <v>0</v>
      </c>
      <c r="AC732" s="170">
        <f t="shared" si="5"/>
        <v>0</v>
      </c>
      <c r="AD732" s="170">
        <f t="shared" si="6"/>
        <v>0</v>
      </c>
      <c r="AE732" s="170"/>
      <c r="AF732" s="225">
        <f t="shared" si="8"/>
        <v>0</v>
      </c>
    </row>
    <row r="733" ht="12.75" customHeight="1">
      <c r="V733" s="30">
        <f t="shared" si="1"/>
        <v>0</v>
      </c>
      <c r="Y733" s="30"/>
      <c r="Z733" s="224">
        <f t="shared" si="2"/>
        <v>0</v>
      </c>
      <c r="AA733" s="223">
        <f t="shared" si="3"/>
        <v>0</v>
      </c>
      <c r="AB733" s="170">
        <f t="shared" si="4"/>
        <v>0</v>
      </c>
      <c r="AC733" s="170">
        <f t="shared" si="5"/>
        <v>0</v>
      </c>
      <c r="AD733" s="170">
        <f t="shared" si="6"/>
        <v>0</v>
      </c>
      <c r="AE733" s="170"/>
      <c r="AF733" s="225">
        <f t="shared" si="8"/>
        <v>0</v>
      </c>
    </row>
    <row r="734" ht="12.75" customHeight="1">
      <c r="V734" s="30">
        <f t="shared" si="1"/>
        <v>0</v>
      </c>
      <c r="Y734" s="30"/>
      <c r="Z734" s="224">
        <f t="shared" si="2"/>
        <v>0</v>
      </c>
      <c r="AA734" s="223">
        <f t="shared" si="3"/>
        <v>0</v>
      </c>
      <c r="AB734" s="170">
        <f t="shared" si="4"/>
        <v>0</v>
      </c>
      <c r="AC734" s="170">
        <f t="shared" si="5"/>
        <v>0</v>
      </c>
      <c r="AD734" s="170">
        <f t="shared" si="6"/>
        <v>0</v>
      </c>
      <c r="AE734" s="170"/>
      <c r="AF734" s="225">
        <f t="shared" si="8"/>
        <v>0</v>
      </c>
    </row>
    <row r="735" ht="12.75" customHeight="1">
      <c r="V735" s="30">
        <f t="shared" si="1"/>
        <v>0</v>
      </c>
      <c r="Y735" s="30"/>
      <c r="Z735" s="224">
        <f t="shared" si="2"/>
        <v>0</v>
      </c>
      <c r="AA735" s="223">
        <f t="shared" si="3"/>
        <v>0</v>
      </c>
      <c r="AB735" s="170">
        <f t="shared" si="4"/>
        <v>0</v>
      </c>
      <c r="AC735" s="170">
        <f t="shared" si="5"/>
        <v>0</v>
      </c>
      <c r="AD735" s="170">
        <f t="shared" si="6"/>
        <v>0</v>
      </c>
      <c r="AE735" s="170"/>
      <c r="AF735" s="225">
        <f t="shared" si="8"/>
        <v>0</v>
      </c>
    </row>
    <row r="736" ht="12.75" customHeight="1">
      <c r="V736" s="30">
        <f t="shared" si="1"/>
        <v>0</v>
      </c>
      <c r="Y736" s="30"/>
      <c r="Z736" s="224">
        <f t="shared" si="2"/>
        <v>0</v>
      </c>
      <c r="AA736" s="223">
        <f t="shared" si="3"/>
        <v>0</v>
      </c>
      <c r="AB736" s="170">
        <f t="shared" si="4"/>
        <v>0</v>
      </c>
      <c r="AC736" s="170">
        <f t="shared" si="5"/>
        <v>0</v>
      </c>
      <c r="AD736" s="170">
        <f t="shared" si="6"/>
        <v>0</v>
      </c>
      <c r="AE736" s="170"/>
      <c r="AF736" s="225">
        <f t="shared" si="8"/>
        <v>0</v>
      </c>
    </row>
    <row r="737" ht="12.75" customHeight="1">
      <c r="V737" s="30">
        <f t="shared" si="1"/>
        <v>0</v>
      </c>
      <c r="Y737" s="30"/>
      <c r="Z737" s="224">
        <f t="shared" si="2"/>
        <v>0</v>
      </c>
      <c r="AA737" s="223">
        <f t="shared" si="3"/>
        <v>0</v>
      </c>
      <c r="AB737" s="170">
        <f t="shared" si="4"/>
        <v>0</v>
      </c>
      <c r="AC737" s="170">
        <f t="shared" si="5"/>
        <v>0</v>
      </c>
      <c r="AD737" s="170">
        <f t="shared" si="6"/>
        <v>0</v>
      </c>
      <c r="AE737" s="170"/>
      <c r="AF737" s="225">
        <f t="shared" si="8"/>
        <v>0</v>
      </c>
    </row>
    <row r="738" ht="12.75" customHeight="1">
      <c r="V738" s="30">
        <f t="shared" si="1"/>
        <v>0</v>
      </c>
      <c r="Y738" s="30"/>
      <c r="Z738" s="224">
        <f t="shared" si="2"/>
        <v>0</v>
      </c>
      <c r="AA738" s="223">
        <f t="shared" si="3"/>
        <v>0</v>
      </c>
      <c r="AB738" s="170">
        <f t="shared" si="4"/>
        <v>0</v>
      </c>
      <c r="AC738" s="170">
        <f t="shared" si="5"/>
        <v>0</v>
      </c>
      <c r="AD738" s="170">
        <f t="shared" si="6"/>
        <v>0</v>
      </c>
      <c r="AE738" s="170"/>
      <c r="AF738" s="225">
        <f t="shared" si="8"/>
        <v>0</v>
      </c>
    </row>
    <row r="739" ht="12.75" customHeight="1">
      <c r="V739" s="30">
        <f t="shared" si="1"/>
        <v>0</v>
      </c>
      <c r="Y739" s="30"/>
      <c r="Z739" s="224">
        <f t="shared" si="2"/>
        <v>0</v>
      </c>
      <c r="AA739" s="223">
        <f t="shared" si="3"/>
        <v>0</v>
      </c>
      <c r="AB739" s="170">
        <f t="shared" si="4"/>
        <v>0</v>
      </c>
      <c r="AC739" s="170">
        <f t="shared" si="5"/>
        <v>0</v>
      </c>
      <c r="AD739" s="170">
        <f t="shared" si="6"/>
        <v>0</v>
      </c>
      <c r="AE739" s="170"/>
      <c r="AF739" s="225">
        <f t="shared" si="8"/>
        <v>0</v>
      </c>
    </row>
    <row r="740" ht="12.75" customHeight="1">
      <c r="V740" s="30">
        <f t="shared" si="1"/>
        <v>0</v>
      </c>
      <c r="Y740" s="30"/>
      <c r="Z740" s="224">
        <f t="shared" si="2"/>
        <v>0</v>
      </c>
      <c r="AA740" s="223">
        <f t="shared" si="3"/>
        <v>0</v>
      </c>
      <c r="AB740" s="170">
        <f t="shared" si="4"/>
        <v>0</v>
      </c>
      <c r="AC740" s="170">
        <f t="shared" si="5"/>
        <v>0</v>
      </c>
      <c r="AD740" s="170">
        <f t="shared" si="6"/>
        <v>0</v>
      </c>
      <c r="AE740" s="170"/>
      <c r="AF740" s="225">
        <f t="shared" si="8"/>
        <v>0</v>
      </c>
    </row>
    <row r="741" ht="12.75" customHeight="1">
      <c r="V741" s="30">
        <f t="shared" si="1"/>
        <v>0</v>
      </c>
      <c r="Y741" s="30"/>
      <c r="Z741" s="224">
        <f t="shared" si="2"/>
        <v>0</v>
      </c>
      <c r="AA741" s="223">
        <f t="shared" si="3"/>
        <v>0</v>
      </c>
      <c r="AB741" s="170">
        <f t="shared" si="4"/>
        <v>0</v>
      </c>
      <c r="AC741" s="170">
        <f t="shared" si="5"/>
        <v>0</v>
      </c>
      <c r="AD741" s="170">
        <f t="shared" si="6"/>
        <v>0</v>
      </c>
      <c r="AE741" s="170"/>
      <c r="AF741" s="225">
        <f t="shared" si="8"/>
        <v>0</v>
      </c>
    </row>
    <row r="742" ht="12.75" customHeight="1">
      <c r="V742" s="30">
        <f t="shared" si="1"/>
        <v>0</v>
      </c>
      <c r="Y742" s="30"/>
      <c r="Z742" s="224">
        <f t="shared" si="2"/>
        <v>0</v>
      </c>
      <c r="AA742" s="223">
        <f t="shared" si="3"/>
        <v>0</v>
      </c>
      <c r="AB742" s="170">
        <f t="shared" si="4"/>
        <v>0</v>
      </c>
      <c r="AC742" s="170">
        <f t="shared" si="5"/>
        <v>0</v>
      </c>
      <c r="AD742" s="170">
        <f t="shared" si="6"/>
        <v>0</v>
      </c>
      <c r="AE742" s="170"/>
      <c r="AF742" s="225">
        <f t="shared" si="8"/>
        <v>0</v>
      </c>
    </row>
    <row r="743" ht="12.75" customHeight="1">
      <c r="V743" s="30">
        <f t="shared" si="1"/>
        <v>0</v>
      </c>
      <c r="Y743" s="30"/>
      <c r="Z743" s="224">
        <f t="shared" si="2"/>
        <v>0</v>
      </c>
      <c r="AA743" s="223">
        <f t="shared" si="3"/>
        <v>0</v>
      </c>
      <c r="AB743" s="170">
        <f t="shared" si="4"/>
        <v>0</v>
      </c>
      <c r="AC743" s="170">
        <f t="shared" si="5"/>
        <v>0</v>
      </c>
      <c r="AD743" s="170">
        <f t="shared" si="6"/>
        <v>0</v>
      </c>
      <c r="AE743" s="170"/>
      <c r="AF743" s="225">
        <f t="shared" si="8"/>
        <v>0</v>
      </c>
    </row>
    <row r="744" ht="12.75" customHeight="1">
      <c r="V744" s="30">
        <f t="shared" si="1"/>
        <v>0</v>
      </c>
      <c r="Y744" s="30"/>
      <c r="Z744" s="224">
        <f t="shared" si="2"/>
        <v>0</v>
      </c>
      <c r="AA744" s="223">
        <f t="shared" si="3"/>
        <v>0</v>
      </c>
      <c r="AB744" s="170">
        <f t="shared" si="4"/>
        <v>0</v>
      </c>
      <c r="AC744" s="170">
        <f t="shared" si="5"/>
        <v>0</v>
      </c>
      <c r="AD744" s="170">
        <f t="shared" si="6"/>
        <v>0</v>
      </c>
      <c r="AE744" s="170"/>
      <c r="AF744" s="225">
        <f t="shared" si="8"/>
        <v>0</v>
      </c>
    </row>
    <row r="745" ht="12.75" customHeight="1">
      <c r="V745" s="30">
        <f t="shared" si="1"/>
        <v>0</v>
      </c>
      <c r="Y745" s="30"/>
      <c r="Z745" s="224">
        <f t="shared" si="2"/>
        <v>0</v>
      </c>
      <c r="AA745" s="223">
        <f t="shared" si="3"/>
        <v>0</v>
      </c>
      <c r="AB745" s="170">
        <f t="shared" si="4"/>
        <v>0</v>
      </c>
      <c r="AC745" s="170">
        <f t="shared" si="5"/>
        <v>0</v>
      </c>
      <c r="AD745" s="170">
        <f t="shared" si="6"/>
        <v>0</v>
      </c>
      <c r="AE745" s="170"/>
      <c r="AF745" s="225">
        <f t="shared" si="8"/>
        <v>0</v>
      </c>
    </row>
    <row r="746" ht="12.75" customHeight="1">
      <c r="V746" s="30">
        <f t="shared" si="1"/>
        <v>0</v>
      </c>
      <c r="Y746" s="30"/>
      <c r="Z746" s="224">
        <f t="shared" si="2"/>
        <v>0</v>
      </c>
      <c r="AA746" s="223">
        <f t="shared" si="3"/>
        <v>0</v>
      </c>
      <c r="AB746" s="170">
        <f t="shared" si="4"/>
        <v>0</v>
      </c>
      <c r="AC746" s="170">
        <f t="shared" si="5"/>
        <v>0</v>
      </c>
      <c r="AD746" s="170">
        <f t="shared" si="6"/>
        <v>0</v>
      </c>
      <c r="AE746" s="170"/>
      <c r="AF746" s="225">
        <f t="shared" si="8"/>
        <v>0</v>
      </c>
    </row>
    <row r="747" ht="12.75" customHeight="1">
      <c r="V747" s="30">
        <f t="shared" si="1"/>
        <v>0</v>
      </c>
      <c r="Y747" s="30"/>
      <c r="Z747" s="224">
        <f t="shared" si="2"/>
        <v>0</v>
      </c>
      <c r="AA747" s="223">
        <f t="shared" si="3"/>
        <v>0</v>
      </c>
      <c r="AB747" s="170">
        <f t="shared" si="4"/>
        <v>0</v>
      </c>
      <c r="AC747" s="170">
        <f t="shared" si="5"/>
        <v>0</v>
      </c>
      <c r="AD747" s="170">
        <f t="shared" si="6"/>
        <v>0</v>
      </c>
      <c r="AE747" s="170"/>
      <c r="AF747" s="225">
        <f t="shared" si="8"/>
        <v>0</v>
      </c>
    </row>
    <row r="748" ht="12.75" customHeight="1">
      <c r="V748" s="30">
        <f t="shared" si="1"/>
        <v>0</v>
      </c>
      <c r="Y748" s="30"/>
      <c r="Z748" s="224">
        <f t="shared" si="2"/>
        <v>0</v>
      </c>
      <c r="AA748" s="223">
        <f t="shared" si="3"/>
        <v>0</v>
      </c>
      <c r="AB748" s="170">
        <f t="shared" si="4"/>
        <v>0</v>
      </c>
      <c r="AC748" s="170">
        <f t="shared" si="5"/>
        <v>0</v>
      </c>
      <c r="AD748" s="170">
        <f t="shared" si="6"/>
        <v>0</v>
      </c>
      <c r="AE748" s="170"/>
      <c r="AF748" s="225">
        <f t="shared" si="8"/>
        <v>0</v>
      </c>
    </row>
    <row r="749" ht="12.75" customHeight="1">
      <c r="V749" s="30">
        <f t="shared" si="1"/>
        <v>0</v>
      </c>
      <c r="Y749" s="30"/>
      <c r="Z749" s="224">
        <f t="shared" si="2"/>
        <v>0</v>
      </c>
      <c r="AA749" s="223">
        <f t="shared" si="3"/>
        <v>0</v>
      </c>
      <c r="AB749" s="170">
        <f t="shared" si="4"/>
        <v>0</v>
      </c>
      <c r="AC749" s="170">
        <f t="shared" si="5"/>
        <v>0</v>
      </c>
      <c r="AD749" s="170">
        <f t="shared" si="6"/>
        <v>0</v>
      </c>
      <c r="AE749" s="170"/>
      <c r="AF749" s="225">
        <f t="shared" si="8"/>
        <v>0</v>
      </c>
    </row>
    <row r="750" ht="12.75" customHeight="1">
      <c r="V750" s="30">
        <f t="shared" si="1"/>
        <v>0</v>
      </c>
      <c r="Y750" s="30"/>
      <c r="Z750" s="224">
        <f t="shared" si="2"/>
        <v>0</v>
      </c>
      <c r="AA750" s="223">
        <f t="shared" si="3"/>
        <v>0</v>
      </c>
      <c r="AB750" s="170">
        <f t="shared" si="4"/>
        <v>0</v>
      </c>
      <c r="AC750" s="170">
        <f t="shared" si="5"/>
        <v>0</v>
      </c>
      <c r="AD750" s="170">
        <f t="shared" si="6"/>
        <v>0</v>
      </c>
      <c r="AE750" s="170"/>
      <c r="AF750" s="225">
        <f t="shared" si="8"/>
        <v>0</v>
      </c>
    </row>
    <row r="751" ht="12.75" customHeight="1">
      <c r="V751" s="30">
        <f t="shared" si="1"/>
        <v>0</v>
      </c>
      <c r="Y751" s="30"/>
      <c r="Z751" s="224">
        <f t="shared" si="2"/>
        <v>0</v>
      </c>
      <c r="AA751" s="223">
        <f t="shared" si="3"/>
        <v>0</v>
      </c>
      <c r="AB751" s="170">
        <f t="shared" si="4"/>
        <v>0</v>
      </c>
      <c r="AC751" s="170">
        <f t="shared" si="5"/>
        <v>0</v>
      </c>
      <c r="AD751" s="170">
        <f t="shared" si="6"/>
        <v>0</v>
      </c>
      <c r="AE751" s="170"/>
      <c r="AF751" s="225">
        <f t="shared" si="8"/>
        <v>0</v>
      </c>
    </row>
    <row r="752" ht="12.75" customHeight="1">
      <c r="V752" s="30">
        <f t="shared" si="1"/>
        <v>0</v>
      </c>
      <c r="Y752" s="30"/>
      <c r="Z752" s="224">
        <f t="shared" si="2"/>
        <v>0</v>
      </c>
      <c r="AA752" s="223">
        <f t="shared" si="3"/>
        <v>0</v>
      </c>
      <c r="AB752" s="170">
        <f t="shared" si="4"/>
        <v>0</v>
      </c>
      <c r="AC752" s="170">
        <f t="shared" si="5"/>
        <v>0</v>
      </c>
      <c r="AD752" s="170">
        <f t="shared" si="6"/>
        <v>0</v>
      </c>
      <c r="AE752" s="170"/>
      <c r="AF752" s="225">
        <f t="shared" si="8"/>
        <v>0</v>
      </c>
    </row>
    <row r="753" ht="12.75" customHeight="1">
      <c r="V753" s="30">
        <f t="shared" si="1"/>
        <v>0</v>
      </c>
      <c r="Y753" s="30"/>
      <c r="Z753" s="224">
        <f t="shared" si="2"/>
        <v>0</v>
      </c>
      <c r="AA753" s="223">
        <f t="shared" si="3"/>
        <v>0</v>
      </c>
      <c r="AB753" s="170">
        <f t="shared" si="4"/>
        <v>0</v>
      </c>
      <c r="AC753" s="170">
        <f t="shared" si="5"/>
        <v>0</v>
      </c>
      <c r="AD753" s="170">
        <f t="shared" si="6"/>
        <v>0</v>
      </c>
      <c r="AE753" s="170"/>
      <c r="AF753" s="225">
        <f t="shared" si="8"/>
        <v>0</v>
      </c>
    </row>
    <row r="754" ht="12.75" customHeight="1">
      <c r="V754" s="30">
        <f t="shared" si="1"/>
        <v>0</v>
      </c>
      <c r="Y754" s="30"/>
      <c r="Z754" s="224">
        <f t="shared" si="2"/>
        <v>0</v>
      </c>
      <c r="AA754" s="223">
        <f t="shared" si="3"/>
        <v>0</v>
      </c>
      <c r="AB754" s="170">
        <f t="shared" si="4"/>
        <v>0</v>
      </c>
      <c r="AC754" s="170">
        <f t="shared" si="5"/>
        <v>0</v>
      </c>
      <c r="AD754" s="170">
        <f t="shared" si="6"/>
        <v>0</v>
      </c>
      <c r="AE754" s="170"/>
      <c r="AF754" s="225">
        <f t="shared" si="8"/>
        <v>0</v>
      </c>
    </row>
    <row r="755" ht="12.75" customHeight="1">
      <c r="V755" s="30">
        <f t="shared" si="1"/>
        <v>0</v>
      </c>
      <c r="Y755" s="30"/>
      <c r="Z755" s="224">
        <f t="shared" si="2"/>
        <v>0</v>
      </c>
      <c r="AA755" s="223">
        <f t="shared" si="3"/>
        <v>0</v>
      </c>
      <c r="AB755" s="170">
        <f t="shared" si="4"/>
        <v>0</v>
      </c>
      <c r="AC755" s="170">
        <f t="shared" si="5"/>
        <v>0</v>
      </c>
      <c r="AD755" s="170">
        <f t="shared" si="6"/>
        <v>0</v>
      </c>
      <c r="AE755" s="170"/>
      <c r="AF755" s="225">
        <f t="shared" si="8"/>
        <v>0</v>
      </c>
    </row>
    <row r="756" ht="12.75" customHeight="1">
      <c r="V756" s="30">
        <f t="shared" si="1"/>
        <v>0</v>
      </c>
      <c r="Y756" s="30"/>
      <c r="Z756" s="224">
        <f t="shared" si="2"/>
        <v>0</v>
      </c>
      <c r="AA756" s="223">
        <f t="shared" si="3"/>
        <v>0</v>
      </c>
      <c r="AB756" s="170">
        <f t="shared" si="4"/>
        <v>0</v>
      </c>
      <c r="AC756" s="170">
        <f t="shared" si="5"/>
        <v>0</v>
      </c>
      <c r="AD756" s="170">
        <f t="shared" si="6"/>
        <v>0</v>
      </c>
      <c r="AE756" s="170"/>
      <c r="AF756" s="225">
        <f t="shared" si="8"/>
        <v>0</v>
      </c>
    </row>
    <row r="757" ht="12.75" customHeight="1">
      <c r="V757" s="30">
        <f t="shared" si="1"/>
        <v>0</v>
      </c>
      <c r="Y757" s="30"/>
      <c r="Z757" s="224">
        <f t="shared" si="2"/>
        <v>0</v>
      </c>
      <c r="AA757" s="223">
        <f t="shared" si="3"/>
        <v>0</v>
      </c>
      <c r="AB757" s="170">
        <f t="shared" si="4"/>
        <v>0</v>
      </c>
      <c r="AC757" s="170">
        <f t="shared" si="5"/>
        <v>0</v>
      </c>
      <c r="AD757" s="170">
        <f t="shared" si="6"/>
        <v>0</v>
      </c>
      <c r="AE757" s="170"/>
      <c r="AF757" s="225">
        <f t="shared" si="8"/>
        <v>0</v>
      </c>
    </row>
    <row r="758" ht="12.75" customHeight="1">
      <c r="V758" s="30">
        <f t="shared" si="1"/>
        <v>0</v>
      </c>
      <c r="Y758" s="30"/>
      <c r="Z758" s="224">
        <f t="shared" si="2"/>
        <v>0</v>
      </c>
      <c r="AA758" s="223">
        <f t="shared" si="3"/>
        <v>0</v>
      </c>
      <c r="AB758" s="170">
        <f t="shared" si="4"/>
        <v>0</v>
      </c>
      <c r="AC758" s="170">
        <f t="shared" si="5"/>
        <v>0</v>
      </c>
      <c r="AD758" s="170">
        <f t="shared" si="6"/>
        <v>0</v>
      </c>
      <c r="AE758" s="170"/>
      <c r="AF758" s="225">
        <f t="shared" si="8"/>
        <v>0</v>
      </c>
    </row>
    <row r="759" ht="12.75" customHeight="1">
      <c r="V759" s="30">
        <f t="shared" si="1"/>
        <v>0</v>
      </c>
      <c r="Y759" s="30"/>
      <c r="Z759" s="224">
        <f t="shared" si="2"/>
        <v>0</v>
      </c>
      <c r="AA759" s="223">
        <f t="shared" si="3"/>
        <v>0</v>
      </c>
      <c r="AB759" s="170">
        <f t="shared" si="4"/>
        <v>0</v>
      </c>
      <c r="AC759" s="170">
        <f t="shared" si="5"/>
        <v>0</v>
      </c>
      <c r="AD759" s="170">
        <f t="shared" si="6"/>
        <v>0</v>
      </c>
      <c r="AE759" s="170"/>
      <c r="AF759" s="225">
        <f t="shared" si="8"/>
        <v>0</v>
      </c>
    </row>
    <row r="760" ht="12.75" customHeight="1">
      <c r="V760" s="30">
        <f t="shared" si="1"/>
        <v>0</v>
      </c>
      <c r="Y760" s="30"/>
      <c r="Z760" s="224">
        <f t="shared" si="2"/>
        <v>0</v>
      </c>
      <c r="AA760" s="223">
        <f t="shared" si="3"/>
        <v>0</v>
      </c>
      <c r="AB760" s="170">
        <f t="shared" si="4"/>
        <v>0</v>
      </c>
      <c r="AC760" s="170">
        <f t="shared" si="5"/>
        <v>0</v>
      </c>
      <c r="AD760" s="170">
        <f t="shared" si="6"/>
        <v>0</v>
      </c>
      <c r="AE760" s="170"/>
      <c r="AF760" s="225">
        <f t="shared" si="8"/>
        <v>0</v>
      </c>
    </row>
    <row r="761" ht="12.75" customHeight="1">
      <c r="V761" s="30">
        <f t="shared" si="1"/>
        <v>0</v>
      </c>
      <c r="Y761" s="30"/>
      <c r="Z761" s="224">
        <f t="shared" si="2"/>
        <v>0</v>
      </c>
      <c r="AA761" s="223">
        <f t="shared" si="3"/>
        <v>0</v>
      </c>
      <c r="AB761" s="170">
        <f t="shared" si="4"/>
        <v>0</v>
      </c>
      <c r="AC761" s="170">
        <f t="shared" si="5"/>
        <v>0</v>
      </c>
      <c r="AD761" s="170">
        <f t="shared" si="6"/>
        <v>0</v>
      </c>
      <c r="AE761" s="170"/>
      <c r="AF761" s="225">
        <f t="shared" si="8"/>
        <v>0</v>
      </c>
    </row>
    <row r="762" ht="12.75" customHeight="1">
      <c r="V762" s="30">
        <f t="shared" si="1"/>
        <v>0</v>
      </c>
      <c r="Y762" s="30"/>
      <c r="Z762" s="224">
        <f t="shared" si="2"/>
        <v>0</v>
      </c>
      <c r="AA762" s="223">
        <f t="shared" si="3"/>
        <v>0</v>
      </c>
      <c r="AB762" s="170">
        <f t="shared" si="4"/>
        <v>0</v>
      </c>
      <c r="AC762" s="170">
        <f t="shared" si="5"/>
        <v>0</v>
      </c>
      <c r="AD762" s="170">
        <f t="shared" si="6"/>
        <v>0</v>
      </c>
      <c r="AE762" s="170"/>
      <c r="AF762" s="225">
        <f t="shared" si="8"/>
        <v>0</v>
      </c>
    </row>
    <row r="763" ht="12.75" customHeight="1">
      <c r="V763" s="30">
        <f t="shared" si="1"/>
        <v>0</v>
      </c>
      <c r="Y763" s="30"/>
      <c r="Z763" s="224">
        <f t="shared" si="2"/>
        <v>0</v>
      </c>
      <c r="AA763" s="223">
        <f t="shared" si="3"/>
        <v>0</v>
      </c>
      <c r="AB763" s="170">
        <f t="shared" si="4"/>
        <v>0</v>
      </c>
      <c r="AC763" s="170">
        <f t="shared" si="5"/>
        <v>0</v>
      </c>
      <c r="AD763" s="170">
        <f t="shared" si="6"/>
        <v>0</v>
      </c>
      <c r="AE763" s="170"/>
      <c r="AF763" s="225">
        <f t="shared" si="8"/>
        <v>0</v>
      </c>
    </row>
    <row r="764" ht="12.75" customHeight="1">
      <c r="V764" s="30">
        <f t="shared" si="1"/>
        <v>0</v>
      </c>
      <c r="Y764" s="30"/>
      <c r="Z764" s="224">
        <f t="shared" si="2"/>
        <v>0</v>
      </c>
      <c r="AA764" s="223">
        <f t="shared" si="3"/>
        <v>0</v>
      </c>
      <c r="AB764" s="170">
        <f t="shared" si="4"/>
        <v>0</v>
      </c>
      <c r="AC764" s="170">
        <f t="shared" si="5"/>
        <v>0</v>
      </c>
      <c r="AD764" s="170">
        <f t="shared" si="6"/>
        <v>0</v>
      </c>
      <c r="AE764" s="170"/>
      <c r="AF764" s="225">
        <f t="shared" si="8"/>
        <v>0</v>
      </c>
    </row>
    <row r="765" ht="12.75" customHeight="1">
      <c r="V765" s="30">
        <f t="shared" si="1"/>
        <v>0</v>
      </c>
      <c r="Y765" s="30"/>
      <c r="Z765" s="224">
        <f t="shared" si="2"/>
        <v>0</v>
      </c>
      <c r="AA765" s="223">
        <f t="shared" si="3"/>
        <v>0</v>
      </c>
      <c r="AB765" s="170">
        <f t="shared" si="4"/>
        <v>0</v>
      </c>
      <c r="AC765" s="170">
        <f t="shared" si="5"/>
        <v>0</v>
      </c>
      <c r="AD765" s="170">
        <f t="shared" si="6"/>
        <v>0</v>
      </c>
      <c r="AE765" s="170"/>
      <c r="AF765" s="225">
        <f t="shared" si="8"/>
        <v>0</v>
      </c>
    </row>
    <row r="766" ht="12.75" customHeight="1">
      <c r="V766" s="30">
        <f t="shared" si="1"/>
        <v>0</v>
      </c>
      <c r="Y766" s="30"/>
      <c r="Z766" s="224">
        <f t="shared" si="2"/>
        <v>0</v>
      </c>
      <c r="AA766" s="223">
        <f t="shared" si="3"/>
        <v>0</v>
      </c>
      <c r="AB766" s="170">
        <f t="shared" si="4"/>
        <v>0</v>
      </c>
      <c r="AC766" s="170">
        <f t="shared" si="5"/>
        <v>0</v>
      </c>
      <c r="AD766" s="170">
        <f t="shared" si="6"/>
        <v>0</v>
      </c>
      <c r="AE766" s="170"/>
      <c r="AF766" s="225">
        <f t="shared" si="8"/>
        <v>0</v>
      </c>
    </row>
    <row r="767" ht="12.75" customHeight="1">
      <c r="V767" s="30">
        <f t="shared" si="1"/>
        <v>0</v>
      </c>
      <c r="Y767" s="30"/>
      <c r="Z767" s="224">
        <f t="shared" si="2"/>
        <v>0</v>
      </c>
      <c r="AA767" s="223">
        <f t="shared" si="3"/>
        <v>0</v>
      </c>
      <c r="AB767" s="170">
        <f t="shared" si="4"/>
        <v>0</v>
      </c>
      <c r="AC767" s="170">
        <f t="shared" si="5"/>
        <v>0</v>
      </c>
      <c r="AD767" s="170">
        <f t="shared" si="6"/>
        <v>0</v>
      </c>
      <c r="AE767" s="170"/>
      <c r="AF767" s="225">
        <f t="shared" si="8"/>
        <v>0</v>
      </c>
    </row>
    <row r="768" ht="12.75" customHeight="1">
      <c r="V768" s="30">
        <f t="shared" si="1"/>
        <v>0</v>
      </c>
      <c r="Y768" s="30"/>
      <c r="Z768" s="224">
        <f t="shared" si="2"/>
        <v>0</v>
      </c>
      <c r="AA768" s="223">
        <f t="shared" si="3"/>
        <v>0</v>
      </c>
      <c r="AB768" s="170">
        <f t="shared" si="4"/>
        <v>0</v>
      </c>
      <c r="AC768" s="170">
        <f t="shared" si="5"/>
        <v>0</v>
      </c>
      <c r="AD768" s="170">
        <f t="shared" si="6"/>
        <v>0</v>
      </c>
      <c r="AE768" s="170"/>
      <c r="AF768" s="225">
        <f t="shared" si="8"/>
        <v>0</v>
      </c>
    </row>
    <row r="769" ht="12.75" customHeight="1">
      <c r="V769" s="30">
        <f t="shared" si="1"/>
        <v>0</v>
      </c>
      <c r="Y769" s="30"/>
      <c r="Z769" s="224">
        <f t="shared" si="2"/>
        <v>0</v>
      </c>
      <c r="AA769" s="223">
        <f t="shared" si="3"/>
        <v>0</v>
      </c>
      <c r="AB769" s="170">
        <f t="shared" si="4"/>
        <v>0</v>
      </c>
      <c r="AC769" s="170">
        <f t="shared" si="5"/>
        <v>0</v>
      </c>
      <c r="AD769" s="170">
        <f t="shared" si="6"/>
        <v>0</v>
      </c>
      <c r="AE769" s="170"/>
      <c r="AF769" s="225">
        <f t="shared" si="8"/>
        <v>0</v>
      </c>
    </row>
    <row r="770" ht="12.75" customHeight="1">
      <c r="V770" s="30">
        <f t="shared" si="1"/>
        <v>0</v>
      </c>
      <c r="Y770" s="30"/>
      <c r="Z770" s="224">
        <f t="shared" si="2"/>
        <v>0</v>
      </c>
      <c r="AA770" s="223">
        <f t="shared" si="3"/>
        <v>0</v>
      </c>
      <c r="AB770" s="170">
        <f t="shared" si="4"/>
        <v>0</v>
      </c>
      <c r="AC770" s="170">
        <f t="shared" si="5"/>
        <v>0</v>
      </c>
      <c r="AD770" s="170">
        <f t="shared" si="6"/>
        <v>0</v>
      </c>
      <c r="AE770" s="170"/>
      <c r="AF770" s="225">
        <f t="shared" si="8"/>
        <v>0</v>
      </c>
    </row>
    <row r="771" ht="12.75" customHeight="1">
      <c r="V771" s="30">
        <f t="shared" si="1"/>
        <v>0</v>
      </c>
      <c r="Y771" s="30"/>
      <c r="Z771" s="224">
        <f t="shared" si="2"/>
        <v>0</v>
      </c>
      <c r="AA771" s="223">
        <f t="shared" si="3"/>
        <v>0</v>
      </c>
      <c r="AB771" s="170">
        <f t="shared" si="4"/>
        <v>0</v>
      </c>
      <c r="AC771" s="170">
        <f t="shared" si="5"/>
        <v>0</v>
      </c>
      <c r="AD771" s="170">
        <f t="shared" si="6"/>
        <v>0</v>
      </c>
      <c r="AE771" s="170"/>
      <c r="AF771" s="225">
        <f t="shared" si="8"/>
        <v>0</v>
      </c>
    </row>
    <row r="772" ht="12.75" customHeight="1">
      <c r="V772" s="30">
        <f t="shared" si="1"/>
        <v>0</v>
      </c>
      <c r="Y772" s="30"/>
      <c r="Z772" s="224">
        <f t="shared" si="2"/>
        <v>0</v>
      </c>
      <c r="AA772" s="223">
        <f t="shared" si="3"/>
        <v>0</v>
      </c>
      <c r="AB772" s="170">
        <f t="shared" si="4"/>
        <v>0</v>
      </c>
      <c r="AC772" s="170">
        <f t="shared" si="5"/>
        <v>0</v>
      </c>
      <c r="AD772" s="170">
        <f t="shared" si="6"/>
        <v>0</v>
      </c>
      <c r="AE772" s="170"/>
      <c r="AF772" s="225">
        <f t="shared" si="8"/>
        <v>0</v>
      </c>
    </row>
    <row r="773" ht="12.75" customHeight="1">
      <c r="V773" s="30">
        <f t="shared" si="1"/>
        <v>0</v>
      </c>
      <c r="Y773" s="30"/>
      <c r="Z773" s="224">
        <f t="shared" si="2"/>
        <v>0</v>
      </c>
      <c r="AA773" s="223">
        <f t="shared" si="3"/>
        <v>0</v>
      </c>
      <c r="AB773" s="170">
        <f t="shared" si="4"/>
        <v>0</v>
      </c>
      <c r="AC773" s="170">
        <f t="shared" si="5"/>
        <v>0</v>
      </c>
      <c r="AD773" s="170">
        <f t="shared" si="6"/>
        <v>0</v>
      </c>
      <c r="AE773" s="170"/>
      <c r="AF773" s="225">
        <f t="shared" si="8"/>
        <v>0</v>
      </c>
    </row>
    <row r="774" ht="12.75" customHeight="1">
      <c r="V774" s="30">
        <f t="shared" si="1"/>
        <v>0</v>
      </c>
      <c r="Y774" s="30"/>
      <c r="Z774" s="224">
        <f t="shared" si="2"/>
        <v>0</v>
      </c>
      <c r="AA774" s="223">
        <f t="shared" si="3"/>
        <v>0</v>
      </c>
      <c r="AB774" s="170">
        <f t="shared" si="4"/>
        <v>0</v>
      </c>
      <c r="AC774" s="170">
        <f t="shared" si="5"/>
        <v>0</v>
      </c>
      <c r="AD774" s="170">
        <f t="shared" si="6"/>
        <v>0</v>
      </c>
      <c r="AE774" s="170"/>
      <c r="AF774" s="225">
        <f t="shared" si="8"/>
        <v>0</v>
      </c>
    </row>
    <row r="775" ht="12.75" customHeight="1">
      <c r="V775" s="30">
        <f t="shared" si="1"/>
        <v>0</v>
      </c>
      <c r="Y775" s="30"/>
      <c r="Z775" s="224">
        <f t="shared" si="2"/>
        <v>0</v>
      </c>
      <c r="AA775" s="223">
        <f t="shared" si="3"/>
        <v>0</v>
      </c>
      <c r="AB775" s="170">
        <f t="shared" si="4"/>
        <v>0</v>
      </c>
      <c r="AC775" s="170">
        <f t="shared" si="5"/>
        <v>0</v>
      </c>
      <c r="AD775" s="170">
        <f t="shared" si="6"/>
        <v>0</v>
      </c>
      <c r="AE775" s="170"/>
      <c r="AF775" s="225">
        <f t="shared" si="8"/>
        <v>0</v>
      </c>
    </row>
    <row r="776" ht="12.75" customHeight="1">
      <c r="V776" s="30">
        <f t="shared" si="1"/>
        <v>0</v>
      </c>
      <c r="Y776" s="30"/>
      <c r="Z776" s="224">
        <f t="shared" si="2"/>
        <v>0</v>
      </c>
      <c r="AA776" s="223">
        <f t="shared" si="3"/>
        <v>0</v>
      </c>
      <c r="AB776" s="170">
        <f t="shared" si="4"/>
        <v>0</v>
      </c>
      <c r="AC776" s="170">
        <f t="shared" si="5"/>
        <v>0</v>
      </c>
      <c r="AD776" s="170">
        <f t="shared" si="6"/>
        <v>0</v>
      </c>
      <c r="AE776" s="170"/>
      <c r="AF776" s="225">
        <f t="shared" si="8"/>
        <v>0</v>
      </c>
    </row>
    <row r="777" ht="12.75" customHeight="1">
      <c r="V777" s="30">
        <f t="shared" si="1"/>
        <v>0</v>
      </c>
      <c r="Y777" s="30"/>
      <c r="Z777" s="224">
        <f t="shared" si="2"/>
        <v>0</v>
      </c>
      <c r="AA777" s="223">
        <f t="shared" si="3"/>
        <v>0</v>
      </c>
      <c r="AB777" s="170">
        <f t="shared" si="4"/>
        <v>0</v>
      </c>
      <c r="AC777" s="170">
        <f t="shared" si="5"/>
        <v>0</v>
      </c>
      <c r="AD777" s="170">
        <f t="shared" si="6"/>
        <v>0</v>
      </c>
      <c r="AE777" s="170"/>
      <c r="AF777" s="225">
        <f t="shared" si="8"/>
        <v>0</v>
      </c>
    </row>
    <row r="778" ht="12.75" customHeight="1">
      <c r="V778" s="30">
        <f t="shared" si="1"/>
        <v>0</v>
      </c>
      <c r="Y778" s="30"/>
      <c r="Z778" s="224">
        <f t="shared" si="2"/>
        <v>0</v>
      </c>
      <c r="AA778" s="223">
        <f t="shared" si="3"/>
        <v>0</v>
      </c>
      <c r="AB778" s="170">
        <f t="shared" si="4"/>
        <v>0</v>
      </c>
      <c r="AC778" s="170">
        <f t="shared" si="5"/>
        <v>0</v>
      </c>
      <c r="AD778" s="170">
        <f t="shared" si="6"/>
        <v>0</v>
      </c>
      <c r="AE778" s="170"/>
      <c r="AF778" s="225">
        <f t="shared" si="8"/>
        <v>0</v>
      </c>
    </row>
    <row r="779" ht="12.75" customHeight="1">
      <c r="V779" s="30">
        <f t="shared" si="1"/>
        <v>0</v>
      </c>
      <c r="Y779" s="30"/>
      <c r="Z779" s="224">
        <f t="shared" si="2"/>
        <v>0</v>
      </c>
      <c r="AA779" s="223">
        <f t="shared" si="3"/>
        <v>0</v>
      </c>
      <c r="AB779" s="170">
        <f t="shared" si="4"/>
        <v>0</v>
      </c>
      <c r="AC779" s="170">
        <f t="shared" si="5"/>
        <v>0</v>
      </c>
      <c r="AD779" s="170">
        <f t="shared" si="6"/>
        <v>0</v>
      </c>
      <c r="AE779" s="170"/>
      <c r="AF779" s="225">
        <f t="shared" si="8"/>
        <v>0</v>
      </c>
    </row>
    <row r="780" ht="12.75" customHeight="1">
      <c r="V780" s="30">
        <f t="shared" si="1"/>
        <v>0</v>
      </c>
      <c r="Y780" s="30"/>
      <c r="Z780" s="224">
        <f t="shared" si="2"/>
        <v>0</v>
      </c>
      <c r="AA780" s="223">
        <f t="shared" si="3"/>
        <v>0</v>
      </c>
      <c r="AB780" s="170">
        <f t="shared" si="4"/>
        <v>0</v>
      </c>
      <c r="AC780" s="170">
        <f t="shared" si="5"/>
        <v>0</v>
      </c>
      <c r="AD780" s="170">
        <f t="shared" si="6"/>
        <v>0</v>
      </c>
      <c r="AE780" s="170"/>
      <c r="AF780" s="225">
        <f t="shared" si="8"/>
        <v>0</v>
      </c>
    </row>
    <row r="781" ht="12.75" customHeight="1">
      <c r="V781" s="30">
        <f t="shared" si="1"/>
        <v>0</v>
      </c>
      <c r="Y781" s="30"/>
      <c r="Z781" s="224">
        <f t="shared" si="2"/>
        <v>0</v>
      </c>
      <c r="AA781" s="223">
        <f t="shared" si="3"/>
        <v>0</v>
      </c>
      <c r="AB781" s="170">
        <f t="shared" si="4"/>
        <v>0</v>
      </c>
      <c r="AC781" s="170">
        <f t="shared" si="5"/>
        <v>0</v>
      </c>
      <c r="AD781" s="170">
        <f t="shared" si="6"/>
        <v>0</v>
      </c>
      <c r="AE781" s="170"/>
      <c r="AF781" s="225">
        <f t="shared" si="8"/>
        <v>0</v>
      </c>
    </row>
    <row r="782" ht="12.75" customHeight="1">
      <c r="V782" s="30">
        <f t="shared" si="1"/>
        <v>0</v>
      </c>
      <c r="Y782" s="30"/>
      <c r="Z782" s="224">
        <f t="shared" si="2"/>
        <v>0</v>
      </c>
      <c r="AA782" s="223">
        <f t="shared" si="3"/>
        <v>0</v>
      </c>
      <c r="AB782" s="170">
        <f t="shared" si="4"/>
        <v>0</v>
      </c>
      <c r="AC782" s="170">
        <f t="shared" si="5"/>
        <v>0</v>
      </c>
      <c r="AD782" s="170">
        <f t="shared" si="6"/>
        <v>0</v>
      </c>
      <c r="AE782" s="170"/>
      <c r="AF782" s="225">
        <f t="shared" si="8"/>
        <v>0</v>
      </c>
    </row>
    <row r="783" ht="12.75" customHeight="1">
      <c r="V783" s="30">
        <f t="shared" si="1"/>
        <v>0</v>
      </c>
      <c r="Y783" s="30"/>
      <c r="Z783" s="224">
        <f t="shared" si="2"/>
        <v>0</v>
      </c>
      <c r="AA783" s="223">
        <f t="shared" si="3"/>
        <v>0</v>
      </c>
      <c r="AB783" s="170">
        <f t="shared" si="4"/>
        <v>0</v>
      </c>
      <c r="AC783" s="170">
        <f t="shared" si="5"/>
        <v>0</v>
      </c>
      <c r="AD783" s="170">
        <f t="shared" si="6"/>
        <v>0</v>
      </c>
      <c r="AE783" s="170"/>
      <c r="AF783" s="225">
        <f t="shared" si="8"/>
        <v>0</v>
      </c>
    </row>
    <row r="784" ht="12.75" customHeight="1">
      <c r="V784" s="30">
        <f t="shared" si="1"/>
        <v>0</v>
      </c>
      <c r="Y784" s="30"/>
      <c r="Z784" s="224">
        <f t="shared" si="2"/>
        <v>0</v>
      </c>
      <c r="AA784" s="223">
        <f t="shared" si="3"/>
        <v>0</v>
      </c>
      <c r="AB784" s="170">
        <f t="shared" si="4"/>
        <v>0</v>
      </c>
      <c r="AC784" s="170">
        <f t="shared" si="5"/>
        <v>0</v>
      </c>
      <c r="AD784" s="170">
        <f t="shared" si="6"/>
        <v>0</v>
      </c>
      <c r="AE784" s="170"/>
      <c r="AF784" s="225">
        <f t="shared" si="8"/>
        <v>0</v>
      </c>
    </row>
    <row r="785" ht="12.75" customHeight="1">
      <c r="V785" s="30">
        <f t="shared" si="1"/>
        <v>0</v>
      </c>
      <c r="Y785" s="30"/>
      <c r="Z785" s="224">
        <f t="shared" si="2"/>
        <v>0</v>
      </c>
      <c r="AA785" s="223">
        <f t="shared" si="3"/>
        <v>0</v>
      </c>
      <c r="AB785" s="170">
        <f t="shared" si="4"/>
        <v>0</v>
      </c>
      <c r="AC785" s="170">
        <f t="shared" si="5"/>
        <v>0</v>
      </c>
      <c r="AD785" s="170">
        <f t="shared" si="6"/>
        <v>0</v>
      </c>
      <c r="AE785" s="170"/>
      <c r="AF785" s="225">
        <f t="shared" si="8"/>
        <v>0</v>
      </c>
    </row>
    <row r="786" ht="12.75" customHeight="1">
      <c r="V786" s="30">
        <f t="shared" si="1"/>
        <v>0</v>
      </c>
      <c r="Y786" s="30"/>
      <c r="Z786" s="224">
        <f t="shared" si="2"/>
        <v>0</v>
      </c>
      <c r="AA786" s="223">
        <f t="shared" si="3"/>
        <v>0</v>
      </c>
      <c r="AB786" s="170">
        <f t="shared" si="4"/>
        <v>0</v>
      </c>
      <c r="AC786" s="170">
        <f t="shared" si="5"/>
        <v>0</v>
      </c>
      <c r="AD786" s="170">
        <f t="shared" si="6"/>
        <v>0</v>
      </c>
      <c r="AE786" s="170"/>
      <c r="AF786" s="225">
        <f t="shared" si="8"/>
        <v>0</v>
      </c>
    </row>
    <row r="787" ht="12.75" customHeight="1">
      <c r="V787" s="30">
        <f t="shared" si="1"/>
        <v>0</v>
      </c>
      <c r="Y787" s="30"/>
      <c r="Z787" s="224">
        <f t="shared" si="2"/>
        <v>0</v>
      </c>
      <c r="AA787" s="223">
        <f t="shared" si="3"/>
        <v>0</v>
      </c>
      <c r="AB787" s="170">
        <f t="shared" si="4"/>
        <v>0</v>
      </c>
      <c r="AC787" s="170">
        <f t="shared" si="5"/>
        <v>0</v>
      </c>
      <c r="AD787" s="170">
        <f t="shared" si="6"/>
        <v>0</v>
      </c>
      <c r="AE787" s="170"/>
      <c r="AF787" s="225">
        <f t="shared" si="8"/>
        <v>0</v>
      </c>
    </row>
    <row r="788" ht="12.75" customHeight="1">
      <c r="V788" s="30">
        <f t="shared" si="1"/>
        <v>0</v>
      </c>
      <c r="Y788" s="30"/>
      <c r="Z788" s="224">
        <f t="shared" si="2"/>
        <v>0</v>
      </c>
      <c r="AA788" s="223">
        <f t="shared" si="3"/>
        <v>0</v>
      </c>
      <c r="AB788" s="170">
        <f t="shared" si="4"/>
        <v>0</v>
      </c>
      <c r="AC788" s="170">
        <f t="shared" si="5"/>
        <v>0</v>
      </c>
      <c r="AD788" s="170">
        <f t="shared" si="6"/>
        <v>0</v>
      </c>
      <c r="AE788" s="170"/>
      <c r="AF788" s="225">
        <f t="shared" si="8"/>
        <v>0</v>
      </c>
    </row>
    <row r="789" ht="12.75" customHeight="1">
      <c r="V789" s="30">
        <f t="shared" si="1"/>
        <v>0</v>
      </c>
      <c r="Y789" s="30"/>
      <c r="Z789" s="224">
        <f t="shared" si="2"/>
        <v>0</v>
      </c>
      <c r="AA789" s="223">
        <f t="shared" si="3"/>
        <v>0</v>
      </c>
      <c r="AB789" s="170">
        <f t="shared" si="4"/>
        <v>0</v>
      </c>
      <c r="AC789" s="170">
        <f t="shared" si="5"/>
        <v>0</v>
      </c>
      <c r="AD789" s="170">
        <f t="shared" si="6"/>
        <v>0</v>
      </c>
      <c r="AE789" s="170"/>
      <c r="AF789" s="225">
        <f t="shared" si="8"/>
        <v>0</v>
      </c>
    </row>
    <row r="790" ht="12.75" customHeight="1">
      <c r="V790" s="30">
        <f t="shared" si="1"/>
        <v>0</v>
      </c>
      <c r="Y790" s="30"/>
      <c r="Z790" s="224">
        <f t="shared" si="2"/>
        <v>0</v>
      </c>
      <c r="AA790" s="223">
        <f t="shared" si="3"/>
        <v>0</v>
      </c>
      <c r="AB790" s="170">
        <f t="shared" si="4"/>
        <v>0</v>
      </c>
      <c r="AC790" s="170">
        <f t="shared" si="5"/>
        <v>0</v>
      </c>
      <c r="AD790" s="170">
        <f t="shared" si="6"/>
        <v>0</v>
      </c>
      <c r="AE790" s="170"/>
      <c r="AF790" s="225">
        <f t="shared" si="8"/>
        <v>0</v>
      </c>
    </row>
    <row r="791" ht="12.75" customHeight="1">
      <c r="V791" s="30">
        <f t="shared" si="1"/>
        <v>0</v>
      </c>
      <c r="Y791" s="30"/>
      <c r="Z791" s="224">
        <f t="shared" si="2"/>
        <v>0</v>
      </c>
      <c r="AA791" s="223">
        <f t="shared" si="3"/>
        <v>0</v>
      </c>
      <c r="AB791" s="170">
        <f t="shared" si="4"/>
        <v>0</v>
      </c>
      <c r="AC791" s="170">
        <f t="shared" si="5"/>
        <v>0</v>
      </c>
      <c r="AD791" s="170">
        <f t="shared" si="6"/>
        <v>0</v>
      </c>
      <c r="AE791" s="170"/>
      <c r="AF791" s="225">
        <f t="shared" si="8"/>
        <v>0</v>
      </c>
    </row>
    <row r="792" ht="12.75" customHeight="1">
      <c r="V792" s="30">
        <f t="shared" si="1"/>
        <v>0</v>
      </c>
      <c r="Y792" s="30"/>
      <c r="Z792" s="224">
        <f t="shared" si="2"/>
        <v>0</v>
      </c>
      <c r="AA792" s="223">
        <f t="shared" si="3"/>
        <v>0</v>
      </c>
      <c r="AB792" s="170">
        <f t="shared" si="4"/>
        <v>0</v>
      </c>
      <c r="AC792" s="170">
        <f t="shared" si="5"/>
        <v>0</v>
      </c>
      <c r="AD792" s="170">
        <f t="shared" si="6"/>
        <v>0</v>
      </c>
      <c r="AE792" s="170"/>
      <c r="AF792" s="225">
        <f t="shared" si="8"/>
        <v>0</v>
      </c>
    </row>
    <row r="793" ht="12.75" customHeight="1">
      <c r="V793" s="30">
        <f t="shared" si="1"/>
        <v>0</v>
      </c>
      <c r="Y793" s="30"/>
      <c r="Z793" s="224">
        <f t="shared" si="2"/>
        <v>0</v>
      </c>
      <c r="AA793" s="223">
        <f t="shared" si="3"/>
        <v>0</v>
      </c>
      <c r="AB793" s="170">
        <f t="shared" si="4"/>
        <v>0</v>
      </c>
      <c r="AC793" s="170">
        <f t="shared" si="5"/>
        <v>0</v>
      </c>
      <c r="AD793" s="170">
        <f t="shared" si="6"/>
        <v>0</v>
      </c>
      <c r="AE793" s="170"/>
      <c r="AF793" s="225">
        <f t="shared" si="8"/>
        <v>0</v>
      </c>
    </row>
    <row r="794" ht="12.75" customHeight="1">
      <c r="V794" s="30">
        <f t="shared" si="1"/>
        <v>0</v>
      </c>
      <c r="Y794" s="30"/>
      <c r="Z794" s="224">
        <f t="shared" si="2"/>
        <v>0</v>
      </c>
      <c r="AA794" s="223">
        <f t="shared" si="3"/>
        <v>0</v>
      </c>
      <c r="AB794" s="170">
        <f t="shared" si="4"/>
        <v>0</v>
      </c>
      <c r="AC794" s="170">
        <f t="shared" si="5"/>
        <v>0</v>
      </c>
      <c r="AD794" s="170">
        <f t="shared" si="6"/>
        <v>0</v>
      </c>
      <c r="AE794" s="170"/>
      <c r="AF794" s="225">
        <f t="shared" si="8"/>
        <v>0</v>
      </c>
    </row>
    <row r="795" ht="12.75" customHeight="1">
      <c r="V795" s="30">
        <f t="shared" si="1"/>
        <v>0</v>
      </c>
      <c r="Y795" s="30"/>
      <c r="Z795" s="224">
        <f t="shared" si="2"/>
        <v>0</v>
      </c>
      <c r="AA795" s="223">
        <f t="shared" si="3"/>
        <v>0</v>
      </c>
      <c r="AB795" s="170">
        <f t="shared" si="4"/>
        <v>0</v>
      </c>
      <c r="AC795" s="170">
        <f t="shared" si="5"/>
        <v>0</v>
      </c>
      <c r="AD795" s="170">
        <f t="shared" si="6"/>
        <v>0</v>
      </c>
      <c r="AE795" s="170"/>
      <c r="AF795" s="225">
        <f t="shared" si="8"/>
        <v>0</v>
      </c>
    </row>
    <row r="796" ht="12.75" customHeight="1">
      <c r="V796" s="30">
        <f t="shared" si="1"/>
        <v>0</v>
      </c>
      <c r="Y796" s="30"/>
      <c r="Z796" s="224">
        <f t="shared" si="2"/>
        <v>0</v>
      </c>
      <c r="AA796" s="223">
        <f t="shared" si="3"/>
        <v>0</v>
      </c>
      <c r="AB796" s="170">
        <f t="shared" si="4"/>
        <v>0</v>
      </c>
      <c r="AC796" s="170">
        <f t="shared" si="5"/>
        <v>0</v>
      </c>
      <c r="AD796" s="170">
        <f t="shared" si="6"/>
        <v>0</v>
      </c>
      <c r="AE796" s="170"/>
      <c r="AF796" s="225">
        <f t="shared" si="8"/>
        <v>0</v>
      </c>
    </row>
    <row r="797" ht="12.75" customHeight="1">
      <c r="V797" s="30">
        <f t="shared" si="1"/>
        <v>0</v>
      </c>
      <c r="Y797" s="30"/>
      <c r="Z797" s="224">
        <f t="shared" si="2"/>
        <v>0</v>
      </c>
      <c r="AA797" s="223">
        <f t="shared" si="3"/>
        <v>0</v>
      </c>
      <c r="AB797" s="170">
        <f t="shared" si="4"/>
        <v>0</v>
      </c>
      <c r="AC797" s="170">
        <f t="shared" si="5"/>
        <v>0</v>
      </c>
      <c r="AD797" s="170">
        <f t="shared" si="6"/>
        <v>0</v>
      </c>
      <c r="AE797" s="170"/>
      <c r="AF797" s="225">
        <f t="shared" si="8"/>
        <v>0</v>
      </c>
    </row>
    <row r="798" ht="12.75" customHeight="1">
      <c r="V798" s="30">
        <f t="shared" si="1"/>
        <v>0</v>
      </c>
      <c r="Y798" s="30"/>
      <c r="Z798" s="224">
        <f t="shared" si="2"/>
        <v>0</v>
      </c>
      <c r="AA798" s="223">
        <f t="shared" si="3"/>
        <v>0</v>
      </c>
      <c r="AB798" s="170">
        <f t="shared" si="4"/>
        <v>0</v>
      </c>
      <c r="AC798" s="170">
        <f t="shared" si="5"/>
        <v>0</v>
      </c>
      <c r="AD798" s="170">
        <f t="shared" si="6"/>
        <v>0</v>
      </c>
      <c r="AE798" s="170"/>
      <c r="AF798" s="225">
        <f t="shared" si="8"/>
        <v>0</v>
      </c>
    </row>
    <row r="799" ht="12.75" customHeight="1">
      <c r="V799" s="30">
        <f t="shared" si="1"/>
        <v>0</v>
      </c>
      <c r="Y799" s="30"/>
      <c r="Z799" s="224">
        <f t="shared" si="2"/>
        <v>0</v>
      </c>
      <c r="AA799" s="223">
        <f t="shared" si="3"/>
        <v>0</v>
      </c>
      <c r="AB799" s="170">
        <f t="shared" si="4"/>
        <v>0</v>
      </c>
      <c r="AC799" s="170">
        <f t="shared" si="5"/>
        <v>0</v>
      </c>
      <c r="AD799" s="170">
        <f t="shared" si="6"/>
        <v>0</v>
      </c>
      <c r="AE799" s="170"/>
      <c r="AF799" s="225">
        <f t="shared" si="8"/>
        <v>0</v>
      </c>
    </row>
    <row r="800" ht="12.75" customHeight="1">
      <c r="V800" s="30">
        <f t="shared" si="1"/>
        <v>0</v>
      </c>
      <c r="Y800" s="30"/>
      <c r="Z800" s="224">
        <f t="shared" si="2"/>
        <v>0</v>
      </c>
      <c r="AA800" s="223">
        <f t="shared" si="3"/>
        <v>0</v>
      </c>
      <c r="AB800" s="170">
        <f t="shared" si="4"/>
        <v>0</v>
      </c>
      <c r="AC800" s="170">
        <f t="shared" si="5"/>
        <v>0</v>
      </c>
      <c r="AD800" s="170">
        <f t="shared" si="6"/>
        <v>0</v>
      </c>
      <c r="AE800" s="170"/>
      <c r="AF800" s="225">
        <f t="shared" si="8"/>
        <v>0</v>
      </c>
    </row>
    <row r="801" ht="12.75" customHeight="1">
      <c r="V801" s="30">
        <f t="shared" si="1"/>
        <v>0</v>
      </c>
      <c r="Y801" s="30"/>
      <c r="Z801" s="224">
        <f t="shared" si="2"/>
        <v>0</v>
      </c>
      <c r="AA801" s="223">
        <f t="shared" si="3"/>
        <v>0</v>
      </c>
      <c r="AB801" s="170">
        <f t="shared" si="4"/>
        <v>0</v>
      </c>
      <c r="AC801" s="170">
        <f t="shared" si="5"/>
        <v>0</v>
      </c>
      <c r="AD801" s="170">
        <f t="shared" si="6"/>
        <v>0</v>
      </c>
      <c r="AE801" s="170"/>
      <c r="AF801" s="225">
        <f t="shared" si="8"/>
        <v>0</v>
      </c>
    </row>
    <row r="802" ht="12.75" customHeight="1">
      <c r="V802" s="30">
        <f t="shared" si="1"/>
        <v>0</v>
      </c>
      <c r="Y802" s="30"/>
      <c r="Z802" s="224">
        <f t="shared" si="2"/>
        <v>0</v>
      </c>
      <c r="AA802" s="223">
        <f t="shared" si="3"/>
        <v>0</v>
      </c>
      <c r="AB802" s="170">
        <f t="shared" si="4"/>
        <v>0</v>
      </c>
      <c r="AC802" s="170">
        <f t="shared" si="5"/>
        <v>0</v>
      </c>
      <c r="AD802" s="170">
        <f t="shared" si="6"/>
        <v>0</v>
      </c>
      <c r="AE802" s="170"/>
      <c r="AF802" s="225">
        <f t="shared" si="8"/>
        <v>0</v>
      </c>
    </row>
    <row r="803" ht="12.75" customHeight="1">
      <c r="V803" s="30">
        <f t="shared" si="1"/>
        <v>0</v>
      </c>
      <c r="Y803" s="30"/>
      <c r="Z803" s="224">
        <f t="shared" si="2"/>
        <v>0</v>
      </c>
      <c r="AA803" s="223">
        <f t="shared" si="3"/>
        <v>0</v>
      </c>
      <c r="AB803" s="170">
        <f t="shared" si="4"/>
        <v>0</v>
      </c>
      <c r="AC803" s="170">
        <f t="shared" si="5"/>
        <v>0</v>
      </c>
      <c r="AD803" s="170">
        <f t="shared" si="6"/>
        <v>0</v>
      </c>
      <c r="AE803" s="170"/>
      <c r="AF803" s="225">
        <f t="shared" si="8"/>
        <v>0</v>
      </c>
    </row>
    <row r="804" ht="12.75" customHeight="1">
      <c r="V804" s="30">
        <f t="shared" si="1"/>
        <v>0</v>
      </c>
      <c r="Y804" s="30"/>
      <c r="Z804" s="224">
        <f t="shared" si="2"/>
        <v>0</v>
      </c>
      <c r="AA804" s="223">
        <f t="shared" si="3"/>
        <v>0</v>
      </c>
      <c r="AB804" s="170">
        <f t="shared" si="4"/>
        <v>0</v>
      </c>
      <c r="AC804" s="170">
        <f t="shared" si="5"/>
        <v>0</v>
      </c>
      <c r="AD804" s="170">
        <f t="shared" si="6"/>
        <v>0</v>
      </c>
      <c r="AE804" s="170"/>
      <c r="AF804" s="225">
        <f t="shared" si="8"/>
        <v>0</v>
      </c>
    </row>
    <row r="805" ht="12.75" customHeight="1">
      <c r="V805" s="30">
        <f t="shared" si="1"/>
        <v>0</v>
      </c>
      <c r="Y805" s="30"/>
      <c r="Z805" s="224">
        <f t="shared" si="2"/>
        <v>0</v>
      </c>
      <c r="AA805" s="223">
        <f t="shared" si="3"/>
        <v>0</v>
      </c>
      <c r="AB805" s="170">
        <f t="shared" si="4"/>
        <v>0</v>
      </c>
      <c r="AC805" s="170">
        <f t="shared" si="5"/>
        <v>0</v>
      </c>
      <c r="AD805" s="170">
        <f t="shared" si="6"/>
        <v>0</v>
      </c>
      <c r="AE805" s="170"/>
      <c r="AF805" s="225">
        <f t="shared" si="8"/>
        <v>0</v>
      </c>
    </row>
    <row r="806" ht="12.75" customHeight="1">
      <c r="V806" s="30">
        <f t="shared" si="1"/>
        <v>0</v>
      </c>
      <c r="Y806" s="30"/>
      <c r="Z806" s="224">
        <f t="shared" si="2"/>
        <v>0</v>
      </c>
      <c r="AA806" s="223">
        <f t="shared" si="3"/>
        <v>0</v>
      </c>
      <c r="AB806" s="170">
        <f t="shared" si="4"/>
        <v>0</v>
      </c>
      <c r="AC806" s="170">
        <f t="shared" si="5"/>
        <v>0</v>
      </c>
      <c r="AD806" s="170">
        <f t="shared" si="6"/>
        <v>0</v>
      </c>
      <c r="AE806" s="170"/>
      <c r="AF806" s="225">
        <f t="shared" si="8"/>
        <v>0</v>
      </c>
    </row>
    <row r="807" ht="12.75" customHeight="1">
      <c r="V807" s="30">
        <f t="shared" si="1"/>
        <v>0</v>
      </c>
      <c r="Y807" s="30"/>
      <c r="Z807" s="224">
        <f t="shared" si="2"/>
        <v>0</v>
      </c>
      <c r="AA807" s="223">
        <f t="shared" si="3"/>
        <v>0</v>
      </c>
      <c r="AB807" s="170">
        <f t="shared" si="4"/>
        <v>0</v>
      </c>
      <c r="AC807" s="170">
        <f t="shared" si="5"/>
        <v>0</v>
      </c>
      <c r="AD807" s="170">
        <f t="shared" si="6"/>
        <v>0</v>
      </c>
      <c r="AE807" s="170"/>
      <c r="AF807" s="225">
        <f t="shared" si="8"/>
        <v>0</v>
      </c>
    </row>
    <row r="808" ht="12.75" customHeight="1">
      <c r="V808" s="30">
        <f t="shared" si="1"/>
        <v>0</v>
      </c>
      <c r="Y808" s="30"/>
      <c r="Z808" s="224">
        <f t="shared" si="2"/>
        <v>0</v>
      </c>
      <c r="AA808" s="223">
        <f t="shared" si="3"/>
        <v>0</v>
      </c>
      <c r="AB808" s="170">
        <f t="shared" si="4"/>
        <v>0</v>
      </c>
      <c r="AC808" s="170">
        <f t="shared" si="5"/>
        <v>0</v>
      </c>
      <c r="AD808" s="170">
        <f t="shared" si="6"/>
        <v>0</v>
      </c>
      <c r="AE808" s="170"/>
      <c r="AF808" s="225">
        <f t="shared" si="8"/>
        <v>0</v>
      </c>
    </row>
    <row r="809" ht="12.75" customHeight="1">
      <c r="V809" s="30">
        <f t="shared" si="1"/>
        <v>0</v>
      </c>
      <c r="Y809" s="30"/>
      <c r="Z809" s="224">
        <f t="shared" si="2"/>
        <v>0</v>
      </c>
      <c r="AA809" s="223">
        <f t="shared" si="3"/>
        <v>0</v>
      </c>
      <c r="AB809" s="170">
        <f t="shared" si="4"/>
        <v>0</v>
      </c>
      <c r="AC809" s="170">
        <f t="shared" si="5"/>
        <v>0</v>
      </c>
      <c r="AD809" s="170">
        <f t="shared" si="6"/>
        <v>0</v>
      </c>
      <c r="AE809" s="170"/>
      <c r="AF809" s="225">
        <f t="shared" si="8"/>
        <v>0</v>
      </c>
    </row>
    <row r="810" ht="12.75" customHeight="1">
      <c r="V810" s="30">
        <f t="shared" si="1"/>
        <v>0</v>
      </c>
      <c r="Y810" s="30"/>
      <c r="Z810" s="224">
        <f t="shared" si="2"/>
        <v>0</v>
      </c>
      <c r="AA810" s="223">
        <f t="shared" si="3"/>
        <v>0</v>
      </c>
      <c r="AB810" s="170">
        <f t="shared" si="4"/>
        <v>0</v>
      </c>
      <c r="AC810" s="170">
        <f t="shared" si="5"/>
        <v>0</v>
      </c>
      <c r="AD810" s="170">
        <f t="shared" si="6"/>
        <v>0</v>
      </c>
      <c r="AE810" s="170"/>
      <c r="AF810" s="225">
        <f t="shared" si="8"/>
        <v>0</v>
      </c>
    </row>
    <row r="811" ht="12.75" customHeight="1">
      <c r="V811" s="30">
        <f t="shared" si="1"/>
        <v>0</v>
      </c>
      <c r="Y811" s="30"/>
      <c r="Z811" s="224">
        <f t="shared" si="2"/>
        <v>0</v>
      </c>
      <c r="AA811" s="223">
        <f t="shared" si="3"/>
        <v>0</v>
      </c>
      <c r="AB811" s="170">
        <f t="shared" si="4"/>
        <v>0</v>
      </c>
      <c r="AC811" s="170">
        <f t="shared" si="5"/>
        <v>0</v>
      </c>
      <c r="AD811" s="170">
        <f t="shared" si="6"/>
        <v>0</v>
      </c>
      <c r="AE811" s="170"/>
      <c r="AF811" s="225">
        <f t="shared" si="8"/>
        <v>0</v>
      </c>
    </row>
    <row r="812" ht="12.75" customHeight="1">
      <c r="V812" s="30">
        <f t="shared" si="1"/>
        <v>0</v>
      </c>
      <c r="Y812" s="30"/>
      <c r="Z812" s="224">
        <f t="shared" si="2"/>
        <v>0</v>
      </c>
      <c r="AA812" s="223">
        <f t="shared" si="3"/>
        <v>0</v>
      </c>
      <c r="AB812" s="170">
        <f t="shared" si="4"/>
        <v>0</v>
      </c>
      <c r="AC812" s="170">
        <f t="shared" si="5"/>
        <v>0</v>
      </c>
      <c r="AD812" s="170">
        <f t="shared" si="6"/>
        <v>0</v>
      </c>
      <c r="AE812" s="170"/>
      <c r="AF812" s="225">
        <f t="shared" si="8"/>
        <v>0</v>
      </c>
    </row>
    <row r="813" ht="12.75" customHeight="1">
      <c r="V813" s="30">
        <f t="shared" si="1"/>
        <v>0</v>
      </c>
      <c r="Y813" s="30"/>
      <c r="Z813" s="224">
        <f t="shared" si="2"/>
        <v>0</v>
      </c>
      <c r="AA813" s="223">
        <f t="shared" si="3"/>
        <v>0</v>
      </c>
      <c r="AB813" s="170">
        <f t="shared" si="4"/>
        <v>0</v>
      </c>
      <c r="AC813" s="170">
        <f t="shared" si="5"/>
        <v>0</v>
      </c>
      <c r="AD813" s="170">
        <f t="shared" si="6"/>
        <v>0</v>
      </c>
      <c r="AE813" s="170"/>
      <c r="AF813" s="225">
        <f t="shared" si="8"/>
        <v>0</v>
      </c>
    </row>
    <row r="814" ht="12.75" customHeight="1">
      <c r="V814" s="30">
        <f t="shared" si="1"/>
        <v>0</v>
      </c>
      <c r="Y814" s="30"/>
      <c r="Z814" s="224">
        <f t="shared" si="2"/>
        <v>0</v>
      </c>
      <c r="AA814" s="223">
        <f t="shared" si="3"/>
        <v>0</v>
      </c>
      <c r="AB814" s="170">
        <f t="shared" si="4"/>
        <v>0</v>
      </c>
      <c r="AC814" s="170">
        <f t="shared" si="5"/>
        <v>0</v>
      </c>
      <c r="AD814" s="170">
        <f t="shared" si="6"/>
        <v>0</v>
      </c>
      <c r="AE814" s="170"/>
      <c r="AF814" s="225">
        <f t="shared" si="8"/>
        <v>0</v>
      </c>
    </row>
    <row r="815" ht="12.75" customHeight="1">
      <c r="V815" s="30">
        <f t="shared" si="1"/>
        <v>0</v>
      </c>
      <c r="Y815" s="30"/>
      <c r="Z815" s="224">
        <f t="shared" si="2"/>
        <v>0</v>
      </c>
      <c r="AA815" s="223">
        <f t="shared" si="3"/>
        <v>0</v>
      </c>
      <c r="AB815" s="170">
        <f t="shared" si="4"/>
        <v>0</v>
      </c>
      <c r="AC815" s="170">
        <f t="shared" si="5"/>
        <v>0</v>
      </c>
      <c r="AD815" s="170">
        <f t="shared" si="6"/>
        <v>0</v>
      </c>
      <c r="AE815" s="170"/>
      <c r="AF815" s="225">
        <f t="shared" si="8"/>
        <v>0</v>
      </c>
    </row>
    <row r="816" ht="12.75" customHeight="1">
      <c r="V816" s="30">
        <f t="shared" si="1"/>
        <v>0</v>
      </c>
      <c r="Y816" s="30"/>
      <c r="Z816" s="224">
        <f t="shared" si="2"/>
        <v>0</v>
      </c>
      <c r="AA816" s="223">
        <f t="shared" si="3"/>
        <v>0</v>
      </c>
      <c r="AB816" s="170">
        <f t="shared" si="4"/>
        <v>0</v>
      </c>
      <c r="AC816" s="170">
        <f t="shared" si="5"/>
        <v>0</v>
      </c>
      <c r="AD816" s="170">
        <f t="shared" si="6"/>
        <v>0</v>
      </c>
      <c r="AE816" s="170"/>
      <c r="AF816" s="225">
        <f t="shared" si="8"/>
        <v>0</v>
      </c>
    </row>
    <row r="817" ht="12.75" customHeight="1">
      <c r="V817" s="30">
        <f t="shared" si="1"/>
        <v>0</v>
      </c>
      <c r="Y817" s="30"/>
      <c r="Z817" s="224">
        <f t="shared" si="2"/>
        <v>0</v>
      </c>
      <c r="AA817" s="223">
        <f t="shared" si="3"/>
        <v>0</v>
      </c>
      <c r="AB817" s="170">
        <f t="shared" si="4"/>
        <v>0</v>
      </c>
      <c r="AC817" s="170">
        <f t="shared" si="5"/>
        <v>0</v>
      </c>
      <c r="AD817" s="170">
        <f t="shared" si="6"/>
        <v>0</v>
      </c>
      <c r="AE817" s="170"/>
      <c r="AF817" s="225">
        <f t="shared" si="8"/>
        <v>0</v>
      </c>
    </row>
    <row r="818" ht="12.75" customHeight="1">
      <c r="V818" s="30">
        <f t="shared" si="1"/>
        <v>0</v>
      </c>
      <c r="Y818" s="30"/>
      <c r="Z818" s="224">
        <f t="shared" si="2"/>
        <v>0</v>
      </c>
      <c r="AA818" s="223">
        <f t="shared" si="3"/>
        <v>0</v>
      </c>
      <c r="AB818" s="170">
        <f t="shared" si="4"/>
        <v>0</v>
      </c>
      <c r="AC818" s="170">
        <f t="shared" si="5"/>
        <v>0</v>
      </c>
      <c r="AD818" s="170">
        <f t="shared" si="6"/>
        <v>0</v>
      </c>
      <c r="AE818" s="170"/>
      <c r="AF818" s="225">
        <f t="shared" si="8"/>
        <v>0</v>
      </c>
    </row>
    <row r="819" ht="12.75" customHeight="1">
      <c r="V819" s="30">
        <f t="shared" si="1"/>
        <v>0</v>
      </c>
      <c r="Y819" s="30"/>
      <c r="Z819" s="224">
        <f t="shared" si="2"/>
        <v>0</v>
      </c>
      <c r="AA819" s="223">
        <f t="shared" si="3"/>
        <v>0</v>
      </c>
      <c r="AB819" s="170">
        <f t="shared" si="4"/>
        <v>0</v>
      </c>
      <c r="AC819" s="170">
        <f t="shared" si="5"/>
        <v>0</v>
      </c>
      <c r="AD819" s="170">
        <f t="shared" si="6"/>
        <v>0</v>
      </c>
      <c r="AE819" s="170"/>
      <c r="AF819" s="225">
        <f t="shared" si="8"/>
        <v>0</v>
      </c>
    </row>
    <row r="820" ht="12.75" customHeight="1">
      <c r="V820" s="30">
        <f t="shared" si="1"/>
        <v>0</v>
      </c>
      <c r="Y820" s="30"/>
      <c r="Z820" s="224">
        <f t="shared" si="2"/>
        <v>0</v>
      </c>
      <c r="AA820" s="223">
        <f t="shared" si="3"/>
        <v>0</v>
      </c>
      <c r="AB820" s="170">
        <f t="shared" si="4"/>
        <v>0</v>
      </c>
      <c r="AC820" s="170">
        <f t="shared" si="5"/>
        <v>0</v>
      </c>
      <c r="AD820" s="170">
        <f t="shared" si="6"/>
        <v>0</v>
      </c>
      <c r="AE820" s="170"/>
      <c r="AF820" s="225">
        <f t="shared" si="8"/>
        <v>0</v>
      </c>
    </row>
    <row r="821" ht="12.75" customHeight="1">
      <c r="V821" s="30">
        <f t="shared" si="1"/>
        <v>0</v>
      </c>
      <c r="Y821" s="30"/>
      <c r="Z821" s="224">
        <f t="shared" si="2"/>
        <v>0</v>
      </c>
      <c r="AA821" s="223">
        <f t="shared" si="3"/>
        <v>0</v>
      </c>
      <c r="AB821" s="170">
        <f t="shared" si="4"/>
        <v>0</v>
      </c>
      <c r="AC821" s="170">
        <f t="shared" si="5"/>
        <v>0</v>
      </c>
      <c r="AD821" s="170">
        <f t="shared" si="6"/>
        <v>0</v>
      </c>
      <c r="AE821" s="170"/>
      <c r="AF821" s="225">
        <f t="shared" si="8"/>
        <v>0</v>
      </c>
    </row>
    <row r="822" ht="12.75" customHeight="1">
      <c r="V822" s="30">
        <f t="shared" si="1"/>
        <v>0</v>
      </c>
      <c r="Y822" s="30"/>
      <c r="Z822" s="224">
        <f t="shared" si="2"/>
        <v>0</v>
      </c>
      <c r="AA822" s="223">
        <f t="shared" si="3"/>
        <v>0</v>
      </c>
      <c r="AB822" s="170">
        <f t="shared" si="4"/>
        <v>0</v>
      </c>
      <c r="AC822" s="170">
        <f t="shared" si="5"/>
        <v>0</v>
      </c>
      <c r="AD822" s="170">
        <f t="shared" si="6"/>
        <v>0</v>
      </c>
      <c r="AE822" s="170"/>
      <c r="AF822" s="225">
        <f t="shared" si="8"/>
        <v>0</v>
      </c>
    </row>
    <row r="823" ht="12.75" customHeight="1">
      <c r="V823" s="30">
        <f t="shared" si="1"/>
        <v>0</v>
      </c>
      <c r="Y823" s="30"/>
      <c r="Z823" s="224">
        <f t="shared" si="2"/>
        <v>0</v>
      </c>
      <c r="AA823" s="223">
        <f t="shared" si="3"/>
        <v>0</v>
      </c>
      <c r="AB823" s="170">
        <f t="shared" si="4"/>
        <v>0</v>
      </c>
      <c r="AC823" s="170">
        <f t="shared" si="5"/>
        <v>0</v>
      </c>
      <c r="AD823" s="170">
        <f t="shared" si="6"/>
        <v>0</v>
      </c>
      <c r="AE823" s="170"/>
      <c r="AF823" s="225">
        <f t="shared" si="8"/>
        <v>0</v>
      </c>
    </row>
    <row r="824" ht="12.75" customHeight="1">
      <c r="V824" s="30">
        <f t="shared" si="1"/>
        <v>0</v>
      </c>
      <c r="Y824" s="30"/>
      <c r="Z824" s="224">
        <f t="shared" si="2"/>
        <v>0</v>
      </c>
      <c r="AA824" s="223">
        <f t="shared" si="3"/>
        <v>0</v>
      </c>
      <c r="AB824" s="170">
        <f t="shared" si="4"/>
        <v>0</v>
      </c>
      <c r="AC824" s="170">
        <f t="shared" si="5"/>
        <v>0</v>
      </c>
      <c r="AD824" s="170">
        <f t="shared" si="6"/>
        <v>0</v>
      </c>
      <c r="AE824" s="170"/>
      <c r="AF824" s="225">
        <f t="shared" si="8"/>
        <v>0</v>
      </c>
    </row>
    <row r="825" ht="12.75" customHeight="1">
      <c r="V825" s="30">
        <f t="shared" si="1"/>
        <v>0</v>
      </c>
      <c r="Y825" s="30"/>
      <c r="Z825" s="224">
        <f t="shared" si="2"/>
        <v>0</v>
      </c>
      <c r="AA825" s="223">
        <f t="shared" si="3"/>
        <v>0</v>
      </c>
      <c r="AB825" s="170">
        <f t="shared" si="4"/>
        <v>0</v>
      </c>
      <c r="AC825" s="170">
        <f t="shared" si="5"/>
        <v>0</v>
      </c>
      <c r="AD825" s="170">
        <f t="shared" si="6"/>
        <v>0</v>
      </c>
      <c r="AE825" s="170"/>
      <c r="AF825" s="225">
        <f t="shared" si="8"/>
        <v>0</v>
      </c>
    </row>
    <row r="826" ht="12.75" customHeight="1">
      <c r="V826" s="30">
        <f t="shared" si="1"/>
        <v>0</v>
      </c>
      <c r="Y826" s="30"/>
      <c r="Z826" s="224">
        <f t="shared" si="2"/>
        <v>0</v>
      </c>
      <c r="AA826" s="223">
        <f t="shared" si="3"/>
        <v>0</v>
      </c>
      <c r="AB826" s="170">
        <f t="shared" si="4"/>
        <v>0</v>
      </c>
      <c r="AC826" s="170">
        <f t="shared" si="5"/>
        <v>0</v>
      </c>
      <c r="AD826" s="170">
        <f t="shared" si="6"/>
        <v>0</v>
      </c>
      <c r="AE826" s="170"/>
      <c r="AF826" s="225">
        <f t="shared" si="8"/>
        <v>0</v>
      </c>
    </row>
    <row r="827" ht="12.75" customHeight="1">
      <c r="V827" s="30">
        <f t="shared" si="1"/>
        <v>0</v>
      </c>
      <c r="Y827" s="30"/>
      <c r="Z827" s="224">
        <f t="shared" si="2"/>
        <v>0</v>
      </c>
      <c r="AA827" s="223">
        <f t="shared" si="3"/>
        <v>0</v>
      </c>
      <c r="AB827" s="170">
        <f t="shared" si="4"/>
        <v>0</v>
      </c>
      <c r="AC827" s="170">
        <f t="shared" si="5"/>
        <v>0</v>
      </c>
      <c r="AD827" s="170">
        <f t="shared" si="6"/>
        <v>0</v>
      </c>
      <c r="AE827" s="170"/>
      <c r="AF827" s="225">
        <f t="shared" si="8"/>
        <v>0</v>
      </c>
    </row>
    <row r="828" ht="12.75" customHeight="1">
      <c r="V828" s="30">
        <f t="shared" si="1"/>
        <v>0</v>
      </c>
      <c r="Y828" s="30"/>
      <c r="Z828" s="224">
        <f t="shared" si="2"/>
        <v>0</v>
      </c>
      <c r="AA828" s="223">
        <f t="shared" si="3"/>
        <v>0</v>
      </c>
      <c r="AB828" s="170">
        <f t="shared" si="4"/>
        <v>0</v>
      </c>
      <c r="AC828" s="170">
        <f t="shared" si="5"/>
        <v>0</v>
      </c>
      <c r="AD828" s="170">
        <f t="shared" si="6"/>
        <v>0</v>
      </c>
      <c r="AE828" s="170"/>
      <c r="AF828" s="225">
        <f t="shared" si="8"/>
        <v>0</v>
      </c>
    </row>
    <row r="829" ht="12.75" customHeight="1">
      <c r="V829" s="30">
        <f t="shared" si="1"/>
        <v>0</v>
      </c>
      <c r="Y829" s="30"/>
      <c r="Z829" s="224">
        <f t="shared" si="2"/>
        <v>0</v>
      </c>
      <c r="AA829" s="223">
        <f t="shared" si="3"/>
        <v>0</v>
      </c>
      <c r="AB829" s="170">
        <f t="shared" si="4"/>
        <v>0</v>
      </c>
      <c r="AC829" s="170">
        <f t="shared" si="5"/>
        <v>0</v>
      </c>
      <c r="AD829" s="170">
        <f t="shared" si="6"/>
        <v>0</v>
      </c>
      <c r="AE829" s="170"/>
      <c r="AF829" s="225">
        <f t="shared" si="8"/>
        <v>0</v>
      </c>
    </row>
    <row r="830" ht="12.75" customHeight="1">
      <c r="V830" s="30">
        <f t="shared" si="1"/>
        <v>0</v>
      </c>
      <c r="Y830" s="30"/>
      <c r="Z830" s="224">
        <f t="shared" si="2"/>
        <v>0</v>
      </c>
      <c r="AA830" s="223">
        <f t="shared" si="3"/>
        <v>0</v>
      </c>
      <c r="AB830" s="170">
        <f t="shared" si="4"/>
        <v>0</v>
      </c>
      <c r="AC830" s="170">
        <f t="shared" si="5"/>
        <v>0</v>
      </c>
      <c r="AD830" s="170">
        <f t="shared" si="6"/>
        <v>0</v>
      </c>
      <c r="AE830" s="170"/>
      <c r="AF830" s="225">
        <f t="shared" si="8"/>
        <v>0</v>
      </c>
    </row>
    <row r="831" ht="12.75" customHeight="1">
      <c r="V831" s="30">
        <f t="shared" si="1"/>
        <v>0</v>
      </c>
      <c r="Y831" s="30"/>
      <c r="Z831" s="224">
        <f t="shared" si="2"/>
        <v>0</v>
      </c>
      <c r="AA831" s="223">
        <f t="shared" si="3"/>
        <v>0</v>
      </c>
      <c r="AB831" s="170">
        <f t="shared" si="4"/>
        <v>0</v>
      </c>
      <c r="AC831" s="170">
        <f t="shared" si="5"/>
        <v>0</v>
      </c>
      <c r="AD831" s="170">
        <f t="shared" si="6"/>
        <v>0</v>
      </c>
      <c r="AE831" s="170"/>
      <c r="AF831" s="225">
        <f t="shared" si="8"/>
        <v>0</v>
      </c>
    </row>
    <row r="832" ht="12.75" customHeight="1">
      <c r="V832" s="30">
        <f t="shared" si="1"/>
        <v>0</v>
      </c>
      <c r="Y832" s="30"/>
      <c r="Z832" s="224">
        <f t="shared" si="2"/>
        <v>0</v>
      </c>
      <c r="AA832" s="223">
        <f t="shared" si="3"/>
        <v>0</v>
      </c>
      <c r="AB832" s="170">
        <f t="shared" si="4"/>
        <v>0</v>
      </c>
      <c r="AC832" s="170">
        <f t="shared" si="5"/>
        <v>0</v>
      </c>
      <c r="AD832" s="170">
        <f t="shared" si="6"/>
        <v>0</v>
      </c>
      <c r="AE832" s="170"/>
      <c r="AF832" s="225">
        <f t="shared" si="8"/>
        <v>0</v>
      </c>
    </row>
    <row r="833" ht="12.75" customHeight="1">
      <c r="V833" s="30">
        <f t="shared" si="1"/>
        <v>0</v>
      </c>
      <c r="Y833" s="30"/>
      <c r="Z833" s="224">
        <f t="shared" si="2"/>
        <v>0</v>
      </c>
      <c r="AA833" s="223">
        <f t="shared" si="3"/>
        <v>0</v>
      </c>
      <c r="AB833" s="170">
        <f t="shared" si="4"/>
        <v>0</v>
      </c>
      <c r="AC833" s="170">
        <f t="shared" si="5"/>
        <v>0</v>
      </c>
      <c r="AD833" s="170">
        <f t="shared" si="6"/>
        <v>0</v>
      </c>
      <c r="AE833" s="170"/>
      <c r="AF833" s="225">
        <f t="shared" si="8"/>
        <v>0</v>
      </c>
    </row>
    <row r="834" ht="12.75" customHeight="1">
      <c r="V834" s="30">
        <f t="shared" si="1"/>
        <v>0</v>
      </c>
      <c r="Y834" s="30"/>
      <c r="Z834" s="224">
        <f t="shared" si="2"/>
        <v>0</v>
      </c>
      <c r="AA834" s="223">
        <f t="shared" si="3"/>
        <v>0</v>
      </c>
      <c r="AB834" s="170">
        <f t="shared" si="4"/>
        <v>0</v>
      </c>
      <c r="AC834" s="170">
        <f t="shared" si="5"/>
        <v>0</v>
      </c>
      <c r="AD834" s="170">
        <f t="shared" si="6"/>
        <v>0</v>
      </c>
      <c r="AE834" s="170"/>
      <c r="AF834" s="225">
        <f t="shared" si="8"/>
        <v>0</v>
      </c>
    </row>
    <row r="835" ht="12.75" customHeight="1">
      <c r="V835" s="30">
        <f t="shared" si="1"/>
        <v>0</v>
      </c>
      <c r="Y835" s="30"/>
      <c r="Z835" s="224">
        <f t="shared" si="2"/>
        <v>0</v>
      </c>
      <c r="AA835" s="223">
        <f t="shared" si="3"/>
        <v>0</v>
      </c>
      <c r="AB835" s="170">
        <f t="shared" si="4"/>
        <v>0</v>
      </c>
      <c r="AC835" s="170">
        <f t="shared" si="5"/>
        <v>0</v>
      </c>
      <c r="AD835" s="170">
        <f t="shared" si="6"/>
        <v>0</v>
      </c>
      <c r="AE835" s="170"/>
      <c r="AF835" s="225">
        <f t="shared" si="8"/>
        <v>0</v>
      </c>
    </row>
    <row r="836" ht="12.75" customHeight="1">
      <c r="V836" s="30">
        <f t="shared" si="1"/>
        <v>0</v>
      </c>
      <c r="Y836" s="30"/>
      <c r="Z836" s="224">
        <f t="shared" si="2"/>
        <v>0</v>
      </c>
      <c r="AA836" s="223">
        <f t="shared" si="3"/>
        <v>0</v>
      </c>
      <c r="AB836" s="170">
        <f t="shared" si="4"/>
        <v>0</v>
      </c>
      <c r="AC836" s="170">
        <f t="shared" si="5"/>
        <v>0</v>
      </c>
      <c r="AD836" s="170">
        <f t="shared" si="6"/>
        <v>0</v>
      </c>
      <c r="AE836" s="170"/>
      <c r="AF836" s="225">
        <f t="shared" si="8"/>
        <v>0</v>
      </c>
    </row>
    <row r="837" ht="12.75" customHeight="1">
      <c r="V837" s="30">
        <f t="shared" si="1"/>
        <v>0</v>
      </c>
      <c r="Y837" s="30"/>
      <c r="Z837" s="224">
        <f t="shared" si="2"/>
        <v>0</v>
      </c>
      <c r="AA837" s="223">
        <f t="shared" si="3"/>
        <v>0</v>
      </c>
      <c r="AB837" s="170">
        <f t="shared" si="4"/>
        <v>0</v>
      </c>
      <c r="AC837" s="170">
        <f t="shared" si="5"/>
        <v>0</v>
      </c>
      <c r="AD837" s="170">
        <f t="shared" si="6"/>
        <v>0</v>
      </c>
      <c r="AE837" s="170"/>
      <c r="AF837" s="225">
        <f t="shared" si="8"/>
        <v>0</v>
      </c>
    </row>
    <row r="838" ht="12.75" customHeight="1">
      <c r="V838" s="30">
        <f t="shared" si="1"/>
        <v>0</v>
      </c>
      <c r="Y838" s="30"/>
      <c r="Z838" s="224">
        <f t="shared" si="2"/>
        <v>0</v>
      </c>
      <c r="AA838" s="223">
        <f t="shared" si="3"/>
        <v>0</v>
      </c>
      <c r="AB838" s="170">
        <f t="shared" si="4"/>
        <v>0</v>
      </c>
      <c r="AC838" s="170">
        <f t="shared" si="5"/>
        <v>0</v>
      </c>
      <c r="AD838" s="170">
        <f t="shared" si="6"/>
        <v>0</v>
      </c>
      <c r="AE838" s="170"/>
      <c r="AF838" s="225">
        <f t="shared" si="8"/>
        <v>0</v>
      </c>
    </row>
    <row r="839" ht="12.75" customHeight="1">
      <c r="V839" s="30">
        <f t="shared" si="1"/>
        <v>0</v>
      </c>
      <c r="Y839" s="30"/>
      <c r="Z839" s="224">
        <f t="shared" si="2"/>
        <v>0</v>
      </c>
      <c r="AA839" s="223">
        <f t="shared" si="3"/>
        <v>0</v>
      </c>
      <c r="AB839" s="170">
        <f t="shared" si="4"/>
        <v>0</v>
      </c>
      <c r="AC839" s="170">
        <f t="shared" si="5"/>
        <v>0</v>
      </c>
      <c r="AD839" s="170">
        <f t="shared" si="6"/>
        <v>0</v>
      </c>
      <c r="AE839" s="170"/>
      <c r="AF839" s="225">
        <f t="shared" si="8"/>
        <v>0</v>
      </c>
    </row>
    <row r="840" ht="12.75" customHeight="1">
      <c r="V840" s="30">
        <f t="shared" si="1"/>
        <v>0</v>
      </c>
      <c r="Y840" s="30"/>
      <c r="Z840" s="224">
        <f t="shared" si="2"/>
        <v>0</v>
      </c>
      <c r="AA840" s="223">
        <f t="shared" si="3"/>
        <v>0</v>
      </c>
      <c r="AB840" s="170">
        <f t="shared" si="4"/>
        <v>0</v>
      </c>
      <c r="AC840" s="170">
        <f t="shared" si="5"/>
        <v>0</v>
      </c>
      <c r="AD840" s="170">
        <f t="shared" si="6"/>
        <v>0</v>
      </c>
      <c r="AE840" s="170"/>
      <c r="AF840" s="225">
        <f t="shared" si="8"/>
        <v>0</v>
      </c>
    </row>
    <row r="841" ht="12.75" customHeight="1">
      <c r="V841" s="30">
        <f t="shared" si="1"/>
        <v>0</v>
      </c>
      <c r="Y841" s="30"/>
      <c r="Z841" s="224">
        <f t="shared" si="2"/>
        <v>0</v>
      </c>
      <c r="AA841" s="223">
        <f t="shared" si="3"/>
        <v>0</v>
      </c>
      <c r="AB841" s="170">
        <f t="shared" si="4"/>
        <v>0</v>
      </c>
      <c r="AC841" s="170">
        <f t="shared" si="5"/>
        <v>0</v>
      </c>
      <c r="AD841" s="170">
        <f t="shared" si="6"/>
        <v>0</v>
      </c>
      <c r="AE841" s="170"/>
      <c r="AF841" s="225">
        <f t="shared" si="8"/>
        <v>0</v>
      </c>
    </row>
    <row r="842" ht="12.75" customHeight="1">
      <c r="V842" s="30">
        <f t="shared" si="1"/>
        <v>0</v>
      </c>
      <c r="Y842" s="30"/>
      <c r="Z842" s="224">
        <f t="shared" si="2"/>
        <v>0</v>
      </c>
      <c r="AA842" s="223">
        <f t="shared" si="3"/>
        <v>0</v>
      </c>
      <c r="AB842" s="170">
        <f t="shared" si="4"/>
        <v>0</v>
      </c>
      <c r="AC842" s="170">
        <f t="shared" si="5"/>
        <v>0</v>
      </c>
      <c r="AD842" s="170">
        <f t="shared" si="6"/>
        <v>0</v>
      </c>
      <c r="AE842" s="170"/>
      <c r="AF842" s="225">
        <f t="shared" si="8"/>
        <v>0</v>
      </c>
    </row>
    <row r="843" ht="12.75" customHeight="1">
      <c r="V843" s="30">
        <f t="shared" si="1"/>
        <v>0</v>
      </c>
      <c r="Y843" s="30"/>
      <c r="Z843" s="224">
        <f t="shared" si="2"/>
        <v>0</v>
      </c>
      <c r="AA843" s="223">
        <f t="shared" si="3"/>
        <v>0</v>
      </c>
      <c r="AB843" s="170">
        <f t="shared" si="4"/>
        <v>0</v>
      </c>
      <c r="AC843" s="170">
        <f t="shared" si="5"/>
        <v>0</v>
      </c>
      <c r="AD843" s="170">
        <f t="shared" si="6"/>
        <v>0</v>
      </c>
      <c r="AE843" s="170"/>
      <c r="AF843" s="225">
        <f t="shared" si="8"/>
        <v>0</v>
      </c>
    </row>
    <row r="844" ht="12.75" customHeight="1">
      <c r="V844" s="30">
        <f t="shared" si="1"/>
        <v>0</v>
      </c>
      <c r="Y844" s="30"/>
      <c r="Z844" s="224">
        <f t="shared" si="2"/>
        <v>0</v>
      </c>
      <c r="AA844" s="223">
        <f t="shared" si="3"/>
        <v>0</v>
      </c>
      <c r="AB844" s="170">
        <f t="shared" si="4"/>
        <v>0</v>
      </c>
      <c r="AC844" s="170">
        <f t="shared" si="5"/>
        <v>0</v>
      </c>
      <c r="AD844" s="170">
        <f t="shared" si="6"/>
        <v>0</v>
      </c>
      <c r="AE844" s="170"/>
      <c r="AF844" s="225">
        <f t="shared" si="8"/>
        <v>0</v>
      </c>
    </row>
    <row r="845" ht="12.75" customHeight="1">
      <c r="V845" s="30">
        <f t="shared" si="1"/>
        <v>0</v>
      </c>
      <c r="Y845" s="30"/>
      <c r="Z845" s="224">
        <f t="shared" si="2"/>
        <v>0</v>
      </c>
      <c r="AA845" s="223">
        <f t="shared" si="3"/>
        <v>0</v>
      </c>
      <c r="AB845" s="170">
        <f t="shared" si="4"/>
        <v>0</v>
      </c>
      <c r="AC845" s="170">
        <f t="shared" si="5"/>
        <v>0</v>
      </c>
      <c r="AD845" s="170">
        <f t="shared" si="6"/>
        <v>0</v>
      </c>
      <c r="AE845" s="170"/>
      <c r="AF845" s="225">
        <f t="shared" si="8"/>
        <v>0</v>
      </c>
    </row>
    <row r="846" ht="12.75" customHeight="1">
      <c r="V846" s="30">
        <f t="shared" si="1"/>
        <v>0</v>
      </c>
      <c r="Y846" s="30"/>
      <c r="Z846" s="224">
        <f t="shared" si="2"/>
        <v>0</v>
      </c>
      <c r="AA846" s="223">
        <f t="shared" si="3"/>
        <v>0</v>
      </c>
      <c r="AB846" s="170">
        <f t="shared" si="4"/>
        <v>0</v>
      </c>
      <c r="AC846" s="170">
        <f t="shared" si="5"/>
        <v>0</v>
      </c>
      <c r="AD846" s="170">
        <f t="shared" si="6"/>
        <v>0</v>
      </c>
      <c r="AE846" s="170"/>
      <c r="AF846" s="225">
        <f t="shared" si="8"/>
        <v>0</v>
      </c>
    </row>
    <row r="847" ht="12.75" customHeight="1">
      <c r="V847" s="30">
        <f t="shared" si="1"/>
        <v>0</v>
      </c>
      <c r="Y847" s="30"/>
      <c r="Z847" s="224">
        <f t="shared" si="2"/>
        <v>0</v>
      </c>
      <c r="AA847" s="223">
        <f t="shared" si="3"/>
        <v>0</v>
      </c>
      <c r="AB847" s="170">
        <f t="shared" si="4"/>
        <v>0</v>
      </c>
      <c r="AC847" s="170">
        <f t="shared" si="5"/>
        <v>0</v>
      </c>
      <c r="AD847" s="170">
        <f t="shared" si="6"/>
        <v>0</v>
      </c>
      <c r="AE847" s="170"/>
      <c r="AF847" s="225">
        <f t="shared" si="8"/>
        <v>0</v>
      </c>
    </row>
    <row r="848" ht="12.75" customHeight="1">
      <c r="V848" s="30">
        <f t="shared" si="1"/>
        <v>0</v>
      </c>
      <c r="Y848" s="30"/>
      <c r="Z848" s="224">
        <f t="shared" si="2"/>
        <v>0</v>
      </c>
      <c r="AA848" s="223">
        <f t="shared" si="3"/>
        <v>0</v>
      </c>
      <c r="AB848" s="170">
        <f t="shared" si="4"/>
        <v>0</v>
      </c>
      <c r="AC848" s="170">
        <f t="shared" si="5"/>
        <v>0</v>
      </c>
      <c r="AD848" s="170">
        <f t="shared" si="6"/>
        <v>0</v>
      </c>
      <c r="AE848" s="170"/>
      <c r="AF848" s="225">
        <f t="shared" si="8"/>
        <v>0</v>
      </c>
    </row>
    <row r="849" ht="12.75" customHeight="1">
      <c r="V849" s="30">
        <f t="shared" si="1"/>
        <v>0</v>
      </c>
      <c r="Y849" s="30"/>
      <c r="Z849" s="224">
        <f t="shared" si="2"/>
        <v>0</v>
      </c>
      <c r="AA849" s="223">
        <f t="shared" si="3"/>
        <v>0</v>
      </c>
      <c r="AB849" s="170">
        <f t="shared" si="4"/>
        <v>0</v>
      </c>
      <c r="AC849" s="170">
        <f t="shared" si="5"/>
        <v>0</v>
      </c>
      <c r="AD849" s="170">
        <f t="shared" si="6"/>
        <v>0</v>
      </c>
      <c r="AE849" s="170"/>
      <c r="AF849" s="225">
        <f t="shared" si="8"/>
        <v>0</v>
      </c>
    </row>
    <row r="850" ht="12.75" customHeight="1">
      <c r="V850" s="30">
        <f t="shared" si="1"/>
        <v>0</v>
      </c>
      <c r="Y850" s="30"/>
      <c r="Z850" s="224">
        <f t="shared" si="2"/>
        <v>0</v>
      </c>
      <c r="AA850" s="223">
        <f t="shared" si="3"/>
        <v>0</v>
      </c>
      <c r="AB850" s="170">
        <f t="shared" si="4"/>
        <v>0</v>
      </c>
      <c r="AC850" s="170">
        <f t="shared" si="5"/>
        <v>0</v>
      </c>
      <c r="AD850" s="170">
        <f t="shared" si="6"/>
        <v>0</v>
      </c>
      <c r="AE850" s="170"/>
      <c r="AF850" s="225">
        <f t="shared" si="8"/>
        <v>0</v>
      </c>
    </row>
    <row r="851" ht="12.75" customHeight="1">
      <c r="V851" s="30">
        <f t="shared" si="1"/>
        <v>0</v>
      </c>
      <c r="Y851" s="30"/>
      <c r="Z851" s="224">
        <f t="shared" si="2"/>
        <v>0</v>
      </c>
      <c r="AA851" s="223">
        <f t="shared" si="3"/>
        <v>0</v>
      </c>
      <c r="AB851" s="170">
        <f t="shared" si="4"/>
        <v>0</v>
      </c>
      <c r="AC851" s="170">
        <f t="shared" si="5"/>
        <v>0</v>
      </c>
      <c r="AD851" s="170">
        <f t="shared" si="6"/>
        <v>0</v>
      </c>
      <c r="AE851" s="170"/>
      <c r="AF851" s="225">
        <f t="shared" si="8"/>
        <v>0</v>
      </c>
    </row>
    <row r="852" ht="12.75" customHeight="1">
      <c r="V852" s="30">
        <f t="shared" si="1"/>
        <v>0</v>
      </c>
      <c r="Y852" s="30"/>
      <c r="Z852" s="224">
        <f t="shared" si="2"/>
        <v>0</v>
      </c>
      <c r="AA852" s="223">
        <f t="shared" si="3"/>
        <v>0</v>
      </c>
      <c r="AB852" s="170">
        <f t="shared" si="4"/>
        <v>0</v>
      </c>
      <c r="AC852" s="170">
        <f t="shared" si="5"/>
        <v>0</v>
      </c>
      <c r="AD852" s="170">
        <f t="shared" si="6"/>
        <v>0</v>
      </c>
      <c r="AE852" s="170"/>
      <c r="AF852" s="225">
        <f t="shared" si="8"/>
        <v>0</v>
      </c>
    </row>
    <row r="853" ht="12.75" customHeight="1">
      <c r="V853" s="30">
        <f t="shared" si="1"/>
        <v>0</v>
      </c>
      <c r="Y853" s="30"/>
      <c r="Z853" s="224">
        <f t="shared" si="2"/>
        <v>0</v>
      </c>
      <c r="AA853" s="223">
        <f t="shared" si="3"/>
        <v>0</v>
      </c>
      <c r="AB853" s="170">
        <f t="shared" si="4"/>
        <v>0</v>
      </c>
      <c r="AC853" s="170">
        <f t="shared" si="5"/>
        <v>0</v>
      </c>
      <c r="AD853" s="170">
        <f t="shared" si="6"/>
        <v>0</v>
      </c>
      <c r="AE853" s="170"/>
      <c r="AF853" s="225">
        <f t="shared" si="8"/>
        <v>0</v>
      </c>
    </row>
    <row r="854" ht="12.75" customHeight="1">
      <c r="V854" s="30">
        <f t="shared" si="1"/>
        <v>0</v>
      </c>
      <c r="Y854" s="30"/>
      <c r="Z854" s="224">
        <f t="shared" si="2"/>
        <v>0</v>
      </c>
      <c r="AA854" s="223">
        <f t="shared" si="3"/>
        <v>0</v>
      </c>
      <c r="AB854" s="170">
        <f t="shared" si="4"/>
        <v>0</v>
      </c>
      <c r="AC854" s="170">
        <f t="shared" si="5"/>
        <v>0</v>
      </c>
      <c r="AD854" s="170">
        <f t="shared" si="6"/>
        <v>0</v>
      </c>
      <c r="AE854" s="170"/>
      <c r="AF854" s="225">
        <f t="shared" si="8"/>
        <v>0</v>
      </c>
    </row>
    <row r="855" ht="12.75" customHeight="1">
      <c r="V855" s="30">
        <f t="shared" si="1"/>
        <v>0</v>
      </c>
      <c r="Y855" s="30"/>
      <c r="Z855" s="224">
        <f t="shared" si="2"/>
        <v>0</v>
      </c>
      <c r="AA855" s="223">
        <f t="shared" si="3"/>
        <v>0</v>
      </c>
      <c r="AB855" s="170">
        <f t="shared" si="4"/>
        <v>0</v>
      </c>
      <c r="AC855" s="170">
        <f t="shared" si="5"/>
        <v>0</v>
      </c>
      <c r="AD855" s="170">
        <f t="shared" si="6"/>
        <v>0</v>
      </c>
      <c r="AE855" s="170"/>
      <c r="AF855" s="225">
        <f t="shared" si="8"/>
        <v>0</v>
      </c>
    </row>
    <row r="856" ht="12.75" customHeight="1">
      <c r="V856" s="30">
        <f t="shared" si="1"/>
        <v>0</v>
      </c>
      <c r="Y856" s="30"/>
      <c r="Z856" s="224">
        <f t="shared" si="2"/>
        <v>0</v>
      </c>
      <c r="AA856" s="223">
        <f t="shared" si="3"/>
        <v>0</v>
      </c>
      <c r="AB856" s="170">
        <f t="shared" si="4"/>
        <v>0</v>
      </c>
      <c r="AC856" s="170">
        <f t="shared" si="5"/>
        <v>0</v>
      </c>
      <c r="AD856" s="170">
        <f t="shared" si="6"/>
        <v>0</v>
      </c>
      <c r="AE856" s="170"/>
      <c r="AF856" s="225">
        <f t="shared" si="8"/>
        <v>0</v>
      </c>
    </row>
    <row r="857" ht="12.75" customHeight="1">
      <c r="V857" s="30">
        <f t="shared" si="1"/>
        <v>0</v>
      </c>
      <c r="Y857" s="30"/>
      <c r="Z857" s="224">
        <f t="shared" si="2"/>
        <v>0</v>
      </c>
      <c r="AA857" s="223">
        <f t="shared" si="3"/>
        <v>0</v>
      </c>
      <c r="AB857" s="170">
        <f t="shared" si="4"/>
        <v>0</v>
      </c>
      <c r="AC857" s="170">
        <f t="shared" si="5"/>
        <v>0</v>
      </c>
      <c r="AD857" s="170">
        <f t="shared" si="6"/>
        <v>0</v>
      </c>
      <c r="AE857" s="170"/>
      <c r="AF857" s="225">
        <f t="shared" si="8"/>
        <v>0</v>
      </c>
    </row>
    <row r="858" ht="12.75" customHeight="1">
      <c r="V858" s="30">
        <f t="shared" si="1"/>
        <v>0</v>
      </c>
      <c r="Y858" s="30"/>
      <c r="Z858" s="224">
        <f t="shared" si="2"/>
        <v>0</v>
      </c>
      <c r="AA858" s="223">
        <f t="shared" si="3"/>
        <v>0</v>
      </c>
      <c r="AB858" s="170">
        <f t="shared" si="4"/>
        <v>0</v>
      </c>
      <c r="AC858" s="170">
        <f t="shared" si="5"/>
        <v>0</v>
      </c>
      <c r="AD858" s="170">
        <f t="shared" si="6"/>
        <v>0</v>
      </c>
      <c r="AE858" s="170"/>
      <c r="AF858" s="225">
        <f t="shared" si="8"/>
        <v>0</v>
      </c>
    </row>
    <row r="859" ht="12.75" customHeight="1">
      <c r="V859" s="30">
        <f t="shared" si="1"/>
        <v>0</v>
      </c>
      <c r="Y859" s="30"/>
      <c r="Z859" s="224">
        <f t="shared" si="2"/>
        <v>0</v>
      </c>
      <c r="AA859" s="223">
        <f t="shared" si="3"/>
        <v>0</v>
      </c>
      <c r="AB859" s="170">
        <f t="shared" si="4"/>
        <v>0</v>
      </c>
      <c r="AC859" s="170">
        <f t="shared" si="5"/>
        <v>0</v>
      </c>
      <c r="AD859" s="170">
        <f t="shared" si="6"/>
        <v>0</v>
      </c>
      <c r="AE859" s="170"/>
      <c r="AF859" s="225">
        <f t="shared" si="8"/>
        <v>0</v>
      </c>
    </row>
    <row r="860" ht="12.75" customHeight="1">
      <c r="V860" s="30">
        <f t="shared" si="1"/>
        <v>0</v>
      </c>
      <c r="Y860" s="30"/>
      <c r="Z860" s="224">
        <f t="shared" si="2"/>
        <v>0</v>
      </c>
      <c r="AA860" s="223">
        <f t="shared" si="3"/>
        <v>0</v>
      </c>
      <c r="AB860" s="170">
        <f t="shared" si="4"/>
        <v>0</v>
      </c>
      <c r="AC860" s="170">
        <f t="shared" si="5"/>
        <v>0</v>
      </c>
      <c r="AD860" s="170">
        <f t="shared" si="6"/>
        <v>0</v>
      </c>
      <c r="AE860" s="170"/>
      <c r="AF860" s="225">
        <f t="shared" si="8"/>
        <v>0</v>
      </c>
    </row>
    <row r="861" ht="12.75" customHeight="1">
      <c r="V861" s="30">
        <f t="shared" si="1"/>
        <v>0</v>
      </c>
      <c r="Y861" s="30"/>
      <c r="Z861" s="224">
        <f t="shared" si="2"/>
        <v>0</v>
      </c>
      <c r="AA861" s="223">
        <f t="shared" si="3"/>
        <v>0</v>
      </c>
      <c r="AB861" s="170">
        <f t="shared" si="4"/>
        <v>0</v>
      </c>
      <c r="AC861" s="170">
        <f t="shared" si="5"/>
        <v>0</v>
      </c>
      <c r="AD861" s="170">
        <f t="shared" si="6"/>
        <v>0</v>
      </c>
      <c r="AE861" s="170"/>
      <c r="AF861" s="225">
        <f t="shared" si="8"/>
        <v>0</v>
      </c>
    </row>
    <row r="862" ht="12.75" customHeight="1">
      <c r="V862" s="30">
        <f t="shared" si="1"/>
        <v>0</v>
      </c>
      <c r="Y862" s="30"/>
      <c r="Z862" s="224">
        <f t="shared" si="2"/>
        <v>0</v>
      </c>
      <c r="AA862" s="223">
        <f t="shared" si="3"/>
        <v>0</v>
      </c>
      <c r="AB862" s="170">
        <f t="shared" si="4"/>
        <v>0</v>
      </c>
      <c r="AC862" s="170">
        <f t="shared" si="5"/>
        <v>0</v>
      </c>
      <c r="AD862" s="170">
        <f t="shared" si="6"/>
        <v>0</v>
      </c>
      <c r="AE862" s="170"/>
      <c r="AF862" s="225">
        <f t="shared" si="8"/>
        <v>0</v>
      </c>
    </row>
    <row r="863" ht="12.75" customHeight="1">
      <c r="V863" s="30">
        <f t="shared" si="1"/>
        <v>0</v>
      </c>
      <c r="Y863" s="30"/>
      <c r="Z863" s="224">
        <f t="shared" si="2"/>
        <v>0</v>
      </c>
      <c r="AA863" s="223">
        <f t="shared" si="3"/>
        <v>0</v>
      </c>
      <c r="AB863" s="170">
        <f t="shared" si="4"/>
        <v>0</v>
      </c>
      <c r="AC863" s="170">
        <f t="shared" si="5"/>
        <v>0</v>
      </c>
      <c r="AD863" s="170">
        <f t="shared" si="6"/>
        <v>0</v>
      </c>
      <c r="AE863" s="170"/>
      <c r="AF863" s="225">
        <f t="shared" si="8"/>
        <v>0</v>
      </c>
    </row>
    <row r="864" ht="12.75" customHeight="1">
      <c r="V864" s="30">
        <f t="shared" si="1"/>
        <v>0</v>
      </c>
      <c r="Y864" s="30"/>
      <c r="Z864" s="224">
        <f t="shared" si="2"/>
        <v>0</v>
      </c>
      <c r="AA864" s="223">
        <f t="shared" si="3"/>
        <v>0</v>
      </c>
      <c r="AB864" s="170">
        <f t="shared" si="4"/>
        <v>0</v>
      </c>
      <c r="AC864" s="170">
        <f t="shared" si="5"/>
        <v>0</v>
      </c>
      <c r="AD864" s="170">
        <f t="shared" si="6"/>
        <v>0</v>
      </c>
      <c r="AE864" s="170"/>
      <c r="AF864" s="225">
        <f t="shared" si="8"/>
        <v>0</v>
      </c>
    </row>
    <row r="865" ht="12.75" customHeight="1">
      <c r="V865" s="30">
        <f t="shared" si="1"/>
        <v>0</v>
      </c>
      <c r="Y865" s="30"/>
      <c r="Z865" s="224">
        <f t="shared" si="2"/>
        <v>0</v>
      </c>
      <c r="AA865" s="223">
        <f t="shared" si="3"/>
        <v>0</v>
      </c>
      <c r="AB865" s="170">
        <f t="shared" si="4"/>
        <v>0</v>
      </c>
      <c r="AC865" s="170">
        <f t="shared" si="5"/>
        <v>0</v>
      </c>
      <c r="AD865" s="170">
        <f t="shared" si="6"/>
        <v>0</v>
      </c>
      <c r="AE865" s="170"/>
      <c r="AF865" s="225">
        <f t="shared" si="8"/>
        <v>0</v>
      </c>
    </row>
    <row r="866" ht="12.75" customHeight="1">
      <c r="V866" s="30">
        <f t="shared" si="1"/>
        <v>0</v>
      </c>
      <c r="Y866" s="30"/>
      <c r="Z866" s="224">
        <f t="shared" si="2"/>
        <v>0</v>
      </c>
      <c r="AA866" s="223">
        <f t="shared" si="3"/>
        <v>0</v>
      </c>
      <c r="AB866" s="170">
        <f t="shared" si="4"/>
        <v>0</v>
      </c>
      <c r="AC866" s="170">
        <f t="shared" si="5"/>
        <v>0</v>
      </c>
      <c r="AD866" s="170">
        <f t="shared" si="6"/>
        <v>0</v>
      </c>
      <c r="AE866" s="170"/>
      <c r="AF866" s="225">
        <f t="shared" si="8"/>
        <v>0</v>
      </c>
    </row>
    <row r="867" ht="12.75" customHeight="1">
      <c r="V867" s="30">
        <f t="shared" si="1"/>
        <v>0</v>
      </c>
      <c r="Y867" s="30"/>
      <c r="Z867" s="224">
        <f t="shared" si="2"/>
        <v>0</v>
      </c>
      <c r="AA867" s="223">
        <f t="shared" si="3"/>
        <v>0</v>
      </c>
      <c r="AB867" s="170">
        <f t="shared" si="4"/>
        <v>0</v>
      </c>
      <c r="AC867" s="170">
        <f t="shared" si="5"/>
        <v>0</v>
      </c>
      <c r="AD867" s="170">
        <f t="shared" si="6"/>
        <v>0</v>
      </c>
      <c r="AE867" s="170"/>
      <c r="AF867" s="225">
        <f t="shared" si="8"/>
        <v>0</v>
      </c>
    </row>
    <row r="868" ht="12.75" customHeight="1">
      <c r="V868" s="30">
        <f t="shared" si="1"/>
        <v>0</v>
      </c>
      <c r="Y868" s="30"/>
      <c r="Z868" s="224">
        <f t="shared" si="2"/>
        <v>0</v>
      </c>
      <c r="AA868" s="223">
        <f t="shared" si="3"/>
        <v>0</v>
      </c>
      <c r="AB868" s="170">
        <f t="shared" si="4"/>
        <v>0</v>
      </c>
      <c r="AC868" s="170">
        <f t="shared" si="5"/>
        <v>0</v>
      </c>
      <c r="AD868" s="170">
        <f t="shared" si="6"/>
        <v>0</v>
      </c>
      <c r="AE868" s="170"/>
      <c r="AF868" s="225">
        <f t="shared" si="8"/>
        <v>0</v>
      </c>
    </row>
    <row r="869" ht="12.75" customHeight="1">
      <c r="V869" s="30">
        <f t="shared" si="1"/>
        <v>0</v>
      </c>
      <c r="Y869" s="30"/>
      <c r="Z869" s="224">
        <f t="shared" si="2"/>
        <v>0</v>
      </c>
      <c r="AA869" s="223">
        <f t="shared" si="3"/>
        <v>0</v>
      </c>
      <c r="AB869" s="170">
        <f t="shared" si="4"/>
        <v>0</v>
      </c>
      <c r="AC869" s="170">
        <f t="shared" si="5"/>
        <v>0</v>
      </c>
      <c r="AD869" s="170">
        <f t="shared" si="6"/>
        <v>0</v>
      </c>
      <c r="AE869" s="170"/>
      <c r="AF869" s="225">
        <f t="shared" si="8"/>
        <v>0</v>
      </c>
    </row>
    <row r="870" ht="12.75" customHeight="1">
      <c r="V870" s="30">
        <f t="shared" si="1"/>
        <v>0</v>
      </c>
      <c r="Y870" s="30"/>
      <c r="Z870" s="224">
        <f t="shared" si="2"/>
        <v>0</v>
      </c>
      <c r="AA870" s="223">
        <f t="shared" si="3"/>
        <v>0</v>
      </c>
      <c r="AB870" s="170">
        <f t="shared" si="4"/>
        <v>0</v>
      </c>
      <c r="AC870" s="170">
        <f t="shared" si="5"/>
        <v>0</v>
      </c>
      <c r="AD870" s="170">
        <f t="shared" si="6"/>
        <v>0</v>
      </c>
      <c r="AE870" s="170"/>
      <c r="AF870" s="225">
        <f t="shared" si="8"/>
        <v>0</v>
      </c>
    </row>
    <row r="871" ht="12.75" customHeight="1">
      <c r="V871" s="30">
        <f t="shared" si="1"/>
        <v>0</v>
      </c>
      <c r="Y871" s="30"/>
      <c r="Z871" s="224">
        <f t="shared" si="2"/>
        <v>0</v>
      </c>
      <c r="AA871" s="223">
        <f t="shared" si="3"/>
        <v>0</v>
      </c>
      <c r="AB871" s="170">
        <f t="shared" si="4"/>
        <v>0</v>
      </c>
      <c r="AC871" s="170">
        <f t="shared" si="5"/>
        <v>0</v>
      </c>
      <c r="AD871" s="170">
        <f t="shared" si="6"/>
        <v>0</v>
      </c>
      <c r="AE871" s="170"/>
      <c r="AF871" s="225">
        <f t="shared" si="8"/>
        <v>0</v>
      </c>
    </row>
    <row r="872" ht="12.75" customHeight="1">
      <c r="V872" s="30">
        <f t="shared" si="1"/>
        <v>0</v>
      </c>
      <c r="Y872" s="30"/>
      <c r="Z872" s="224">
        <f t="shared" si="2"/>
        <v>0</v>
      </c>
      <c r="AA872" s="223">
        <f t="shared" si="3"/>
        <v>0</v>
      </c>
      <c r="AB872" s="170">
        <f t="shared" si="4"/>
        <v>0</v>
      </c>
      <c r="AC872" s="170">
        <f t="shared" si="5"/>
        <v>0</v>
      </c>
      <c r="AD872" s="170">
        <f t="shared" si="6"/>
        <v>0</v>
      </c>
      <c r="AE872" s="170"/>
      <c r="AF872" s="225">
        <f t="shared" si="8"/>
        <v>0</v>
      </c>
    </row>
    <row r="873" ht="12.75" customHeight="1">
      <c r="V873" s="30">
        <f t="shared" si="1"/>
        <v>0</v>
      </c>
      <c r="Y873" s="30"/>
      <c r="Z873" s="224">
        <f t="shared" si="2"/>
        <v>0</v>
      </c>
      <c r="AA873" s="223">
        <f t="shared" si="3"/>
        <v>0</v>
      </c>
      <c r="AB873" s="170">
        <f t="shared" si="4"/>
        <v>0</v>
      </c>
      <c r="AC873" s="170">
        <f t="shared" si="5"/>
        <v>0</v>
      </c>
      <c r="AD873" s="170">
        <f t="shared" si="6"/>
        <v>0</v>
      </c>
      <c r="AE873" s="170"/>
      <c r="AF873" s="225">
        <f t="shared" si="8"/>
        <v>0</v>
      </c>
    </row>
    <row r="874" ht="12.75" customHeight="1">
      <c r="V874" s="30">
        <f t="shared" si="1"/>
        <v>0</v>
      </c>
      <c r="Y874" s="30"/>
      <c r="Z874" s="224">
        <f t="shared" si="2"/>
        <v>0</v>
      </c>
      <c r="AA874" s="223">
        <f t="shared" si="3"/>
        <v>0</v>
      </c>
      <c r="AB874" s="170">
        <f t="shared" si="4"/>
        <v>0</v>
      </c>
      <c r="AC874" s="170">
        <f t="shared" si="5"/>
        <v>0</v>
      </c>
      <c r="AD874" s="170">
        <f t="shared" si="6"/>
        <v>0</v>
      </c>
      <c r="AE874" s="170"/>
      <c r="AF874" s="225">
        <f t="shared" si="8"/>
        <v>0</v>
      </c>
    </row>
    <row r="875" ht="12.75" customHeight="1">
      <c r="V875" s="30">
        <f t="shared" si="1"/>
        <v>0</v>
      </c>
      <c r="Y875" s="30"/>
      <c r="Z875" s="224">
        <f t="shared" si="2"/>
        <v>0</v>
      </c>
      <c r="AA875" s="223">
        <f t="shared" si="3"/>
        <v>0</v>
      </c>
      <c r="AB875" s="170">
        <f t="shared" si="4"/>
        <v>0</v>
      </c>
      <c r="AC875" s="170">
        <f t="shared" si="5"/>
        <v>0</v>
      </c>
      <c r="AD875" s="170">
        <f t="shared" si="6"/>
        <v>0</v>
      </c>
      <c r="AE875" s="170"/>
      <c r="AF875" s="225">
        <f t="shared" si="8"/>
        <v>0</v>
      </c>
    </row>
    <row r="876" ht="12.75" customHeight="1">
      <c r="V876" s="30">
        <f t="shared" si="1"/>
        <v>0</v>
      </c>
      <c r="Y876" s="30"/>
      <c r="Z876" s="224">
        <f t="shared" si="2"/>
        <v>0</v>
      </c>
      <c r="AA876" s="223">
        <f t="shared" si="3"/>
        <v>0</v>
      </c>
      <c r="AB876" s="170">
        <f t="shared" si="4"/>
        <v>0</v>
      </c>
      <c r="AC876" s="170">
        <f t="shared" si="5"/>
        <v>0</v>
      </c>
      <c r="AD876" s="170">
        <f t="shared" si="6"/>
        <v>0</v>
      </c>
      <c r="AE876" s="170"/>
      <c r="AF876" s="225">
        <f t="shared" si="8"/>
        <v>0</v>
      </c>
    </row>
    <row r="877" ht="12.75" customHeight="1">
      <c r="V877" s="30">
        <f t="shared" si="1"/>
        <v>0</v>
      </c>
      <c r="Y877" s="30"/>
      <c r="Z877" s="224">
        <f t="shared" si="2"/>
        <v>0</v>
      </c>
      <c r="AA877" s="223">
        <f t="shared" si="3"/>
        <v>0</v>
      </c>
      <c r="AB877" s="170">
        <f t="shared" si="4"/>
        <v>0</v>
      </c>
      <c r="AC877" s="170">
        <f t="shared" si="5"/>
        <v>0</v>
      </c>
      <c r="AD877" s="170">
        <f t="shared" si="6"/>
        <v>0</v>
      </c>
      <c r="AE877" s="170"/>
      <c r="AF877" s="225">
        <f t="shared" si="8"/>
        <v>0</v>
      </c>
    </row>
    <row r="878" ht="12.75" customHeight="1">
      <c r="V878" s="30">
        <f t="shared" si="1"/>
        <v>0</v>
      </c>
      <c r="Y878" s="30"/>
      <c r="Z878" s="224">
        <f t="shared" si="2"/>
        <v>0</v>
      </c>
      <c r="AA878" s="223">
        <f t="shared" si="3"/>
        <v>0</v>
      </c>
      <c r="AB878" s="170">
        <f t="shared" si="4"/>
        <v>0</v>
      </c>
      <c r="AC878" s="170">
        <f t="shared" si="5"/>
        <v>0</v>
      </c>
      <c r="AD878" s="170">
        <f t="shared" si="6"/>
        <v>0</v>
      </c>
      <c r="AE878" s="170"/>
      <c r="AF878" s="225">
        <f t="shared" si="8"/>
        <v>0</v>
      </c>
    </row>
    <row r="879" ht="12.75" customHeight="1">
      <c r="V879" s="30">
        <f t="shared" si="1"/>
        <v>0</v>
      </c>
      <c r="Y879" s="30"/>
      <c r="Z879" s="224">
        <f t="shared" si="2"/>
        <v>0</v>
      </c>
      <c r="AA879" s="223">
        <f t="shared" si="3"/>
        <v>0</v>
      </c>
      <c r="AB879" s="170">
        <f t="shared" si="4"/>
        <v>0</v>
      </c>
      <c r="AC879" s="170">
        <f t="shared" si="5"/>
        <v>0</v>
      </c>
      <c r="AD879" s="170">
        <f t="shared" si="6"/>
        <v>0</v>
      </c>
      <c r="AE879" s="170"/>
      <c r="AF879" s="225">
        <f t="shared" si="8"/>
        <v>0</v>
      </c>
    </row>
    <row r="880" ht="12.75" customHeight="1">
      <c r="V880" s="30">
        <f t="shared" si="1"/>
        <v>0</v>
      </c>
      <c r="Y880" s="30"/>
      <c r="Z880" s="224">
        <f t="shared" si="2"/>
        <v>0</v>
      </c>
      <c r="AA880" s="223">
        <f t="shared" si="3"/>
        <v>0</v>
      </c>
      <c r="AB880" s="170">
        <f t="shared" si="4"/>
        <v>0</v>
      </c>
      <c r="AC880" s="170">
        <f t="shared" si="5"/>
        <v>0</v>
      </c>
      <c r="AD880" s="170">
        <f t="shared" si="6"/>
        <v>0</v>
      </c>
      <c r="AE880" s="170"/>
      <c r="AF880" s="225">
        <f t="shared" si="8"/>
        <v>0</v>
      </c>
    </row>
    <row r="881" ht="12.75" customHeight="1">
      <c r="V881" s="30">
        <f t="shared" si="1"/>
        <v>0</v>
      </c>
      <c r="Y881" s="30"/>
      <c r="Z881" s="224">
        <f t="shared" si="2"/>
        <v>0</v>
      </c>
      <c r="AA881" s="223">
        <f t="shared" si="3"/>
        <v>0</v>
      </c>
      <c r="AB881" s="170">
        <f t="shared" si="4"/>
        <v>0</v>
      </c>
      <c r="AC881" s="170">
        <f t="shared" si="5"/>
        <v>0</v>
      </c>
      <c r="AD881" s="170">
        <f t="shared" si="6"/>
        <v>0</v>
      </c>
      <c r="AE881" s="170"/>
      <c r="AF881" s="225">
        <f t="shared" si="8"/>
        <v>0</v>
      </c>
    </row>
    <row r="882" ht="12.75" customHeight="1">
      <c r="V882" s="30">
        <f t="shared" si="1"/>
        <v>0</v>
      </c>
      <c r="Y882" s="30"/>
      <c r="Z882" s="224">
        <f t="shared" si="2"/>
        <v>0</v>
      </c>
      <c r="AA882" s="223">
        <f t="shared" si="3"/>
        <v>0</v>
      </c>
      <c r="AB882" s="170">
        <f t="shared" si="4"/>
        <v>0</v>
      </c>
      <c r="AC882" s="170">
        <f t="shared" si="5"/>
        <v>0</v>
      </c>
      <c r="AD882" s="170">
        <f t="shared" si="6"/>
        <v>0</v>
      </c>
      <c r="AE882" s="170"/>
      <c r="AF882" s="225">
        <f t="shared" si="8"/>
        <v>0</v>
      </c>
    </row>
    <row r="883" ht="12.75" customHeight="1">
      <c r="V883" s="30">
        <f t="shared" si="1"/>
        <v>0</v>
      </c>
      <c r="Y883" s="30"/>
      <c r="Z883" s="224">
        <f t="shared" si="2"/>
        <v>0</v>
      </c>
      <c r="AA883" s="223">
        <f t="shared" si="3"/>
        <v>0</v>
      </c>
      <c r="AB883" s="170">
        <f t="shared" si="4"/>
        <v>0</v>
      </c>
      <c r="AC883" s="170">
        <f t="shared" si="5"/>
        <v>0</v>
      </c>
      <c r="AD883" s="170">
        <f t="shared" si="6"/>
        <v>0</v>
      </c>
      <c r="AE883" s="170"/>
      <c r="AF883" s="225">
        <f t="shared" si="8"/>
        <v>0</v>
      </c>
    </row>
    <row r="884" ht="12.75" customHeight="1">
      <c r="V884" s="30">
        <f t="shared" si="1"/>
        <v>0</v>
      </c>
      <c r="Y884" s="30"/>
      <c r="Z884" s="224">
        <f t="shared" si="2"/>
        <v>0</v>
      </c>
      <c r="AA884" s="223">
        <f t="shared" si="3"/>
        <v>0</v>
      </c>
      <c r="AB884" s="170">
        <f t="shared" si="4"/>
        <v>0</v>
      </c>
      <c r="AC884" s="170">
        <f t="shared" si="5"/>
        <v>0</v>
      </c>
      <c r="AD884" s="170">
        <f t="shared" si="6"/>
        <v>0</v>
      </c>
      <c r="AE884" s="170"/>
      <c r="AF884" s="225">
        <f t="shared" si="8"/>
        <v>0</v>
      </c>
    </row>
    <row r="885" ht="12.75" customHeight="1">
      <c r="V885" s="30">
        <f t="shared" si="1"/>
        <v>0</v>
      </c>
      <c r="Y885" s="30"/>
      <c r="Z885" s="224">
        <f t="shared" si="2"/>
        <v>0</v>
      </c>
      <c r="AA885" s="223">
        <f t="shared" si="3"/>
        <v>0</v>
      </c>
      <c r="AB885" s="170">
        <f t="shared" si="4"/>
        <v>0</v>
      </c>
      <c r="AC885" s="170">
        <f t="shared" si="5"/>
        <v>0</v>
      </c>
      <c r="AD885" s="170">
        <f t="shared" si="6"/>
        <v>0</v>
      </c>
      <c r="AE885" s="170"/>
      <c r="AF885" s="225">
        <f t="shared" si="8"/>
        <v>0</v>
      </c>
    </row>
    <row r="886" ht="12.75" customHeight="1">
      <c r="V886" s="30">
        <f t="shared" si="1"/>
        <v>0</v>
      </c>
      <c r="Y886" s="30"/>
      <c r="Z886" s="224">
        <f t="shared" si="2"/>
        <v>0</v>
      </c>
      <c r="AA886" s="223">
        <f t="shared" si="3"/>
        <v>0</v>
      </c>
      <c r="AB886" s="170">
        <f t="shared" si="4"/>
        <v>0</v>
      </c>
      <c r="AC886" s="170">
        <f t="shared" si="5"/>
        <v>0</v>
      </c>
      <c r="AD886" s="170">
        <f t="shared" si="6"/>
        <v>0</v>
      </c>
      <c r="AE886" s="170"/>
      <c r="AF886" s="225">
        <f t="shared" si="8"/>
        <v>0</v>
      </c>
    </row>
    <row r="887" ht="12.75" customHeight="1">
      <c r="V887" s="30">
        <f t="shared" si="1"/>
        <v>0</v>
      </c>
      <c r="Y887" s="30"/>
      <c r="Z887" s="224">
        <f t="shared" si="2"/>
        <v>0</v>
      </c>
      <c r="AA887" s="223">
        <f t="shared" si="3"/>
        <v>0</v>
      </c>
      <c r="AB887" s="170">
        <f t="shared" si="4"/>
        <v>0</v>
      </c>
      <c r="AC887" s="170">
        <f t="shared" si="5"/>
        <v>0</v>
      </c>
      <c r="AD887" s="170">
        <f t="shared" si="6"/>
        <v>0</v>
      </c>
      <c r="AE887" s="170"/>
      <c r="AF887" s="225">
        <f t="shared" si="8"/>
        <v>0</v>
      </c>
    </row>
    <row r="888" ht="12.75" customHeight="1">
      <c r="V888" s="30">
        <f t="shared" si="1"/>
        <v>0</v>
      </c>
      <c r="Y888" s="30"/>
      <c r="Z888" s="224">
        <f t="shared" si="2"/>
        <v>0</v>
      </c>
      <c r="AA888" s="223">
        <f t="shared" si="3"/>
        <v>0</v>
      </c>
      <c r="AB888" s="170">
        <f t="shared" si="4"/>
        <v>0</v>
      </c>
      <c r="AC888" s="170">
        <f t="shared" si="5"/>
        <v>0</v>
      </c>
      <c r="AD888" s="170">
        <f t="shared" si="6"/>
        <v>0</v>
      </c>
      <c r="AE888" s="170"/>
      <c r="AF888" s="225">
        <f t="shared" si="8"/>
        <v>0</v>
      </c>
    </row>
    <row r="889" ht="12.75" customHeight="1">
      <c r="V889" s="30">
        <f t="shared" si="1"/>
        <v>0</v>
      </c>
      <c r="Y889" s="30"/>
      <c r="Z889" s="224">
        <f t="shared" si="2"/>
        <v>0</v>
      </c>
      <c r="AA889" s="223">
        <f t="shared" si="3"/>
        <v>0</v>
      </c>
      <c r="AB889" s="170">
        <f t="shared" si="4"/>
        <v>0</v>
      </c>
      <c r="AC889" s="170">
        <f t="shared" si="5"/>
        <v>0</v>
      </c>
      <c r="AD889" s="170">
        <f t="shared" si="6"/>
        <v>0</v>
      </c>
      <c r="AE889" s="170"/>
      <c r="AF889" s="225">
        <f t="shared" si="8"/>
        <v>0</v>
      </c>
    </row>
    <row r="890" ht="12.75" customHeight="1">
      <c r="V890" s="30">
        <f t="shared" si="1"/>
        <v>0</v>
      </c>
      <c r="Y890" s="30"/>
      <c r="Z890" s="224">
        <f t="shared" si="2"/>
        <v>0</v>
      </c>
      <c r="AA890" s="223">
        <f t="shared" si="3"/>
        <v>0</v>
      </c>
      <c r="AB890" s="170">
        <f t="shared" si="4"/>
        <v>0</v>
      </c>
      <c r="AC890" s="170">
        <f t="shared" si="5"/>
        <v>0</v>
      </c>
      <c r="AD890" s="170">
        <f t="shared" si="6"/>
        <v>0</v>
      </c>
      <c r="AE890" s="170"/>
      <c r="AF890" s="225">
        <f t="shared" si="8"/>
        <v>0</v>
      </c>
    </row>
    <row r="891" ht="12.75" customHeight="1">
      <c r="V891" s="30">
        <f t="shared" si="1"/>
        <v>0</v>
      </c>
      <c r="Y891" s="30"/>
      <c r="Z891" s="224">
        <f t="shared" si="2"/>
        <v>0</v>
      </c>
      <c r="AA891" s="223">
        <f t="shared" si="3"/>
        <v>0</v>
      </c>
      <c r="AB891" s="170">
        <f t="shared" si="4"/>
        <v>0</v>
      </c>
      <c r="AC891" s="170">
        <f t="shared" si="5"/>
        <v>0</v>
      </c>
      <c r="AD891" s="170">
        <f t="shared" si="6"/>
        <v>0</v>
      </c>
      <c r="AE891" s="170"/>
      <c r="AF891" s="225">
        <f t="shared" si="8"/>
        <v>0</v>
      </c>
    </row>
    <row r="892" ht="12.75" customHeight="1">
      <c r="V892" s="30">
        <f t="shared" si="1"/>
        <v>0</v>
      </c>
      <c r="Y892" s="30"/>
      <c r="Z892" s="224">
        <f t="shared" si="2"/>
        <v>0</v>
      </c>
      <c r="AA892" s="223">
        <f t="shared" si="3"/>
        <v>0</v>
      </c>
      <c r="AB892" s="170">
        <f t="shared" si="4"/>
        <v>0</v>
      </c>
      <c r="AC892" s="170">
        <f t="shared" si="5"/>
        <v>0</v>
      </c>
      <c r="AD892" s="170">
        <f t="shared" si="6"/>
        <v>0</v>
      </c>
      <c r="AE892" s="170"/>
      <c r="AF892" s="225">
        <f t="shared" si="8"/>
        <v>0</v>
      </c>
    </row>
    <row r="893" ht="12.75" customHeight="1">
      <c r="V893" s="30">
        <f t="shared" si="1"/>
        <v>0</v>
      </c>
      <c r="Y893" s="30"/>
      <c r="Z893" s="224">
        <f t="shared" si="2"/>
        <v>0</v>
      </c>
      <c r="AA893" s="223">
        <f t="shared" si="3"/>
        <v>0</v>
      </c>
      <c r="AB893" s="170">
        <f t="shared" si="4"/>
        <v>0</v>
      </c>
      <c r="AC893" s="170">
        <f t="shared" si="5"/>
        <v>0</v>
      </c>
      <c r="AD893" s="170">
        <f t="shared" si="6"/>
        <v>0</v>
      </c>
      <c r="AE893" s="170"/>
      <c r="AF893" s="225">
        <f t="shared" si="8"/>
        <v>0</v>
      </c>
    </row>
    <row r="894" ht="12.75" customHeight="1">
      <c r="V894" s="30">
        <f t="shared" si="1"/>
        <v>0</v>
      </c>
      <c r="Y894" s="30"/>
      <c r="Z894" s="224">
        <f t="shared" si="2"/>
        <v>0</v>
      </c>
      <c r="AA894" s="223">
        <f t="shared" si="3"/>
        <v>0</v>
      </c>
      <c r="AB894" s="170">
        <f t="shared" si="4"/>
        <v>0</v>
      </c>
      <c r="AC894" s="170">
        <f t="shared" si="5"/>
        <v>0</v>
      </c>
      <c r="AD894" s="170">
        <f t="shared" si="6"/>
        <v>0</v>
      </c>
      <c r="AE894" s="170"/>
      <c r="AF894" s="225">
        <f t="shared" si="8"/>
        <v>0</v>
      </c>
    </row>
    <row r="895" ht="12.75" customHeight="1">
      <c r="V895" s="30">
        <f t="shared" si="1"/>
        <v>0</v>
      </c>
      <c r="Y895" s="30"/>
      <c r="Z895" s="224">
        <f t="shared" si="2"/>
        <v>0</v>
      </c>
      <c r="AA895" s="223">
        <f t="shared" si="3"/>
        <v>0</v>
      </c>
      <c r="AB895" s="170">
        <f t="shared" si="4"/>
        <v>0</v>
      </c>
      <c r="AC895" s="170">
        <f t="shared" si="5"/>
        <v>0</v>
      </c>
      <c r="AD895" s="170">
        <f t="shared" si="6"/>
        <v>0</v>
      </c>
      <c r="AE895" s="170"/>
      <c r="AF895" s="225">
        <f t="shared" si="8"/>
        <v>0</v>
      </c>
    </row>
    <row r="896" ht="12.75" customHeight="1">
      <c r="V896" s="30">
        <f t="shared" si="1"/>
        <v>0</v>
      </c>
      <c r="Y896" s="30"/>
      <c r="Z896" s="224">
        <f t="shared" si="2"/>
        <v>0</v>
      </c>
      <c r="AA896" s="223">
        <f t="shared" si="3"/>
        <v>0</v>
      </c>
      <c r="AB896" s="170">
        <f t="shared" si="4"/>
        <v>0</v>
      </c>
      <c r="AC896" s="170">
        <f t="shared" si="5"/>
        <v>0</v>
      </c>
      <c r="AD896" s="170">
        <f t="shared" si="6"/>
        <v>0</v>
      </c>
      <c r="AE896" s="170"/>
      <c r="AF896" s="225">
        <f t="shared" si="8"/>
        <v>0</v>
      </c>
    </row>
    <row r="897" ht="12.75" customHeight="1">
      <c r="V897" s="30">
        <f t="shared" si="1"/>
        <v>0</v>
      </c>
      <c r="Y897" s="30"/>
      <c r="Z897" s="224">
        <f t="shared" si="2"/>
        <v>0</v>
      </c>
      <c r="AA897" s="223">
        <f t="shared" si="3"/>
        <v>0</v>
      </c>
      <c r="AB897" s="170">
        <f t="shared" si="4"/>
        <v>0</v>
      </c>
      <c r="AC897" s="170">
        <f t="shared" si="5"/>
        <v>0</v>
      </c>
      <c r="AD897" s="170">
        <f t="shared" si="6"/>
        <v>0</v>
      </c>
      <c r="AE897" s="170"/>
      <c r="AF897" s="225">
        <f t="shared" si="8"/>
        <v>0</v>
      </c>
    </row>
    <row r="898" ht="12.75" customHeight="1">
      <c r="V898" s="30">
        <f t="shared" si="1"/>
        <v>0</v>
      </c>
      <c r="Y898" s="30"/>
      <c r="Z898" s="224">
        <f t="shared" si="2"/>
        <v>0</v>
      </c>
      <c r="AA898" s="223">
        <f t="shared" si="3"/>
        <v>0</v>
      </c>
      <c r="AB898" s="170">
        <f t="shared" si="4"/>
        <v>0</v>
      </c>
      <c r="AC898" s="170">
        <f t="shared" si="5"/>
        <v>0</v>
      </c>
      <c r="AD898" s="170">
        <f t="shared" si="6"/>
        <v>0</v>
      </c>
      <c r="AE898" s="170"/>
      <c r="AF898" s="225">
        <f t="shared" si="8"/>
        <v>0</v>
      </c>
    </row>
    <row r="899" ht="12.75" customHeight="1">
      <c r="V899" s="30">
        <f t="shared" si="1"/>
        <v>0</v>
      </c>
      <c r="Y899" s="30"/>
      <c r="Z899" s="224">
        <f t="shared" si="2"/>
        <v>0</v>
      </c>
      <c r="AA899" s="223">
        <f t="shared" si="3"/>
        <v>0</v>
      </c>
      <c r="AB899" s="170">
        <f t="shared" si="4"/>
        <v>0</v>
      </c>
      <c r="AC899" s="170">
        <f t="shared" si="5"/>
        <v>0</v>
      </c>
      <c r="AD899" s="170">
        <f t="shared" si="6"/>
        <v>0</v>
      </c>
      <c r="AE899" s="170"/>
      <c r="AF899" s="225">
        <f t="shared" si="8"/>
        <v>0</v>
      </c>
    </row>
    <row r="900" ht="12.75" customHeight="1">
      <c r="V900" s="30">
        <f t="shared" si="1"/>
        <v>0</v>
      </c>
      <c r="Y900" s="30"/>
      <c r="Z900" s="224">
        <f t="shared" si="2"/>
        <v>0</v>
      </c>
      <c r="AA900" s="223">
        <f t="shared" si="3"/>
        <v>0</v>
      </c>
      <c r="AB900" s="170">
        <f t="shared" si="4"/>
        <v>0</v>
      </c>
      <c r="AC900" s="170">
        <f t="shared" si="5"/>
        <v>0</v>
      </c>
      <c r="AD900" s="170">
        <f t="shared" si="6"/>
        <v>0</v>
      </c>
      <c r="AE900" s="170"/>
      <c r="AF900" s="225">
        <f t="shared" si="8"/>
        <v>0</v>
      </c>
    </row>
    <row r="901" ht="12.75" customHeight="1">
      <c r="V901" s="30">
        <f t="shared" si="1"/>
        <v>0</v>
      </c>
      <c r="Y901" s="30"/>
      <c r="Z901" s="224">
        <f t="shared" si="2"/>
        <v>0</v>
      </c>
      <c r="AA901" s="223">
        <f t="shared" si="3"/>
        <v>0</v>
      </c>
      <c r="AB901" s="170">
        <f t="shared" si="4"/>
        <v>0</v>
      </c>
      <c r="AC901" s="170">
        <f t="shared" si="5"/>
        <v>0</v>
      </c>
      <c r="AD901" s="170">
        <f t="shared" si="6"/>
        <v>0</v>
      </c>
      <c r="AE901" s="170"/>
      <c r="AF901" s="225">
        <f t="shared" si="8"/>
        <v>0</v>
      </c>
    </row>
    <row r="902" ht="12.75" customHeight="1">
      <c r="V902" s="30">
        <f t="shared" si="1"/>
        <v>0</v>
      </c>
      <c r="Y902" s="30"/>
      <c r="Z902" s="224">
        <f t="shared" si="2"/>
        <v>0</v>
      </c>
      <c r="AA902" s="223">
        <f t="shared" si="3"/>
        <v>0</v>
      </c>
      <c r="AB902" s="170">
        <f t="shared" si="4"/>
        <v>0</v>
      </c>
      <c r="AC902" s="170">
        <f t="shared" si="5"/>
        <v>0</v>
      </c>
      <c r="AD902" s="170">
        <f t="shared" si="6"/>
        <v>0</v>
      </c>
      <c r="AE902" s="170"/>
      <c r="AF902" s="225">
        <f t="shared" si="8"/>
        <v>0</v>
      </c>
    </row>
    <row r="903" ht="12.75" customHeight="1">
      <c r="V903" s="30">
        <f t="shared" si="1"/>
        <v>0</v>
      </c>
      <c r="Y903" s="30"/>
      <c r="Z903" s="224">
        <f t="shared" si="2"/>
        <v>0</v>
      </c>
      <c r="AA903" s="223">
        <f t="shared" si="3"/>
        <v>0</v>
      </c>
      <c r="AB903" s="170">
        <f t="shared" si="4"/>
        <v>0</v>
      </c>
      <c r="AC903" s="170">
        <f t="shared" si="5"/>
        <v>0</v>
      </c>
      <c r="AD903" s="170">
        <f t="shared" si="6"/>
        <v>0</v>
      </c>
      <c r="AE903" s="170"/>
      <c r="AF903" s="225">
        <f t="shared" si="8"/>
        <v>0</v>
      </c>
    </row>
    <row r="904" ht="12.75" customHeight="1">
      <c r="V904" s="30">
        <f t="shared" si="1"/>
        <v>0</v>
      </c>
      <c r="Y904" s="30"/>
      <c r="Z904" s="224">
        <f t="shared" si="2"/>
        <v>0</v>
      </c>
      <c r="AA904" s="223">
        <f t="shared" si="3"/>
        <v>0</v>
      </c>
      <c r="AB904" s="170">
        <f t="shared" si="4"/>
        <v>0</v>
      </c>
      <c r="AC904" s="170">
        <f t="shared" si="5"/>
        <v>0</v>
      </c>
      <c r="AD904" s="170">
        <f t="shared" si="6"/>
        <v>0</v>
      </c>
      <c r="AE904" s="170"/>
      <c r="AF904" s="225">
        <f t="shared" si="8"/>
        <v>0</v>
      </c>
    </row>
    <row r="905" ht="12.75" customHeight="1">
      <c r="V905" s="30">
        <f t="shared" si="1"/>
        <v>0</v>
      </c>
      <c r="Y905" s="30"/>
      <c r="Z905" s="224">
        <f t="shared" si="2"/>
        <v>0</v>
      </c>
      <c r="AA905" s="223">
        <f t="shared" si="3"/>
        <v>0</v>
      </c>
      <c r="AB905" s="170">
        <f t="shared" si="4"/>
        <v>0</v>
      </c>
      <c r="AC905" s="170">
        <f t="shared" si="5"/>
        <v>0</v>
      </c>
      <c r="AD905" s="170">
        <f t="shared" si="6"/>
        <v>0</v>
      </c>
      <c r="AE905" s="170"/>
      <c r="AF905" s="225">
        <f t="shared" si="8"/>
        <v>0</v>
      </c>
    </row>
    <row r="906" ht="12.75" customHeight="1">
      <c r="V906" s="30">
        <f t="shared" si="1"/>
        <v>0</v>
      </c>
      <c r="Y906" s="30"/>
      <c r="Z906" s="224">
        <f t="shared" si="2"/>
        <v>0</v>
      </c>
      <c r="AA906" s="223">
        <f t="shared" si="3"/>
        <v>0</v>
      </c>
      <c r="AB906" s="170">
        <f t="shared" si="4"/>
        <v>0</v>
      </c>
      <c r="AC906" s="170">
        <f t="shared" si="5"/>
        <v>0</v>
      </c>
      <c r="AD906" s="170">
        <f t="shared" si="6"/>
        <v>0</v>
      </c>
      <c r="AE906" s="170"/>
      <c r="AF906" s="225">
        <f t="shared" si="8"/>
        <v>0</v>
      </c>
    </row>
    <row r="907" ht="12.75" customHeight="1">
      <c r="V907" s="30">
        <f t="shared" si="1"/>
        <v>0</v>
      </c>
      <c r="Y907" s="30"/>
      <c r="Z907" s="224">
        <f t="shared" si="2"/>
        <v>0</v>
      </c>
      <c r="AA907" s="223">
        <f t="shared" si="3"/>
        <v>0</v>
      </c>
      <c r="AB907" s="170">
        <f t="shared" si="4"/>
        <v>0</v>
      </c>
      <c r="AC907" s="170">
        <f t="shared" si="5"/>
        <v>0</v>
      </c>
      <c r="AD907" s="170">
        <f t="shared" si="6"/>
        <v>0</v>
      </c>
      <c r="AE907" s="170"/>
      <c r="AF907" s="225">
        <f t="shared" si="8"/>
        <v>0</v>
      </c>
    </row>
    <row r="908" ht="12.75" customHeight="1">
      <c r="V908" s="30">
        <f t="shared" si="1"/>
        <v>0</v>
      </c>
      <c r="Y908" s="30"/>
      <c r="Z908" s="224">
        <f t="shared" si="2"/>
        <v>0</v>
      </c>
      <c r="AA908" s="223">
        <f t="shared" si="3"/>
        <v>0</v>
      </c>
      <c r="AB908" s="170">
        <f t="shared" si="4"/>
        <v>0</v>
      </c>
      <c r="AC908" s="170">
        <f t="shared" si="5"/>
        <v>0</v>
      </c>
      <c r="AD908" s="170">
        <f t="shared" si="6"/>
        <v>0</v>
      </c>
      <c r="AE908" s="170"/>
      <c r="AF908" s="225">
        <f t="shared" si="8"/>
        <v>0</v>
      </c>
    </row>
    <row r="909" ht="12.75" customHeight="1">
      <c r="V909" s="30">
        <f t="shared" si="1"/>
        <v>0</v>
      </c>
      <c r="Y909" s="30"/>
      <c r="Z909" s="224">
        <f t="shared" si="2"/>
        <v>0</v>
      </c>
      <c r="AA909" s="223">
        <f t="shared" si="3"/>
        <v>0</v>
      </c>
      <c r="AB909" s="170">
        <f t="shared" si="4"/>
        <v>0</v>
      </c>
      <c r="AC909" s="170">
        <f t="shared" si="5"/>
        <v>0</v>
      </c>
      <c r="AD909" s="170">
        <f t="shared" si="6"/>
        <v>0</v>
      </c>
      <c r="AE909" s="170"/>
      <c r="AF909" s="225">
        <f t="shared" si="8"/>
        <v>0</v>
      </c>
    </row>
    <row r="910" ht="12.75" customHeight="1">
      <c r="V910" s="30">
        <f t="shared" si="1"/>
        <v>0</v>
      </c>
      <c r="Y910" s="30"/>
      <c r="Z910" s="224">
        <f t="shared" si="2"/>
        <v>0</v>
      </c>
      <c r="AA910" s="223">
        <f t="shared" si="3"/>
        <v>0</v>
      </c>
      <c r="AB910" s="170">
        <f t="shared" si="4"/>
        <v>0</v>
      </c>
      <c r="AC910" s="170">
        <f t="shared" si="5"/>
        <v>0</v>
      </c>
      <c r="AD910" s="170">
        <f t="shared" si="6"/>
        <v>0</v>
      </c>
      <c r="AE910" s="170"/>
      <c r="AF910" s="225">
        <f t="shared" si="8"/>
        <v>0</v>
      </c>
    </row>
    <row r="911" ht="12.75" customHeight="1">
      <c r="V911" s="30">
        <f t="shared" si="1"/>
        <v>0</v>
      </c>
      <c r="Y911" s="30"/>
      <c r="Z911" s="224">
        <f t="shared" si="2"/>
        <v>0</v>
      </c>
      <c r="AA911" s="223">
        <f t="shared" si="3"/>
        <v>0</v>
      </c>
      <c r="AB911" s="170">
        <f t="shared" si="4"/>
        <v>0</v>
      </c>
      <c r="AC911" s="170">
        <f t="shared" si="5"/>
        <v>0</v>
      </c>
      <c r="AD911" s="170">
        <f t="shared" si="6"/>
        <v>0</v>
      </c>
      <c r="AE911" s="170"/>
      <c r="AF911" s="225">
        <f t="shared" si="8"/>
        <v>0</v>
      </c>
    </row>
    <row r="912" ht="12.75" customHeight="1">
      <c r="V912" s="30">
        <f t="shared" si="1"/>
        <v>0</v>
      </c>
      <c r="Y912" s="30"/>
      <c r="Z912" s="224">
        <f t="shared" si="2"/>
        <v>0</v>
      </c>
      <c r="AA912" s="223">
        <f t="shared" si="3"/>
        <v>0</v>
      </c>
      <c r="AB912" s="170">
        <f t="shared" si="4"/>
        <v>0</v>
      </c>
      <c r="AC912" s="170">
        <f t="shared" si="5"/>
        <v>0</v>
      </c>
      <c r="AD912" s="170">
        <f t="shared" si="6"/>
        <v>0</v>
      </c>
      <c r="AE912" s="170"/>
      <c r="AF912" s="225">
        <f t="shared" si="8"/>
        <v>0</v>
      </c>
    </row>
    <row r="913" ht="12.75" customHeight="1">
      <c r="V913" s="30">
        <f t="shared" si="1"/>
        <v>0</v>
      </c>
      <c r="Y913" s="30"/>
      <c r="Z913" s="224">
        <f t="shared" si="2"/>
        <v>0</v>
      </c>
      <c r="AA913" s="223">
        <f t="shared" si="3"/>
        <v>0</v>
      </c>
      <c r="AB913" s="170">
        <f t="shared" si="4"/>
        <v>0</v>
      </c>
      <c r="AC913" s="170">
        <f t="shared" si="5"/>
        <v>0</v>
      </c>
      <c r="AD913" s="170">
        <f t="shared" si="6"/>
        <v>0</v>
      </c>
      <c r="AE913" s="170"/>
      <c r="AF913" s="225">
        <f t="shared" si="8"/>
        <v>0</v>
      </c>
    </row>
    <row r="914" ht="12.75" customHeight="1">
      <c r="V914" s="30">
        <f t="shared" si="1"/>
        <v>0</v>
      </c>
      <c r="Y914" s="30"/>
      <c r="Z914" s="224">
        <f t="shared" si="2"/>
        <v>0</v>
      </c>
      <c r="AA914" s="223">
        <f t="shared" si="3"/>
        <v>0</v>
      </c>
      <c r="AB914" s="170">
        <f t="shared" si="4"/>
        <v>0</v>
      </c>
      <c r="AC914" s="170">
        <f t="shared" si="5"/>
        <v>0</v>
      </c>
      <c r="AD914" s="170">
        <f t="shared" si="6"/>
        <v>0</v>
      </c>
      <c r="AE914" s="170"/>
      <c r="AF914" s="225">
        <f t="shared" si="8"/>
        <v>0</v>
      </c>
    </row>
    <row r="915" ht="12.75" customHeight="1">
      <c r="V915" s="30">
        <f t="shared" si="1"/>
        <v>0</v>
      </c>
      <c r="Y915" s="30"/>
      <c r="Z915" s="224">
        <f t="shared" si="2"/>
        <v>0</v>
      </c>
      <c r="AA915" s="223">
        <f t="shared" si="3"/>
        <v>0</v>
      </c>
      <c r="AB915" s="170">
        <f t="shared" si="4"/>
        <v>0</v>
      </c>
      <c r="AC915" s="170">
        <f t="shared" si="5"/>
        <v>0</v>
      </c>
      <c r="AD915" s="170">
        <f t="shared" si="6"/>
        <v>0</v>
      </c>
      <c r="AE915" s="170"/>
      <c r="AF915" s="225">
        <f t="shared" si="8"/>
        <v>0</v>
      </c>
    </row>
    <row r="916" ht="12.75" customHeight="1">
      <c r="V916" s="30">
        <f t="shared" si="1"/>
        <v>0</v>
      </c>
      <c r="Y916" s="30"/>
      <c r="Z916" s="224">
        <f t="shared" si="2"/>
        <v>0</v>
      </c>
      <c r="AA916" s="223">
        <f t="shared" si="3"/>
        <v>0</v>
      </c>
      <c r="AB916" s="170">
        <f t="shared" si="4"/>
        <v>0</v>
      </c>
      <c r="AC916" s="170">
        <f t="shared" si="5"/>
        <v>0</v>
      </c>
      <c r="AD916" s="170">
        <f t="shared" si="6"/>
        <v>0</v>
      </c>
      <c r="AE916" s="170"/>
      <c r="AF916" s="225">
        <f t="shared" si="8"/>
        <v>0</v>
      </c>
    </row>
    <row r="917" ht="12.75" customHeight="1">
      <c r="V917" s="30">
        <f t="shared" si="1"/>
        <v>0</v>
      </c>
      <c r="Y917" s="30"/>
      <c r="Z917" s="224">
        <f t="shared" si="2"/>
        <v>0</v>
      </c>
      <c r="AA917" s="223">
        <f t="shared" si="3"/>
        <v>0</v>
      </c>
      <c r="AB917" s="170">
        <f t="shared" si="4"/>
        <v>0</v>
      </c>
      <c r="AC917" s="170">
        <f t="shared" si="5"/>
        <v>0</v>
      </c>
      <c r="AD917" s="170">
        <f t="shared" si="6"/>
        <v>0</v>
      </c>
      <c r="AE917" s="170"/>
      <c r="AF917" s="225">
        <f t="shared" si="8"/>
        <v>0</v>
      </c>
    </row>
    <row r="918" ht="12.75" customHeight="1">
      <c r="V918" s="30">
        <f t="shared" si="1"/>
        <v>0</v>
      </c>
      <c r="Y918" s="30"/>
      <c r="Z918" s="224">
        <f t="shared" si="2"/>
        <v>0</v>
      </c>
      <c r="AA918" s="223">
        <f t="shared" si="3"/>
        <v>0</v>
      </c>
      <c r="AB918" s="170">
        <f t="shared" si="4"/>
        <v>0</v>
      </c>
      <c r="AC918" s="170">
        <f t="shared" si="5"/>
        <v>0</v>
      </c>
      <c r="AD918" s="170">
        <f t="shared" si="6"/>
        <v>0</v>
      </c>
      <c r="AE918" s="170"/>
      <c r="AF918" s="225">
        <f t="shared" si="8"/>
        <v>0</v>
      </c>
    </row>
    <row r="919" ht="12.75" customHeight="1">
      <c r="V919" s="30">
        <f t="shared" si="1"/>
        <v>0</v>
      </c>
      <c r="Y919" s="30"/>
      <c r="Z919" s="224">
        <f t="shared" si="2"/>
        <v>0</v>
      </c>
      <c r="AA919" s="223">
        <f t="shared" si="3"/>
        <v>0</v>
      </c>
      <c r="AB919" s="170">
        <f t="shared" si="4"/>
        <v>0</v>
      </c>
      <c r="AC919" s="170">
        <f t="shared" si="5"/>
        <v>0</v>
      </c>
      <c r="AD919" s="170">
        <f t="shared" si="6"/>
        <v>0</v>
      </c>
      <c r="AE919" s="170"/>
      <c r="AF919" s="225">
        <f t="shared" si="8"/>
        <v>0</v>
      </c>
    </row>
    <row r="920" ht="12.75" customHeight="1">
      <c r="V920" s="30">
        <f t="shared" si="1"/>
        <v>0</v>
      </c>
      <c r="Y920" s="30"/>
      <c r="Z920" s="224">
        <f t="shared" si="2"/>
        <v>0</v>
      </c>
      <c r="AA920" s="223">
        <f t="shared" si="3"/>
        <v>0</v>
      </c>
      <c r="AB920" s="170">
        <f t="shared" si="4"/>
        <v>0</v>
      </c>
      <c r="AC920" s="170">
        <f t="shared" si="5"/>
        <v>0</v>
      </c>
      <c r="AD920" s="170">
        <f t="shared" si="6"/>
        <v>0</v>
      </c>
      <c r="AE920" s="170"/>
      <c r="AF920" s="225">
        <f t="shared" si="8"/>
        <v>0</v>
      </c>
    </row>
    <row r="921" ht="12.75" customHeight="1">
      <c r="V921" s="30">
        <f t="shared" si="1"/>
        <v>0</v>
      </c>
      <c r="Y921" s="30"/>
      <c r="Z921" s="224">
        <f t="shared" si="2"/>
        <v>0</v>
      </c>
      <c r="AA921" s="223">
        <f t="shared" si="3"/>
        <v>0</v>
      </c>
      <c r="AB921" s="170">
        <f t="shared" si="4"/>
        <v>0</v>
      </c>
      <c r="AC921" s="170">
        <f t="shared" si="5"/>
        <v>0</v>
      </c>
      <c r="AD921" s="170">
        <f t="shared" si="6"/>
        <v>0</v>
      </c>
      <c r="AE921" s="170"/>
      <c r="AF921" s="225">
        <f t="shared" si="8"/>
        <v>0</v>
      </c>
    </row>
    <row r="922" ht="12.75" customHeight="1">
      <c r="V922" s="30">
        <f t="shared" si="1"/>
        <v>0</v>
      </c>
      <c r="Y922" s="30"/>
      <c r="Z922" s="224">
        <f t="shared" si="2"/>
        <v>0</v>
      </c>
      <c r="AA922" s="223">
        <f t="shared" si="3"/>
        <v>0</v>
      </c>
      <c r="AB922" s="170">
        <f t="shared" si="4"/>
        <v>0</v>
      </c>
      <c r="AC922" s="170">
        <f t="shared" si="5"/>
        <v>0</v>
      </c>
      <c r="AD922" s="170">
        <f t="shared" si="6"/>
        <v>0</v>
      </c>
      <c r="AE922" s="170"/>
      <c r="AF922" s="225">
        <f t="shared" si="8"/>
        <v>0</v>
      </c>
    </row>
    <row r="923" ht="12.75" customHeight="1">
      <c r="V923" s="30">
        <f t="shared" si="1"/>
        <v>0</v>
      </c>
      <c r="Y923" s="30"/>
      <c r="Z923" s="224">
        <f t="shared" si="2"/>
        <v>0</v>
      </c>
      <c r="AA923" s="223">
        <f t="shared" si="3"/>
        <v>0</v>
      </c>
      <c r="AB923" s="170">
        <f t="shared" si="4"/>
        <v>0</v>
      </c>
      <c r="AC923" s="170">
        <f t="shared" si="5"/>
        <v>0</v>
      </c>
      <c r="AD923" s="170">
        <f t="shared" si="6"/>
        <v>0</v>
      </c>
      <c r="AE923" s="170"/>
      <c r="AF923" s="225">
        <f t="shared" si="8"/>
        <v>0</v>
      </c>
    </row>
    <row r="924" ht="12.75" customHeight="1">
      <c r="V924" s="30">
        <f t="shared" si="1"/>
        <v>0</v>
      </c>
      <c r="Y924" s="30"/>
      <c r="Z924" s="224">
        <f t="shared" si="2"/>
        <v>0</v>
      </c>
      <c r="AA924" s="223">
        <f t="shared" si="3"/>
        <v>0</v>
      </c>
      <c r="AB924" s="170">
        <f t="shared" si="4"/>
        <v>0</v>
      </c>
      <c r="AC924" s="170">
        <f t="shared" si="5"/>
        <v>0</v>
      </c>
      <c r="AD924" s="170">
        <f t="shared" si="6"/>
        <v>0</v>
      </c>
      <c r="AE924" s="170"/>
      <c r="AF924" s="225">
        <f t="shared" si="8"/>
        <v>0</v>
      </c>
    </row>
    <row r="925" ht="12.75" customHeight="1">
      <c r="V925" s="30">
        <f t="shared" si="1"/>
        <v>0</v>
      </c>
      <c r="Y925" s="30"/>
      <c r="Z925" s="224">
        <f t="shared" si="2"/>
        <v>0</v>
      </c>
      <c r="AA925" s="223">
        <f t="shared" si="3"/>
        <v>0</v>
      </c>
      <c r="AB925" s="170">
        <f t="shared" si="4"/>
        <v>0</v>
      </c>
      <c r="AC925" s="170">
        <f t="shared" si="5"/>
        <v>0</v>
      </c>
      <c r="AD925" s="170">
        <f t="shared" si="6"/>
        <v>0</v>
      </c>
      <c r="AE925" s="170"/>
      <c r="AF925" s="225">
        <f t="shared" si="8"/>
        <v>0</v>
      </c>
    </row>
    <row r="926" ht="12.75" customHeight="1">
      <c r="V926" s="30">
        <f t="shared" si="1"/>
        <v>0</v>
      </c>
      <c r="Y926" s="30"/>
      <c r="Z926" s="224">
        <f t="shared" si="2"/>
        <v>0</v>
      </c>
      <c r="AA926" s="223">
        <f t="shared" si="3"/>
        <v>0</v>
      </c>
      <c r="AB926" s="170">
        <f t="shared" si="4"/>
        <v>0</v>
      </c>
      <c r="AC926" s="170">
        <f t="shared" si="5"/>
        <v>0</v>
      </c>
      <c r="AD926" s="170">
        <f t="shared" si="6"/>
        <v>0</v>
      </c>
      <c r="AE926" s="170"/>
      <c r="AF926" s="225">
        <f t="shared" si="8"/>
        <v>0</v>
      </c>
    </row>
    <row r="927" ht="12.75" customHeight="1">
      <c r="V927" s="30">
        <f t="shared" si="1"/>
        <v>0</v>
      </c>
      <c r="Y927" s="30"/>
      <c r="Z927" s="224">
        <f t="shared" si="2"/>
        <v>0</v>
      </c>
      <c r="AA927" s="223">
        <f t="shared" si="3"/>
        <v>0</v>
      </c>
      <c r="AB927" s="170">
        <f t="shared" si="4"/>
        <v>0</v>
      </c>
      <c r="AC927" s="170">
        <f t="shared" si="5"/>
        <v>0</v>
      </c>
      <c r="AD927" s="170">
        <f t="shared" si="6"/>
        <v>0</v>
      </c>
      <c r="AE927" s="170"/>
      <c r="AF927" s="225">
        <f t="shared" si="8"/>
        <v>0</v>
      </c>
    </row>
    <row r="928" ht="12.75" customHeight="1">
      <c r="V928" s="30">
        <f t="shared" si="1"/>
        <v>0</v>
      </c>
      <c r="Y928" s="30"/>
      <c r="Z928" s="224">
        <f t="shared" si="2"/>
        <v>0</v>
      </c>
      <c r="AA928" s="223">
        <f t="shared" si="3"/>
        <v>0</v>
      </c>
      <c r="AB928" s="170">
        <f t="shared" si="4"/>
        <v>0</v>
      </c>
      <c r="AC928" s="170">
        <f t="shared" si="5"/>
        <v>0</v>
      </c>
      <c r="AD928" s="170">
        <f t="shared" si="6"/>
        <v>0</v>
      </c>
      <c r="AE928" s="170"/>
      <c r="AF928" s="225">
        <f t="shared" si="8"/>
        <v>0</v>
      </c>
    </row>
    <row r="929" ht="12.75" customHeight="1">
      <c r="V929" s="30">
        <f t="shared" si="1"/>
        <v>0</v>
      </c>
      <c r="Y929" s="30"/>
      <c r="Z929" s="224">
        <f t="shared" si="2"/>
        <v>0</v>
      </c>
      <c r="AA929" s="223">
        <f t="shared" si="3"/>
        <v>0</v>
      </c>
      <c r="AB929" s="170">
        <f t="shared" si="4"/>
        <v>0</v>
      </c>
      <c r="AC929" s="170">
        <f t="shared" si="5"/>
        <v>0</v>
      </c>
      <c r="AD929" s="170">
        <f t="shared" si="6"/>
        <v>0</v>
      </c>
      <c r="AE929" s="170"/>
      <c r="AF929" s="225">
        <f t="shared" si="8"/>
        <v>0</v>
      </c>
    </row>
    <row r="930" ht="12.75" customHeight="1">
      <c r="V930" s="30">
        <f t="shared" si="1"/>
        <v>0</v>
      </c>
      <c r="Y930" s="30"/>
      <c r="Z930" s="224">
        <f t="shared" si="2"/>
        <v>0</v>
      </c>
      <c r="AA930" s="223">
        <f t="shared" si="3"/>
        <v>0</v>
      </c>
      <c r="AB930" s="170">
        <f t="shared" si="4"/>
        <v>0</v>
      </c>
      <c r="AC930" s="170">
        <f t="shared" si="5"/>
        <v>0</v>
      </c>
      <c r="AD930" s="170">
        <f t="shared" si="6"/>
        <v>0</v>
      </c>
      <c r="AE930" s="170"/>
      <c r="AF930" s="225">
        <f t="shared" si="8"/>
        <v>0</v>
      </c>
    </row>
    <row r="931" ht="12.75" customHeight="1">
      <c r="V931" s="30">
        <f t="shared" si="1"/>
        <v>0</v>
      </c>
      <c r="Y931" s="30"/>
      <c r="Z931" s="224">
        <f t="shared" si="2"/>
        <v>0</v>
      </c>
      <c r="AA931" s="223">
        <f t="shared" si="3"/>
        <v>0</v>
      </c>
      <c r="AB931" s="170">
        <f t="shared" si="4"/>
        <v>0</v>
      </c>
      <c r="AC931" s="170">
        <f t="shared" si="5"/>
        <v>0</v>
      </c>
      <c r="AD931" s="170">
        <f t="shared" si="6"/>
        <v>0</v>
      </c>
      <c r="AE931" s="170"/>
      <c r="AF931" s="225">
        <f t="shared" si="8"/>
        <v>0</v>
      </c>
    </row>
    <row r="932" ht="12.75" customHeight="1">
      <c r="V932" s="30">
        <f t="shared" si="1"/>
        <v>0</v>
      </c>
      <c r="Y932" s="30"/>
      <c r="Z932" s="224">
        <f t="shared" si="2"/>
        <v>0</v>
      </c>
      <c r="AA932" s="223">
        <f t="shared" si="3"/>
        <v>0</v>
      </c>
      <c r="AB932" s="170">
        <f t="shared" si="4"/>
        <v>0</v>
      </c>
      <c r="AC932" s="170">
        <f t="shared" si="5"/>
        <v>0</v>
      </c>
      <c r="AD932" s="170">
        <f t="shared" si="6"/>
        <v>0</v>
      </c>
      <c r="AE932" s="170"/>
      <c r="AF932" s="225">
        <f t="shared" si="8"/>
        <v>0</v>
      </c>
    </row>
    <row r="933" ht="12.75" customHeight="1">
      <c r="V933" s="30">
        <f t="shared" si="1"/>
        <v>0</v>
      </c>
      <c r="Y933" s="30"/>
      <c r="Z933" s="224">
        <f t="shared" si="2"/>
        <v>0</v>
      </c>
      <c r="AA933" s="223">
        <f t="shared" si="3"/>
        <v>0</v>
      </c>
      <c r="AB933" s="170">
        <f t="shared" si="4"/>
        <v>0</v>
      </c>
      <c r="AC933" s="170">
        <f t="shared" si="5"/>
        <v>0</v>
      </c>
      <c r="AD933" s="170">
        <f t="shared" si="6"/>
        <v>0</v>
      </c>
      <c r="AE933" s="170"/>
      <c r="AF933" s="225">
        <f t="shared" si="8"/>
        <v>0</v>
      </c>
    </row>
    <row r="934" ht="12.75" customHeight="1">
      <c r="V934" s="30">
        <f t="shared" si="1"/>
        <v>0</v>
      </c>
      <c r="Y934" s="30"/>
      <c r="Z934" s="224">
        <f t="shared" si="2"/>
        <v>0</v>
      </c>
      <c r="AA934" s="223">
        <f t="shared" si="3"/>
        <v>0</v>
      </c>
      <c r="AB934" s="170">
        <f t="shared" si="4"/>
        <v>0</v>
      </c>
      <c r="AC934" s="170">
        <f t="shared" si="5"/>
        <v>0</v>
      </c>
      <c r="AD934" s="170">
        <f t="shared" si="6"/>
        <v>0</v>
      </c>
      <c r="AE934" s="170"/>
      <c r="AF934" s="225">
        <f t="shared" si="8"/>
        <v>0</v>
      </c>
    </row>
    <row r="935" ht="12.75" customHeight="1">
      <c r="V935" s="30">
        <f t="shared" si="1"/>
        <v>0</v>
      </c>
      <c r="Y935" s="30"/>
      <c r="Z935" s="224">
        <f t="shared" si="2"/>
        <v>0</v>
      </c>
      <c r="AA935" s="223">
        <f t="shared" si="3"/>
        <v>0</v>
      </c>
      <c r="AB935" s="170">
        <f t="shared" si="4"/>
        <v>0</v>
      </c>
      <c r="AC935" s="170">
        <f t="shared" si="5"/>
        <v>0</v>
      </c>
      <c r="AD935" s="170">
        <f t="shared" si="6"/>
        <v>0</v>
      </c>
      <c r="AE935" s="170"/>
      <c r="AF935" s="225">
        <f t="shared" si="8"/>
        <v>0</v>
      </c>
    </row>
    <row r="936" ht="12.75" customHeight="1">
      <c r="V936" s="30">
        <f t="shared" si="1"/>
        <v>0</v>
      </c>
      <c r="Y936" s="30"/>
      <c r="Z936" s="224">
        <f t="shared" si="2"/>
        <v>0</v>
      </c>
      <c r="AA936" s="223">
        <f t="shared" si="3"/>
        <v>0</v>
      </c>
      <c r="AB936" s="170">
        <f t="shared" si="4"/>
        <v>0</v>
      </c>
      <c r="AC936" s="170">
        <f t="shared" si="5"/>
        <v>0</v>
      </c>
      <c r="AD936" s="170">
        <f t="shared" si="6"/>
        <v>0</v>
      </c>
      <c r="AE936" s="170"/>
      <c r="AF936" s="225">
        <f t="shared" si="8"/>
        <v>0</v>
      </c>
    </row>
    <row r="937" ht="12.75" customHeight="1">
      <c r="V937" s="30">
        <f t="shared" si="1"/>
        <v>0</v>
      </c>
      <c r="Y937" s="30"/>
      <c r="Z937" s="224">
        <f t="shared" si="2"/>
        <v>0</v>
      </c>
      <c r="AA937" s="223">
        <f t="shared" si="3"/>
        <v>0</v>
      </c>
      <c r="AB937" s="170">
        <f t="shared" si="4"/>
        <v>0</v>
      </c>
      <c r="AC937" s="170">
        <f t="shared" si="5"/>
        <v>0</v>
      </c>
      <c r="AD937" s="170">
        <f t="shared" si="6"/>
        <v>0</v>
      </c>
      <c r="AE937" s="170"/>
      <c r="AF937" s="225">
        <f t="shared" si="8"/>
        <v>0</v>
      </c>
    </row>
    <row r="938" ht="12.75" customHeight="1">
      <c r="V938" s="30">
        <f t="shared" si="1"/>
        <v>0</v>
      </c>
      <c r="Y938" s="30"/>
      <c r="Z938" s="224">
        <f t="shared" si="2"/>
        <v>0</v>
      </c>
      <c r="AA938" s="223">
        <f t="shared" si="3"/>
        <v>0</v>
      </c>
      <c r="AB938" s="170">
        <f t="shared" si="4"/>
        <v>0</v>
      </c>
      <c r="AC938" s="170">
        <f t="shared" si="5"/>
        <v>0</v>
      </c>
      <c r="AD938" s="170">
        <f t="shared" si="6"/>
        <v>0</v>
      </c>
      <c r="AE938" s="170"/>
      <c r="AF938" s="225">
        <f t="shared" si="8"/>
        <v>0</v>
      </c>
    </row>
    <row r="939" ht="12.75" customHeight="1">
      <c r="V939" s="30">
        <f t="shared" si="1"/>
        <v>0</v>
      </c>
      <c r="Y939" s="30"/>
      <c r="Z939" s="224">
        <f t="shared" si="2"/>
        <v>0</v>
      </c>
      <c r="AA939" s="223">
        <f t="shared" si="3"/>
        <v>0</v>
      </c>
      <c r="AB939" s="170">
        <f t="shared" si="4"/>
        <v>0</v>
      </c>
      <c r="AC939" s="170">
        <f t="shared" si="5"/>
        <v>0</v>
      </c>
      <c r="AD939" s="170">
        <f t="shared" si="6"/>
        <v>0</v>
      </c>
      <c r="AE939" s="170"/>
      <c r="AF939" s="225">
        <f t="shared" si="8"/>
        <v>0</v>
      </c>
    </row>
    <row r="940" ht="12.75" customHeight="1">
      <c r="V940" s="30">
        <f t="shared" si="1"/>
        <v>0</v>
      </c>
      <c r="Y940" s="30"/>
      <c r="Z940" s="224">
        <f t="shared" si="2"/>
        <v>0</v>
      </c>
      <c r="AA940" s="223">
        <f t="shared" si="3"/>
        <v>0</v>
      </c>
      <c r="AB940" s="170">
        <f t="shared" si="4"/>
        <v>0</v>
      </c>
      <c r="AC940" s="170">
        <f t="shared" si="5"/>
        <v>0</v>
      </c>
      <c r="AD940" s="170">
        <f t="shared" si="6"/>
        <v>0</v>
      </c>
      <c r="AE940" s="170"/>
      <c r="AF940" s="225">
        <f t="shared" si="8"/>
        <v>0</v>
      </c>
    </row>
    <row r="941" ht="12.75" customHeight="1">
      <c r="V941" s="30">
        <f t="shared" si="1"/>
        <v>0</v>
      </c>
      <c r="Y941" s="30"/>
      <c r="Z941" s="224">
        <f t="shared" si="2"/>
        <v>0</v>
      </c>
      <c r="AA941" s="223">
        <f t="shared" si="3"/>
        <v>0</v>
      </c>
      <c r="AB941" s="170">
        <f t="shared" si="4"/>
        <v>0</v>
      </c>
      <c r="AC941" s="170">
        <f t="shared" si="5"/>
        <v>0</v>
      </c>
      <c r="AD941" s="170">
        <f t="shared" si="6"/>
        <v>0</v>
      </c>
      <c r="AE941" s="170"/>
      <c r="AF941" s="225">
        <f t="shared" si="8"/>
        <v>0</v>
      </c>
    </row>
    <row r="942" ht="12.75" customHeight="1">
      <c r="V942" s="30">
        <f t="shared" si="1"/>
        <v>0</v>
      </c>
      <c r="Y942" s="30"/>
      <c r="Z942" s="224">
        <f t="shared" si="2"/>
        <v>0</v>
      </c>
      <c r="AA942" s="223">
        <f t="shared" si="3"/>
        <v>0</v>
      </c>
      <c r="AB942" s="170">
        <f t="shared" si="4"/>
        <v>0</v>
      </c>
      <c r="AC942" s="170">
        <f t="shared" si="5"/>
        <v>0</v>
      </c>
      <c r="AD942" s="170">
        <f t="shared" si="6"/>
        <v>0</v>
      </c>
      <c r="AE942" s="170"/>
      <c r="AF942" s="225">
        <f t="shared" si="8"/>
        <v>0</v>
      </c>
    </row>
    <row r="943" ht="12.75" customHeight="1">
      <c r="V943" s="30">
        <f t="shared" si="1"/>
        <v>0</v>
      </c>
      <c r="Y943" s="30"/>
      <c r="Z943" s="224">
        <f t="shared" si="2"/>
        <v>0</v>
      </c>
      <c r="AA943" s="223">
        <f t="shared" si="3"/>
        <v>0</v>
      </c>
      <c r="AB943" s="170">
        <f t="shared" si="4"/>
        <v>0</v>
      </c>
      <c r="AC943" s="170">
        <f t="shared" si="5"/>
        <v>0</v>
      </c>
      <c r="AD943" s="170">
        <f t="shared" si="6"/>
        <v>0</v>
      </c>
      <c r="AE943" s="170"/>
      <c r="AF943" s="225">
        <f t="shared" si="8"/>
        <v>0</v>
      </c>
    </row>
    <row r="944" ht="12.75" customHeight="1">
      <c r="V944" s="30">
        <f t="shared" si="1"/>
        <v>0</v>
      </c>
      <c r="Y944" s="30"/>
      <c r="Z944" s="224">
        <f t="shared" si="2"/>
        <v>0</v>
      </c>
      <c r="AA944" s="223">
        <f t="shared" si="3"/>
        <v>0</v>
      </c>
      <c r="AB944" s="170">
        <f t="shared" si="4"/>
        <v>0</v>
      </c>
      <c r="AC944" s="170">
        <f t="shared" si="5"/>
        <v>0</v>
      </c>
      <c r="AD944" s="170">
        <f t="shared" si="6"/>
        <v>0</v>
      </c>
      <c r="AE944" s="170"/>
      <c r="AF944" s="225">
        <f t="shared" si="8"/>
        <v>0</v>
      </c>
    </row>
    <row r="945" ht="12.75" customHeight="1">
      <c r="V945" s="30">
        <f t="shared" si="1"/>
        <v>0</v>
      </c>
      <c r="Y945" s="30"/>
      <c r="Z945" s="224">
        <f t="shared" si="2"/>
        <v>0</v>
      </c>
      <c r="AA945" s="223">
        <f t="shared" si="3"/>
        <v>0</v>
      </c>
      <c r="AB945" s="170">
        <f t="shared" si="4"/>
        <v>0</v>
      </c>
      <c r="AC945" s="170">
        <f t="shared" si="5"/>
        <v>0</v>
      </c>
      <c r="AD945" s="170">
        <f t="shared" si="6"/>
        <v>0</v>
      </c>
      <c r="AE945" s="170"/>
      <c r="AF945" s="225">
        <f t="shared" si="8"/>
        <v>0</v>
      </c>
    </row>
    <row r="946" ht="12.75" customHeight="1">
      <c r="V946" s="30">
        <f t="shared" si="1"/>
        <v>0</v>
      </c>
      <c r="Y946" s="30"/>
      <c r="Z946" s="224">
        <f t="shared" si="2"/>
        <v>0</v>
      </c>
      <c r="AA946" s="223">
        <f t="shared" si="3"/>
        <v>0</v>
      </c>
      <c r="AB946" s="170">
        <f t="shared" si="4"/>
        <v>0</v>
      </c>
      <c r="AC946" s="170">
        <f t="shared" si="5"/>
        <v>0</v>
      </c>
      <c r="AD946" s="170">
        <f t="shared" si="6"/>
        <v>0</v>
      </c>
      <c r="AE946" s="170"/>
      <c r="AF946" s="225">
        <f t="shared" si="8"/>
        <v>0</v>
      </c>
    </row>
    <row r="947" ht="12.75" customHeight="1">
      <c r="V947" s="30">
        <f t="shared" si="1"/>
        <v>0</v>
      </c>
      <c r="Y947" s="30"/>
      <c r="Z947" s="224">
        <f t="shared" si="2"/>
        <v>0</v>
      </c>
      <c r="AA947" s="223">
        <f t="shared" si="3"/>
        <v>0</v>
      </c>
      <c r="AB947" s="170">
        <f t="shared" si="4"/>
        <v>0</v>
      </c>
      <c r="AC947" s="170">
        <f t="shared" si="5"/>
        <v>0</v>
      </c>
      <c r="AD947" s="170">
        <f t="shared" si="6"/>
        <v>0</v>
      </c>
      <c r="AE947" s="170"/>
      <c r="AF947" s="225">
        <f t="shared" si="8"/>
        <v>0</v>
      </c>
    </row>
    <row r="948" ht="12.75" customHeight="1">
      <c r="V948" s="30">
        <f t="shared" si="1"/>
        <v>0</v>
      </c>
      <c r="Y948" s="30"/>
      <c r="Z948" s="224">
        <f t="shared" si="2"/>
        <v>0</v>
      </c>
      <c r="AA948" s="223">
        <f t="shared" si="3"/>
        <v>0</v>
      </c>
      <c r="AB948" s="170">
        <f t="shared" si="4"/>
        <v>0</v>
      </c>
      <c r="AC948" s="170">
        <f t="shared" si="5"/>
        <v>0</v>
      </c>
      <c r="AD948" s="170">
        <f t="shared" si="6"/>
        <v>0</v>
      </c>
      <c r="AE948" s="170"/>
      <c r="AF948" s="225">
        <f t="shared" si="8"/>
        <v>0</v>
      </c>
    </row>
    <row r="949" ht="12.75" customHeight="1">
      <c r="V949" s="30">
        <f t="shared" si="1"/>
        <v>0</v>
      </c>
      <c r="Y949" s="30"/>
      <c r="Z949" s="224">
        <f t="shared" si="2"/>
        <v>0</v>
      </c>
      <c r="AA949" s="223">
        <f t="shared" si="3"/>
        <v>0</v>
      </c>
      <c r="AB949" s="170">
        <f t="shared" si="4"/>
        <v>0</v>
      </c>
      <c r="AC949" s="170">
        <f t="shared" si="5"/>
        <v>0</v>
      </c>
      <c r="AD949" s="170">
        <f t="shared" si="6"/>
        <v>0</v>
      </c>
      <c r="AE949" s="170"/>
      <c r="AF949" s="225">
        <f t="shared" si="8"/>
        <v>0</v>
      </c>
    </row>
    <row r="950" ht="12.75" customHeight="1">
      <c r="V950" s="30">
        <f t="shared" si="1"/>
        <v>0</v>
      </c>
      <c r="Y950" s="30"/>
      <c r="Z950" s="224">
        <f t="shared" si="2"/>
        <v>0</v>
      </c>
      <c r="AA950" s="223">
        <f t="shared" si="3"/>
        <v>0</v>
      </c>
      <c r="AB950" s="170">
        <f t="shared" si="4"/>
        <v>0</v>
      </c>
      <c r="AC950" s="170">
        <f t="shared" si="5"/>
        <v>0</v>
      </c>
      <c r="AD950" s="170">
        <f t="shared" si="6"/>
        <v>0</v>
      </c>
      <c r="AE950" s="170"/>
      <c r="AF950" s="225">
        <f t="shared" si="8"/>
        <v>0</v>
      </c>
    </row>
    <row r="951" ht="12.75" customHeight="1">
      <c r="V951" s="30">
        <f t="shared" si="1"/>
        <v>0</v>
      </c>
      <c r="Y951" s="30"/>
      <c r="Z951" s="224">
        <f t="shared" si="2"/>
        <v>0</v>
      </c>
      <c r="AA951" s="223">
        <f t="shared" si="3"/>
        <v>0</v>
      </c>
      <c r="AB951" s="170">
        <f t="shared" si="4"/>
        <v>0</v>
      </c>
      <c r="AC951" s="170">
        <f t="shared" si="5"/>
        <v>0</v>
      </c>
      <c r="AD951" s="170">
        <f t="shared" si="6"/>
        <v>0</v>
      </c>
      <c r="AE951" s="170"/>
      <c r="AF951" s="225">
        <f t="shared" si="8"/>
        <v>0</v>
      </c>
    </row>
    <row r="952" ht="12.75" customHeight="1">
      <c r="V952" s="30">
        <f t="shared" si="1"/>
        <v>0</v>
      </c>
      <c r="Y952" s="30"/>
      <c r="Z952" s="224">
        <f t="shared" si="2"/>
        <v>0</v>
      </c>
      <c r="AA952" s="223">
        <f t="shared" si="3"/>
        <v>0</v>
      </c>
      <c r="AB952" s="170">
        <f t="shared" si="4"/>
        <v>0</v>
      </c>
      <c r="AC952" s="170">
        <f t="shared" si="5"/>
        <v>0</v>
      </c>
      <c r="AD952" s="170">
        <f t="shared" si="6"/>
        <v>0</v>
      </c>
      <c r="AE952" s="170"/>
      <c r="AF952" s="225">
        <f t="shared" si="8"/>
        <v>0</v>
      </c>
    </row>
    <row r="953" ht="12.75" customHeight="1">
      <c r="V953" s="30">
        <f t="shared" si="1"/>
        <v>0</v>
      </c>
      <c r="Y953" s="30"/>
      <c r="Z953" s="224">
        <f t="shared" si="2"/>
        <v>0</v>
      </c>
      <c r="AA953" s="223">
        <f t="shared" si="3"/>
        <v>0</v>
      </c>
      <c r="AB953" s="170">
        <f t="shared" si="4"/>
        <v>0</v>
      </c>
      <c r="AC953" s="170">
        <f t="shared" si="5"/>
        <v>0</v>
      </c>
      <c r="AD953" s="170">
        <f t="shared" si="6"/>
        <v>0</v>
      </c>
      <c r="AE953" s="170"/>
      <c r="AF953" s="225">
        <f t="shared" si="8"/>
        <v>0</v>
      </c>
    </row>
    <row r="954" ht="12.75" customHeight="1">
      <c r="V954" s="30">
        <f t="shared" si="1"/>
        <v>0</v>
      </c>
      <c r="Y954" s="30"/>
      <c r="Z954" s="224">
        <f t="shared" si="2"/>
        <v>0</v>
      </c>
      <c r="AA954" s="223">
        <f t="shared" si="3"/>
        <v>0</v>
      </c>
      <c r="AB954" s="170">
        <f t="shared" si="4"/>
        <v>0</v>
      </c>
      <c r="AC954" s="170">
        <f t="shared" si="5"/>
        <v>0</v>
      </c>
      <c r="AD954" s="170">
        <f t="shared" si="6"/>
        <v>0</v>
      </c>
      <c r="AE954" s="170"/>
      <c r="AF954" s="225">
        <f t="shared" si="8"/>
        <v>0</v>
      </c>
    </row>
    <row r="955" ht="12.75" customHeight="1">
      <c r="V955" s="30">
        <f t="shared" si="1"/>
        <v>0</v>
      </c>
      <c r="Y955" s="30"/>
      <c r="Z955" s="224">
        <f t="shared" si="2"/>
        <v>0</v>
      </c>
      <c r="AA955" s="223">
        <f t="shared" si="3"/>
        <v>0</v>
      </c>
      <c r="AB955" s="170">
        <f t="shared" si="4"/>
        <v>0</v>
      </c>
      <c r="AC955" s="170">
        <f t="shared" si="5"/>
        <v>0</v>
      </c>
      <c r="AD955" s="170">
        <f t="shared" si="6"/>
        <v>0</v>
      </c>
      <c r="AE955" s="170"/>
      <c r="AF955" s="225">
        <f t="shared" si="8"/>
        <v>0</v>
      </c>
    </row>
    <row r="956" ht="12.75" customHeight="1">
      <c r="V956" s="30">
        <f t="shared" si="1"/>
        <v>0</v>
      </c>
      <c r="Y956" s="30"/>
      <c r="Z956" s="224">
        <f t="shared" si="2"/>
        <v>0</v>
      </c>
      <c r="AA956" s="223">
        <f t="shared" si="3"/>
        <v>0</v>
      </c>
      <c r="AB956" s="170">
        <f t="shared" si="4"/>
        <v>0</v>
      </c>
      <c r="AC956" s="170">
        <f t="shared" si="5"/>
        <v>0</v>
      </c>
      <c r="AD956" s="170">
        <f t="shared" si="6"/>
        <v>0</v>
      </c>
      <c r="AE956" s="170"/>
      <c r="AF956" s="225">
        <f t="shared" si="8"/>
        <v>0</v>
      </c>
    </row>
    <row r="957" ht="12.75" customHeight="1">
      <c r="V957" s="30">
        <f t="shared" si="1"/>
        <v>0</v>
      </c>
      <c r="Y957" s="30"/>
      <c r="Z957" s="224">
        <f t="shared" si="2"/>
        <v>0</v>
      </c>
      <c r="AA957" s="223">
        <f t="shared" si="3"/>
        <v>0</v>
      </c>
      <c r="AB957" s="170">
        <f t="shared" si="4"/>
        <v>0</v>
      </c>
      <c r="AC957" s="170">
        <f t="shared" si="5"/>
        <v>0</v>
      </c>
      <c r="AD957" s="170">
        <f t="shared" si="6"/>
        <v>0</v>
      </c>
      <c r="AE957" s="170"/>
      <c r="AF957" s="225">
        <f t="shared" si="8"/>
        <v>0</v>
      </c>
    </row>
    <row r="958" ht="12.75" customHeight="1">
      <c r="V958" s="30">
        <f t="shared" si="1"/>
        <v>0</v>
      </c>
      <c r="Y958" s="30"/>
      <c r="Z958" s="224">
        <f t="shared" si="2"/>
        <v>0</v>
      </c>
      <c r="AA958" s="223">
        <f t="shared" si="3"/>
        <v>0</v>
      </c>
      <c r="AB958" s="170">
        <f t="shared" si="4"/>
        <v>0</v>
      </c>
      <c r="AC958" s="170">
        <f t="shared" si="5"/>
        <v>0</v>
      </c>
      <c r="AD958" s="170">
        <f t="shared" si="6"/>
        <v>0</v>
      </c>
      <c r="AE958" s="170"/>
      <c r="AF958" s="225">
        <f t="shared" si="8"/>
        <v>0</v>
      </c>
    </row>
    <row r="959" ht="12.75" customHeight="1">
      <c r="V959" s="30">
        <f t="shared" si="1"/>
        <v>0</v>
      </c>
      <c r="Y959" s="30"/>
      <c r="Z959" s="224">
        <f t="shared" si="2"/>
        <v>0</v>
      </c>
      <c r="AA959" s="223">
        <f t="shared" si="3"/>
        <v>0</v>
      </c>
      <c r="AB959" s="170">
        <f t="shared" si="4"/>
        <v>0</v>
      </c>
      <c r="AC959" s="170">
        <f t="shared" si="5"/>
        <v>0</v>
      </c>
      <c r="AD959" s="170">
        <f t="shared" si="6"/>
        <v>0</v>
      </c>
      <c r="AE959" s="170"/>
      <c r="AF959" s="225">
        <f t="shared" si="8"/>
        <v>0</v>
      </c>
    </row>
    <row r="960" ht="12.75" customHeight="1">
      <c r="V960" s="30">
        <f t="shared" si="1"/>
        <v>0</v>
      </c>
      <c r="Y960" s="30"/>
      <c r="Z960" s="224">
        <f t="shared" si="2"/>
        <v>0</v>
      </c>
      <c r="AA960" s="223">
        <f t="shared" si="3"/>
        <v>0</v>
      </c>
      <c r="AB960" s="170">
        <f t="shared" si="4"/>
        <v>0</v>
      </c>
      <c r="AC960" s="170">
        <f t="shared" si="5"/>
        <v>0</v>
      </c>
      <c r="AD960" s="170">
        <f t="shared" si="6"/>
        <v>0</v>
      </c>
      <c r="AE960" s="170"/>
      <c r="AF960" s="225">
        <f t="shared" si="8"/>
        <v>0</v>
      </c>
    </row>
    <row r="961" ht="12.75" customHeight="1">
      <c r="V961" s="30">
        <f t="shared" si="1"/>
        <v>0</v>
      </c>
      <c r="Y961" s="30"/>
      <c r="Z961" s="224">
        <f t="shared" si="2"/>
        <v>0</v>
      </c>
      <c r="AA961" s="223">
        <f t="shared" si="3"/>
        <v>0</v>
      </c>
      <c r="AB961" s="170">
        <f t="shared" si="4"/>
        <v>0</v>
      </c>
      <c r="AC961" s="170">
        <f t="shared" si="5"/>
        <v>0</v>
      </c>
      <c r="AD961" s="170">
        <f t="shared" si="6"/>
        <v>0</v>
      </c>
      <c r="AE961" s="170"/>
      <c r="AF961" s="225">
        <f t="shared" si="8"/>
        <v>0</v>
      </c>
    </row>
    <row r="962" ht="12.75" customHeight="1">
      <c r="V962" s="30">
        <f t="shared" si="1"/>
        <v>0</v>
      </c>
      <c r="Y962" s="30"/>
      <c r="Z962" s="224">
        <f t="shared" si="2"/>
        <v>0</v>
      </c>
      <c r="AA962" s="223">
        <f t="shared" si="3"/>
        <v>0</v>
      </c>
      <c r="AB962" s="170">
        <f t="shared" si="4"/>
        <v>0</v>
      </c>
      <c r="AC962" s="170">
        <f t="shared" si="5"/>
        <v>0</v>
      </c>
      <c r="AD962" s="170">
        <f t="shared" si="6"/>
        <v>0</v>
      </c>
      <c r="AE962" s="170"/>
      <c r="AF962" s="225">
        <f t="shared" si="8"/>
        <v>0</v>
      </c>
    </row>
    <row r="963" ht="12.75" customHeight="1">
      <c r="V963" s="30">
        <f t="shared" si="1"/>
        <v>0</v>
      </c>
      <c r="Y963" s="30"/>
      <c r="Z963" s="224">
        <f t="shared" si="2"/>
        <v>0</v>
      </c>
      <c r="AA963" s="223">
        <f t="shared" si="3"/>
        <v>0</v>
      </c>
      <c r="AB963" s="170">
        <f t="shared" si="4"/>
        <v>0</v>
      </c>
      <c r="AC963" s="170">
        <f t="shared" si="5"/>
        <v>0</v>
      </c>
      <c r="AD963" s="170">
        <f t="shared" si="6"/>
        <v>0</v>
      </c>
      <c r="AE963" s="170"/>
      <c r="AF963" s="225">
        <f t="shared" si="8"/>
        <v>0</v>
      </c>
    </row>
    <row r="964" ht="12.75" customHeight="1">
      <c r="V964" s="30">
        <f t="shared" si="1"/>
        <v>0</v>
      </c>
      <c r="Y964" s="30"/>
      <c r="Z964" s="224">
        <f t="shared" si="2"/>
        <v>0</v>
      </c>
      <c r="AA964" s="223">
        <f t="shared" si="3"/>
        <v>0</v>
      </c>
      <c r="AB964" s="170">
        <f t="shared" si="4"/>
        <v>0</v>
      </c>
      <c r="AC964" s="170">
        <f t="shared" si="5"/>
        <v>0</v>
      </c>
      <c r="AD964" s="170">
        <f t="shared" si="6"/>
        <v>0</v>
      </c>
      <c r="AE964" s="170"/>
      <c r="AF964" s="225">
        <f t="shared" si="8"/>
        <v>0</v>
      </c>
    </row>
    <row r="965" ht="12.75" customHeight="1">
      <c r="V965" s="30">
        <f t="shared" si="1"/>
        <v>0</v>
      </c>
      <c r="Y965" s="30"/>
      <c r="Z965" s="224">
        <f t="shared" si="2"/>
        <v>0</v>
      </c>
      <c r="AA965" s="223">
        <f t="shared" si="3"/>
        <v>0</v>
      </c>
      <c r="AB965" s="170">
        <f t="shared" si="4"/>
        <v>0</v>
      </c>
      <c r="AC965" s="170">
        <f t="shared" si="5"/>
        <v>0</v>
      </c>
      <c r="AD965" s="170">
        <f t="shared" si="6"/>
        <v>0</v>
      </c>
      <c r="AE965" s="170"/>
      <c r="AF965" s="225">
        <f t="shared" si="8"/>
        <v>0</v>
      </c>
    </row>
    <row r="966" ht="12.75" customHeight="1">
      <c r="V966" s="30">
        <f t="shared" si="1"/>
        <v>0</v>
      </c>
      <c r="Y966" s="30"/>
      <c r="Z966" s="224">
        <f t="shared" si="2"/>
        <v>0</v>
      </c>
      <c r="AA966" s="223">
        <f t="shared" si="3"/>
        <v>0</v>
      </c>
      <c r="AB966" s="170">
        <f t="shared" si="4"/>
        <v>0</v>
      </c>
      <c r="AC966" s="170">
        <f t="shared" si="5"/>
        <v>0</v>
      </c>
      <c r="AD966" s="170">
        <f t="shared" si="6"/>
        <v>0</v>
      </c>
      <c r="AE966" s="170"/>
      <c r="AF966" s="225">
        <f t="shared" si="8"/>
        <v>0</v>
      </c>
    </row>
    <row r="967" ht="12.75" customHeight="1">
      <c r="V967" s="30">
        <f t="shared" si="1"/>
        <v>0</v>
      </c>
      <c r="Y967" s="30"/>
      <c r="Z967" s="224">
        <f t="shared" si="2"/>
        <v>0</v>
      </c>
      <c r="AA967" s="223">
        <f t="shared" si="3"/>
        <v>0</v>
      </c>
      <c r="AB967" s="170">
        <f t="shared" si="4"/>
        <v>0</v>
      </c>
      <c r="AC967" s="170">
        <f t="shared" si="5"/>
        <v>0</v>
      </c>
      <c r="AD967" s="170">
        <f t="shared" si="6"/>
        <v>0</v>
      </c>
      <c r="AE967" s="170"/>
      <c r="AF967" s="225">
        <f t="shared" si="8"/>
        <v>0</v>
      </c>
    </row>
    <row r="968" ht="12.75" customHeight="1">
      <c r="V968" s="30">
        <f t="shared" si="1"/>
        <v>0</v>
      </c>
      <c r="Y968" s="30"/>
      <c r="Z968" s="224">
        <f t="shared" si="2"/>
        <v>0</v>
      </c>
      <c r="AA968" s="223">
        <f t="shared" si="3"/>
        <v>0</v>
      </c>
      <c r="AB968" s="170">
        <f t="shared" si="4"/>
        <v>0</v>
      </c>
      <c r="AC968" s="170">
        <f t="shared" si="5"/>
        <v>0</v>
      </c>
      <c r="AD968" s="170">
        <f t="shared" si="6"/>
        <v>0</v>
      </c>
      <c r="AE968" s="170"/>
      <c r="AF968" s="225">
        <f t="shared" si="8"/>
        <v>0</v>
      </c>
    </row>
    <row r="969" ht="12.75" customHeight="1">
      <c r="V969" s="30">
        <f t="shared" si="1"/>
        <v>0</v>
      </c>
      <c r="Y969" s="30"/>
      <c r="Z969" s="224">
        <f t="shared" si="2"/>
        <v>0</v>
      </c>
      <c r="AA969" s="223">
        <f t="shared" si="3"/>
        <v>0</v>
      </c>
      <c r="AB969" s="170">
        <f t="shared" si="4"/>
        <v>0</v>
      </c>
      <c r="AC969" s="170">
        <f t="shared" si="5"/>
        <v>0</v>
      </c>
      <c r="AD969" s="170">
        <f t="shared" si="6"/>
        <v>0</v>
      </c>
      <c r="AE969" s="170"/>
      <c r="AF969" s="225">
        <f t="shared" si="8"/>
        <v>0</v>
      </c>
    </row>
    <row r="970" ht="12.75" customHeight="1">
      <c r="V970" s="30">
        <f t="shared" si="1"/>
        <v>0</v>
      </c>
      <c r="Y970" s="30"/>
      <c r="Z970" s="224">
        <f t="shared" si="2"/>
        <v>0</v>
      </c>
      <c r="AA970" s="223">
        <f t="shared" si="3"/>
        <v>0</v>
      </c>
      <c r="AB970" s="170">
        <f t="shared" si="4"/>
        <v>0</v>
      </c>
      <c r="AC970" s="170">
        <f t="shared" si="5"/>
        <v>0</v>
      </c>
      <c r="AD970" s="170">
        <f t="shared" si="6"/>
        <v>0</v>
      </c>
      <c r="AE970" s="170"/>
      <c r="AF970" s="225">
        <f t="shared" si="8"/>
        <v>0</v>
      </c>
    </row>
    <row r="971" ht="12.75" customHeight="1">
      <c r="V971" s="30">
        <f t="shared" si="1"/>
        <v>0</v>
      </c>
      <c r="Y971" s="30"/>
      <c r="Z971" s="224">
        <f t="shared" si="2"/>
        <v>0</v>
      </c>
      <c r="AA971" s="223">
        <f t="shared" si="3"/>
        <v>0</v>
      </c>
      <c r="AB971" s="170">
        <f t="shared" si="4"/>
        <v>0</v>
      </c>
      <c r="AC971" s="170">
        <f t="shared" si="5"/>
        <v>0</v>
      </c>
      <c r="AD971" s="170">
        <f t="shared" si="6"/>
        <v>0</v>
      </c>
      <c r="AE971" s="170"/>
      <c r="AF971" s="225">
        <f t="shared" si="8"/>
        <v>0</v>
      </c>
    </row>
    <row r="972" ht="12.75" customHeight="1">
      <c r="V972" s="30">
        <f t="shared" si="1"/>
        <v>0</v>
      </c>
      <c r="Y972" s="30"/>
      <c r="Z972" s="224">
        <f t="shared" si="2"/>
        <v>0</v>
      </c>
      <c r="AA972" s="223">
        <f t="shared" si="3"/>
        <v>0</v>
      </c>
      <c r="AB972" s="170">
        <f t="shared" si="4"/>
        <v>0</v>
      </c>
      <c r="AC972" s="170">
        <f t="shared" si="5"/>
        <v>0</v>
      </c>
      <c r="AD972" s="170">
        <f t="shared" si="6"/>
        <v>0</v>
      </c>
      <c r="AE972" s="170"/>
      <c r="AF972" s="225">
        <f t="shared" si="8"/>
        <v>0</v>
      </c>
    </row>
    <row r="973" ht="12.75" customHeight="1">
      <c r="V973" s="30">
        <f t="shared" si="1"/>
        <v>0</v>
      </c>
      <c r="Y973" s="30"/>
      <c r="Z973" s="224">
        <f t="shared" si="2"/>
        <v>0</v>
      </c>
      <c r="AA973" s="223">
        <f t="shared" si="3"/>
        <v>0</v>
      </c>
      <c r="AB973" s="170">
        <f t="shared" si="4"/>
        <v>0</v>
      </c>
      <c r="AC973" s="170">
        <f t="shared" si="5"/>
        <v>0</v>
      </c>
      <c r="AD973" s="170">
        <f t="shared" si="6"/>
        <v>0</v>
      </c>
      <c r="AE973" s="170"/>
      <c r="AF973" s="225">
        <f t="shared" si="8"/>
        <v>0</v>
      </c>
    </row>
    <row r="974" ht="12.75" customHeight="1">
      <c r="V974" s="30">
        <f t="shared" si="1"/>
        <v>0</v>
      </c>
      <c r="Y974" s="30"/>
      <c r="Z974" s="224">
        <f t="shared" si="2"/>
        <v>0</v>
      </c>
      <c r="AA974" s="223">
        <f t="shared" si="3"/>
        <v>0</v>
      </c>
      <c r="AB974" s="170">
        <f t="shared" si="4"/>
        <v>0</v>
      </c>
      <c r="AC974" s="170">
        <f t="shared" si="5"/>
        <v>0</v>
      </c>
      <c r="AD974" s="170">
        <f t="shared" si="6"/>
        <v>0</v>
      </c>
      <c r="AE974" s="170"/>
      <c r="AF974" s="225">
        <f t="shared" si="8"/>
        <v>0</v>
      </c>
    </row>
    <row r="975" ht="12.75" customHeight="1">
      <c r="V975" s="30">
        <f t="shared" si="1"/>
        <v>0</v>
      </c>
      <c r="Y975" s="30"/>
      <c r="Z975" s="224">
        <f t="shared" si="2"/>
        <v>0</v>
      </c>
      <c r="AA975" s="223">
        <f t="shared" si="3"/>
        <v>0</v>
      </c>
      <c r="AB975" s="170">
        <f t="shared" si="4"/>
        <v>0</v>
      </c>
      <c r="AC975" s="170">
        <f t="shared" si="5"/>
        <v>0</v>
      </c>
      <c r="AD975" s="170">
        <f t="shared" si="6"/>
        <v>0</v>
      </c>
      <c r="AE975" s="170"/>
      <c r="AF975" s="225">
        <f t="shared" si="8"/>
        <v>0</v>
      </c>
    </row>
    <row r="976" ht="12.75" customHeight="1">
      <c r="V976" s="30">
        <f t="shared" si="1"/>
        <v>0</v>
      </c>
      <c r="Y976" s="30"/>
      <c r="Z976" s="224">
        <f t="shared" si="2"/>
        <v>0</v>
      </c>
      <c r="AA976" s="223">
        <f t="shared" si="3"/>
        <v>0</v>
      </c>
      <c r="AB976" s="170">
        <f t="shared" si="4"/>
        <v>0</v>
      </c>
      <c r="AC976" s="170">
        <f t="shared" si="5"/>
        <v>0</v>
      </c>
      <c r="AD976" s="170">
        <f t="shared" si="6"/>
        <v>0</v>
      </c>
      <c r="AE976" s="170"/>
      <c r="AF976" s="225">
        <f t="shared" si="8"/>
        <v>0</v>
      </c>
    </row>
    <row r="977" ht="12.75" customHeight="1">
      <c r="V977" s="30">
        <f t="shared" si="1"/>
        <v>0</v>
      </c>
      <c r="Y977" s="30"/>
      <c r="Z977" s="224">
        <f t="shared" si="2"/>
        <v>0</v>
      </c>
      <c r="AA977" s="223">
        <f t="shared" si="3"/>
        <v>0</v>
      </c>
      <c r="AB977" s="170">
        <f t="shared" si="4"/>
        <v>0</v>
      </c>
      <c r="AC977" s="170">
        <f t="shared" si="5"/>
        <v>0</v>
      </c>
      <c r="AD977" s="170">
        <f t="shared" si="6"/>
        <v>0</v>
      </c>
      <c r="AE977" s="170"/>
      <c r="AF977" s="225">
        <f t="shared" si="8"/>
        <v>0</v>
      </c>
    </row>
    <row r="978" ht="12.75" customHeight="1">
      <c r="V978" s="30">
        <f t="shared" si="1"/>
        <v>0</v>
      </c>
      <c r="Y978" s="30"/>
      <c r="Z978" s="224">
        <f t="shared" si="2"/>
        <v>0</v>
      </c>
      <c r="AA978" s="223">
        <f t="shared" si="3"/>
        <v>0</v>
      </c>
      <c r="AB978" s="170">
        <f t="shared" si="4"/>
        <v>0</v>
      </c>
      <c r="AC978" s="170">
        <f t="shared" si="5"/>
        <v>0</v>
      </c>
      <c r="AD978" s="170">
        <f t="shared" si="6"/>
        <v>0</v>
      </c>
      <c r="AE978" s="170"/>
      <c r="AF978" s="225">
        <f t="shared" si="8"/>
        <v>0</v>
      </c>
    </row>
    <row r="979" ht="12.75" customHeight="1">
      <c r="V979" s="30">
        <f t="shared" si="1"/>
        <v>0</v>
      </c>
      <c r="Y979" s="30"/>
      <c r="Z979" s="224">
        <f t="shared" si="2"/>
        <v>0</v>
      </c>
      <c r="AA979" s="223">
        <f t="shared" si="3"/>
        <v>0</v>
      </c>
      <c r="AB979" s="170">
        <f t="shared" si="4"/>
        <v>0</v>
      </c>
      <c r="AC979" s="170">
        <f t="shared" si="5"/>
        <v>0</v>
      </c>
      <c r="AD979" s="170">
        <f t="shared" si="6"/>
        <v>0</v>
      </c>
      <c r="AE979" s="170"/>
      <c r="AF979" s="225">
        <f t="shared" si="8"/>
        <v>0</v>
      </c>
    </row>
    <row r="980" ht="12.75" customHeight="1">
      <c r="V980" s="30">
        <f t="shared" si="1"/>
        <v>0</v>
      </c>
      <c r="Y980" s="30"/>
      <c r="Z980" s="224">
        <f t="shared" si="2"/>
        <v>0</v>
      </c>
      <c r="AA980" s="223">
        <f t="shared" si="3"/>
        <v>0</v>
      </c>
      <c r="AB980" s="170">
        <f t="shared" si="4"/>
        <v>0</v>
      </c>
      <c r="AC980" s="170">
        <f t="shared" si="5"/>
        <v>0</v>
      </c>
      <c r="AD980" s="170">
        <f t="shared" si="6"/>
        <v>0</v>
      </c>
      <c r="AE980" s="170"/>
      <c r="AF980" s="225">
        <f t="shared" si="8"/>
        <v>0</v>
      </c>
    </row>
    <row r="981" ht="12.75" customHeight="1">
      <c r="V981" s="30">
        <f t="shared" si="1"/>
        <v>0</v>
      </c>
      <c r="Y981" s="30"/>
      <c r="Z981" s="224">
        <f t="shared" si="2"/>
        <v>0</v>
      </c>
      <c r="AA981" s="223">
        <f t="shared" si="3"/>
        <v>0</v>
      </c>
      <c r="AB981" s="170">
        <f t="shared" si="4"/>
        <v>0</v>
      </c>
      <c r="AC981" s="170">
        <f t="shared" si="5"/>
        <v>0</v>
      </c>
      <c r="AD981" s="170">
        <f t="shared" si="6"/>
        <v>0</v>
      </c>
      <c r="AE981" s="170"/>
      <c r="AF981" s="225">
        <f t="shared" si="8"/>
        <v>0</v>
      </c>
    </row>
    <row r="982" ht="12.75" customHeight="1">
      <c r="V982" s="30">
        <f t="shared" si="1"/>
        <v>0</v>
      </c>
      <c r="Y982" s="30"/>
      <c r="Z982" s="224">
        <f t="shared" si="2"/>
        <v>0</v>
      </c>
      <c r="AA982" s="223">
        <f t="shared" si="3"/>
        <v>0</v>
      </c>
      <c r="AB982" s="170">
        <f t="shared" si="4"/>
        <v>0</v>
      </c>
      <c r="AC982" s="170">
        <f t="shared" si="5"/>
        <v>0</v>
      </c>
      <c r="AD982" s="170">
        <f t="shared" si="6"/>
        <v>0</v>
      </c>
      <c r="AE982" s="170"/>
      <c r="AF982" s="225">
        <f t="shared" si="8"/>
        <v>0</v>
      </c>
    </row>
    <row r="983" ht="12.75" customHeight="1">
      <c r="V983" s="30">
        <f t="shared" si="1"/>
        <v>0</v>
      </c>
      <c r="Y983" s="30"/>
      <c r="Z983" s="224">
        <f t="shared" si="2"/>
        <v>0</v>
      </c>
      <c r="AA983" s="223">
        <f t="shared" si="3"/>
        <v>0</v>
      </c>
      <c r="AB983" s="170">
        <f t="shared" si="4"/>
        <v>0</v>
      </c>
      <c r="AC983" s="170">
        <f t="shared" si="5"/>
        <v>0</v>
      </c>
      <c r="AD983" s="170">
        <f t="shared" si="6"/>
        <v>0</v>
      </c>
      <c r="AE983" s="170"/>
      <c r="AF983" s="225">
        <f t="shared" si="8"/>
        <v>0</v>
      </c>
    </row>
    <row r="984" ht="12.75" customHeight="1">
      <c r="V984" s="30">
        <f t="shared" si="1"/>
        <v>0</v>
      </c>
      <c r="Y984" s="30"/>
      <c r="Z984" s="224">
        <f t="shared" si="2"/>
        <v>0</v>
      </c>
      <c r="AA984" s="223">
        <f t="shared" si="3"/>
        <v>0</v>
      </c>
      <c r="AB984" s="170">
        <f t="shared" si="4"/>
        <v>0</v>
      </c>
      <c r="AC984" s="170">
        <f t="shared" si="5"/>
        <v>0</v>
      </c>
      <c r="AD984" s="170">
        <f t="shared" si="6"/>
        <v>0</v>
      </c>
      <c r="AE984" s="170"/>
      <c r="AF984" s="225">
        <f t="shared" si="8"/>
        <v>0</v>
      </c>
    </row>
    <row r="985" ht="12.75" customHeight="1">
      <c r="V985" s="30">
        <f t="shared" si="1"/>
        <v>0</v>
      </c>
      <c r="Y985" s="30"/>
      <c r="Z985" s="224">
        <f t="shared" si="2"/>
        <v>0</v>
      </c>
      <c r="AA985" s="223">
        <f t="shared" si="3"/>
        <v>0</v>
      </c>
      <c r="AB985" s="170">
        <f t="shared" si="4"/>
        <v>0</v>
      </c>
      <c r="AC985" s="170">
        <f t="shared" si="5"/>
        <v>0</v>
      </c>
      <c r="AD985" s="170">
        <f t="shared" si="6"/>
        <v>0</v>
      </c>
      <c r="AE985" s="170"/>
      <c r="AF985" s="225">
        <f t="shared" si="8"/>
        <v>0</v>
      </c>
    </row>
    <row r="986" ht="12.75" customHeight="1">
      <c r="V986" s="30">
        <f t="shared" si="1"/>
        <v>0</v>
      </c>
      <c r="Y986" s="30"/>
      <c r="Z986" s="224">
        <f t="shared" si="2"/>
        <v>0</v>
      </c>
      <c r="AA986" s="223">
        <f t="shared" si="3"/>
        <v>0</v>
      </c>
      <c r="AB986" s="170">
        <f t="shared" si="4"/>
        <v>0</v>
      </c>
      <c r="AC986" s="170">
        <f t="shared" si="5"/>
        <v>0</v>
      </c>
      <c r="AD986" s="170">
        <f t="shared" si="6"/>
        <v>0</v>
      </c>
      <c r="AE986" s="170"/>
      <c r="AF986" s="225">
        <f t="shared" si="8"/>
        <v>0</v>
      </c>
    </row>
    <row r="987" ht="12.75" customHeight="1">
      <c r="V987" s="30">
        <f t="shared" si="1"/>
        <v>0</v>
      </c>
      <c r="Y987" s="30"/>
      <c r="Z987" s="224">
        <f t="shared" si="2"/>
        <v>0</v>
      </c>
      <c r="AA987" s="223">
        <f t="shared" si="3"/>
        <v>0</v>
      </c>
      <c r="AB987" s="170">
        <f t="shared" si="4"/>
        <v>0</v>
      </c>
      <c r="AC987" s="170">
        <f t="shared" si="5"/>
        <v>0</v>
      </c>
      <c r="AD987" s="170">
        <f t="shared" si="6"/>
        <v>0</v>
      </c>
      <c r="AE987" s="170"/>
      <c r="AF987" s="225">
        <f t="shared" si="8"/>
        <v>0</v>
      </c>
    </row>
    <row r="988" ht="12.75" customHeight="1">
      <c r="V988" s="30">
        <f t="shared" si="1"/>
        <v>0</v>
      </c>
      <c r="Y988" s="30"/>
      <c r="Z988" s="224">
        <f t="shared" si="2"/>
        <v>0</v>
      </c>
      <c r="AA988" s="223">
        <f t="shared" si="3"/>
        <v>0</v>
      </c>
      <c r="AB988" s="170">
        <f t="shared" si="4"/>
        <v>0</v>
      </c>
      <c r="AC988" s="170">
        <f t="shared" si="5"/>
        <v>0</v>
      </c>
      <c r="AD988" s="170">
        <f t="shared" si="6"/>
        <v>0</v>
      </c>
      <c r="AE988" s="170"/>
      <c r="AF988" s="225">
        <f t="shared" si="8"/>
        <v>0</v>
      </c>
    </row>
    <row r="989" ht="12.75" customHeight="1">
      <c r="V989" s="30">
        <f t="shared" si="1"/>
        <v>0</v>
      </c>
      <c r="Y989" s="30"/>
      <c r="Z989" s="224">
        <f t="shared" si="2"/>
        <v>0</v>
      </c>
      <c r="AA989" s="223">
        <f t="shared" si="3"/>
        <v>0</v>
      </c>
      <c r="AB989" s="170">
        <f t="shared" si="4"/>
        <v>0</v>
      </c>
      <c r="AC989" s="170">
        <f t="shared" si="5"/>
        <v>0</v>
      </c>
      <c r="AD989" s="170">
        <f t="shared" si="6"/>
        <v>0</v>
      </c>
      <c r="AE989" s="170"/>
      <c r="AF989" s="225">
        <f t="shared" si="8"/>
        <v>0</v>
      </c>
    </row>
    <row r="990" ht="12.75" customHeight="1">
      <c r="V990" s="30">
        <f t="shared" si="1"/>
        <v>0</v>
      </c>
      <c r="Y990" s="30"/>
      <c r="Z990" s="224">
        <f t="shared" si="2"/>
        <v>0</v>
      </c>
      <c r="AA990" s="223">
        <f t="shared" si="3"/>
        <v>0</v>
      </c>
      <c r="AB990" s="170">
        <f t="shared" si="4"/>
        <v>0</v>
      </c>
      <c r="AC990" s="170">
        <f t="shared" si="5"/>
        <v>0</v>
      </c>
      <c r="AD990" s="170">
        <f t="shared" si="6"/>
        <v>0</v>
      </c>
      <c r="AE990" s="170"/>
      <c r="AF990" s="225">
        <f t="shared" si="8"/>
        <v>0</v>
      </c>
    </row>
    <row r="991" ht="12.75" customHeight="1">
      <c r="V991" s="30">
        <f t="shared" si="1"/>
        <v>0</v>
      </c>
      <c r="Y991" s="30"/>
      <c r="Z991" s="224">
        <f t="shared" si="2"/>
        <v>0</v>
      </c>
      <c r="AA991" s="223">
        <f t="shared" si="3"/>
        <v>0</v>
      </c>
      <c r="AB991" s="170">
        <f t="shared" si="4"/>
        <v>0</v>
      </c>
      <c r="AC991" s="170">
        <f t="shared" si="5"/>
        <v>0</v>
      </c>
      <c r="AD991" s="170">
        <f t="shared" si="6"/>
        <v>0</v>
      </c>
      <c r="AE991" s="170"/>
      <c r="AF991" s="225">
        <f t="shared" si="8"/>
        <v>0</v>
      </c>
    </row>
    <row r="992" ht="12.75" customHeight="1">
      <c r="V992" s="30">
        <f t="shared" si="1"/>
        <v>0</v>
      </c>
      <c r="Y992" s="30"/>
      <c r="Z992" s="224">
        <f t="shared" si="2"/>
        <v>0</v>
      </c>
      <c r="AA992" s="223">
        <f t="shared" si="3"/>
        <v>0</v>
      </c>
      <c r="AB992" s="170">
        <f t="shared" si="4"/>
        <v>0</v>
      </c>
      <c r="AC992" s="170">
        <f t="shared" si="5"/>
        <v>0</v>
      </c>
      <c r="AD992" s="170">
        <f t="shared" si="6"/>
        <v>0</v>
      </c>
      <c r="AE992" s="170"/>
      <c r="AF992" s="225">
        <f t="shared" si="8"/>
        <v>0</v>
      </c>
    </row>
    <row r="993" ht="12.75" customHeight="1">
      <c r="V993" s="30">
        <f t="shared" si="1"/>
        <v>0</v>
      </c>
      <c r="Y993" s="30"/>
      <c r="Z993" s="224">
        <f t="shared" si="2"/>
        <v>0</v>
      </c>
      <c r="AA993" s="223">
        <f t="shared" si="3"/>
        <v>0</v>
      </c>
      <c r="AB993" s="170">
        <f t="shared" si="4"/>
        <v>0</v>
      </c>
      <c r="AC993" s="170">
        <f t="shared" si="5"/>
        <v>0</v>
      </c>
      <c r="AD993" s="170">
        <f t="shared" si="6"/>
        <v>0</v>
      </c>
      <c r="AE993" s="170"/>
      <c r="AF993" s="225">
        <f t="shared" si="8"/>
        <v>0</v>
      </c>
    </row>
    <row r="994" ht="12.75" customHeight="1">
      <c r="V994" s="30">
        <f t="shared" si="1"/>
        <v>0</v>
      </c>
      <c r="Y994" s="30"/>
      <c r="Z994" s="224">
        <f t="shared" si="2"/>
        <v>0</v>
      </c>
      <c r="AA994" s="223">
        <f t="shared" si="3"/>
        <v>0</v>
      </c>
      <c r="AB994" s="170">
        <f t="shared" si="4"/>
        <v>0</v>
      </c>
      <c r="AC994" s="170">
        <f t="shared" si="5"/>
        <v>0</v>
      </c>
      <c r="AD994" s="170">
        <f t="shared" si="6"/>
        <v>0</v>
      </c>
      <c r="AE994" s="170"/>
      <c r="AF994" s="225">
        <f t="shared" si="8"/>
        <v>0</v>
      </c>
    </row>
    <row r="995" ht="12.75" customHeight="1">
      <c r="V995" s="30">
        <f t="shared" si="1"/>
        <v>0</v>
      </c>
      <c r="Y995" s="30"/>
      <c r="Z995" s="224">
        <f t="shared" si="2"/>
        <v>0</v>
      </c>
      <c r="AA995" s="223">
        <f t="shared" si="3"/>
        <v>0</v>
      </c>
      <c r="AB995" s="170">
        <f t="shared" si="4"/>
        <v>0</v>
      </c>
      <c r="AC995" s="170">
        <f t="shared" si="5"/>
        <v>0</v>
      </c>
      <c r="AD995" s="170">
        <f t="shared" si="6"/>
        <v>0</v>
      </c>
      <c r="AE995" s="170"/>
      <c r="AF995" s="225">
        <f t="shared" si="8"/>
        <v>0</v>
      </c>
    </row>
    <row r="996" ht="12.75" customHeight="1">
      <c r="V996" s="30">
        <f t="shared" si="1"/>
        <v>0</v>
      </c>
      <c r="Y996" s="30"/>
      <c r="Z996" s="224">
        <f t="shared" si="2"/>
        <v>0</v>
      </c>
      <c r="AA996" s="223">
        <f t="shared" si="3"/>
        <v>0</v>
      </c>
      <c r="AB996" s="170">
        <f t="shared" si="4"/>
        <v>0</v>
      </c>
      <c r="AC996" s="170">
        <f t="shared" si="5"/>
        <v>0</v>
      </c>
      <c r="AD996" s="170">
        <f t="shared" si="6"/>
        <v>0</v>
      </c>
      <c r="AE996" s="170"/>
      <c r="AF996" s="225">
        <f t="shared" si="8"/>
        <v>0</v>
      </c>
    </row>
    <row r="997" ht="12.75" customHeight="1">
      <c r="V997" s="30">
        <f t="shared" si="1"/>
        <v>0</v>
      </c>
      <c r="Y997" s="30"/>
      <c r="Z997" s="224">
        <f t="shared" si="2"/>
        <v>0</v>
      </c>
      <c r="AA997" s="223">
        <f t="shared" si="3"/>
        <v>0</v>
      </c>
      <c r="AB997" s="170">
        <f t="shared" si="4"/>
        <v>0</v>
      </c>
      <c r="AC997" s="170">
        <f t="shared" si="5"/>
        <v>0</v>
      </c>
      <c r="AD997" s="170">
        <f t="shared" si="6"/>
        <v>0</v>
      </c>
      <c r="AE997" s="170"/>
      <c r="AF997" s="225">
        <f t="shared" si="8"/>
        <v>0</v>
      </c>
    </row>
    <row r="998" ht="12.75" customHeight="1">
      <c r="V998" s="30">
        <f t="shared" si="1"/>
        <v>0</v>
      </c>
      <c r="Y998" s="30"/>
      <c r="Z998" s="224">
        <f t="shared" si="2"/>
        <v>0</v>
      </c>
      <c r="AA998" s="223">
        <f t="shared" si="3"/>
        <v>0</v>
      </c>
      <c r="AB998" s="170">
        <f t="shared" si="4"/>
        <v>0</v>
      </c>
      <c r="AC998" s="170">
        <f t="shared" si="5"/>
        <v>0</v>
      </c>
      <c r="AD998" s="170">
        <f t="shared" si="6"/>
        <v>0</v>
      </c>
      <c r="AE998" s="170"/>
      <c r="AF998" s="225">
        <f t="shared" si="8"/>
        <v>0</v>
      </c>
    </row>
    <row r="999" ht="12.75" customHeight="1">
      <c r="V999" s="30">
        <f t="shared" si="1"/>
        <v>0</v>
      </c>
      <c r="Y999" s="30"/>
      <c r="Z999" s="224">
        <f t="shared" si="2"/>
        <v>0</v>
      </c>
      <c r="AA999" s="223">
        <f t="shared" si="3"/>
        <v>0</v>
      </c>
      <c r="AB999" s="170">
        <f t="shared" si="4"/>
        <v>0</v>
      </c>
      <c r="AC999" s="170">
        <f t="shared" si="5"/>
        <v>0</v>
      </c>
      <c r="AD999" s="170">
        <f t="shared" si="6"/>
        <v>0</v>
      </c>
      <c r="AE999" s="170"/>
      <c r="AF999" s="225">
        <f t="shared" si="8"/>
        <v>0</v>
      </c>
    </row>
    <row r="1000" ht="12.75" customHeight="1">
      <c r="V1000" s="30">
        <f t="shared" si="1"/>
        <v>0</v>
      </c>
      <c r="Y1000" s="30"/>
      <c r="Z1000" s="224">
        <f t="shared" si="2"/>
        <v>0</v>
      </c>
      <c r="AA1000" s="223">
        <f t="shared" si="3"/>
        <v>0</v>
      </c>
      <c r="AB1000" s="170">
        <f t="shared" si="4"/>
        <v>0</v>
      </c>
      <c r="AC1000" s="170">
        <f t="shared" si="5"/>
        <v>0</v>
      </c>
      <c r="AD1000" s="170">
        <f t="shared" si="6"/>
        <v>0</v>
      </c>
      <c r="AE1000" s="170"/>
      <c r="AF1000" s="225">
        <f t="shared" si="8"/>
        <v>0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5"/>
    <col customWidth="1" min="3" max="3" width="16.88"/>
    <col customWidth="1" min="4" max="4" width="17.88"/>
    <col customWidth="1" min="5" max="5" width="8.13"/>
    <col customWidth="1" min="6" max="6" width="5.88"/>
    <col customWidth="1" min="7" max="7" width="7.13"/>
    <col customWidth="1" min="8" max="8" width="5.88"/>
    <col customWidth="1" min="9" max="9" width="8.0"/>
    <col customWidth="1" min="10" max="12" width="5.38"/>
    <col customWidth="1" min="13" max="13" width="5.88"/>
    <col customWidth="1" min="14" max="14" width="7.25"/>
    <col customWidth="1" min="15" max="26" width="9.38"/>
  </cols>
  <sheetData>
    <row r="1" ht="12.75" customHeight="1">
      <c r="A1" s="30" t="s">
        <v>28</v>
      </c>
      <c r="B1" s="30" t="s">
        <v>73</v>
      </c>
      <c r="C1" s="87" t="s">
        <v>25</v>
      </c>
      <c r="D1" s="87" t="s">
        <v>75</v>
      </c>
      <c r="E1" s="87" t="s">
        <v>30</v>
      </c>
      <c r="F1" s="87" t="s">
        <v>76</v>
      </c>
      <c r="G1" s="87" t="s">
        <v>32</v>
      </c>
      <c r="H1" s="87" t="s">
        <v>77</v>
      </c>
      <c r="I1" s="87" t="s">
        <v>34</v>
      </c>
      <c r="J1" s="87" t="s">
        <v>78</v>
      </c>
      <c r="K1" s="87" t="s">
        <v>79</v>
      </c>
      <c r="L1" s="87" t="s">
        <v>80</v>
      </c>
      <c r="M1" s="87" t="s">
        <v>39</v>
      </c>
      <c r="N1" s="87" t="s">
        <v>81</v>
      </c>
      <c r="O1" s="87" t="s">
        <v>43</v>
      </c>
      <c r="P1" s="87" t="s">
        <v>83</v>
      </c>
      <c r="Q1" s="87" t="s">
        <v>84</v>
      </c>
      <c r="R1" s="87" t="s">
        <v>80</v>
      </c>
      <c r="S1" s="87" t="s">
        <v>85</v>
      </c>
      <c r="T1" s="87" t="s">
        <v>1057</v>
      </c>
      <c r="U1" s="87" t="s">
        <v>1058</v>
      </c>
      <c r="V1" s="87" t="s">
        <v>1059</v>
      </c>
      <c r="W1" s="87" t="s">
        <v>82</v>
      </c>
      <c r="X1" s="87" t="s">
        <v>1060</v>
      </c>
    </row>
    <row r="2" ht="12.75" customHeight="1">
      <c r="A2" s="30">
        <v>1.0</v>
      </c>
      <c r="B2" s="228">
        <v>44220.0</v>
      </c>
      <c r="C2" s="30" t="s">
        <v>93</v>
      </c>
      <c r="D2" s="30" t="s">
        <v>1055</v>
      </c>
      <c r="E2" s="30">
        <v>4.401109E7</v>
      </c>
      <c r="F2" s="222">
        <v>10.81</v>
      </c>
      <c r="G2" s="223">
        <v>3850.0</v>
      </c>
      <c r="H2" s="30" t="s">
        <v>294</v>
      </c>
      <c r="I2" s="223">
        <f t="shared" ref="I2:I6" si="1">F2*G2</f>
        <v>41618.5</v>
      </c>
      <c r="J2" s="168">
        <v>0.025</v>
      </c>
      <c r="K2" s="168">
        <v>0.025</v>
      </c>
      <c r="L2" s="168">
        <v>0.0</v>
      </c>
      <c r="M2" s="224">
        <f t="shared" ref="M2:M6" si="2">ROUNDUP((S2+I2),0)</f>
        <v>43700</v>
      </c>
      <c r="N2" s="223">
        <f t="shared" ref="N2:N6" si="3">M2-(I2+S2)</f>
        <v>0.575</v>
      </c>
      <c r="O2" s="225">
        <f t="shared" ref="O2:O6" si="4">I2</f>
        <v>41618.5</v>
      </c>
      <c r="P2" s="225">
        <f t="shared" ref="P2:P6" si="5">O2*J2</f>
        <v>1040.4625</v>
      </c>
      <c r="Q2" s="225">
        <f t="shared" ref="Q2:Q6" si="6">O2*K2</f>
        <v>1040.4625</v>
      </c>
      <c r="R2" s="225">
        <f t="shared" ref="R2:R6" si="7">O2*L2</f>
        <v>0</v>
      </c>
      <c r="S2" s="225">
        <f t="shared" ref="S2:S6" si="8">SUM(P2:R2)</f>
        <v>2080.925</v>
      </c>
      <c r="T2" s="223">
        <f t="shared" ref="T2:T6" si="9">I2+S2</f>
        <v>43699.425</v>
      </c>
      <c r="U2" s="192" t="s">
        <v>1061</v>
      </c>
      <c r="V2" s="192">
        <v>4000.0</v>
      </c>
      <c r="W2" s="192">
        <v>4600.0</v>
      </c>
      <c r="X2" s="192">
        <v>900.0</v>
      </c>
      <c r="Y2" s="192" t="s">
        <v>1062</v>
      </c>
    </row>
    <row r="3" ht="12.75" customHeight="1">
      <c r="A3" s="30">
        <v>2.0</v>
      </c>
      <c r="B3" s="228">
        <v>44231.0</v>
      </c>
      <c r="C3" s="30" t="s">
        <v>98</v>
      </c>
      <c r="D3" s="30" t="s">
        <v>1055</v>
      </c>
      <c r="E3" s="30">
        <v>4.401109E7</v>
      </c>
      <c r="F3" s="170">
        <v>9.43</v>
      </c>
      <c r="G3" s="223">
        <v>3850.0</v>
      </c>
      <c r="H3" s="30" t="s">
        <v>294</v>
      </c>
      <c r="I3" s="223">
        <f t="shared" si="1"/>
        <v>36305.5</v>
      </c>
      <c r="J3" s="168">
        <v>0.025</v>
      </c>
      <c r="K3" s="168">
        <v>0.025</v>
      </c>
      <c r="L3" s="168">
        <v>0.0</v>
      </c>
      <c r="M3" s="224">
        <f t="shared" si="2"/>
        <v>38121</v>
      </c>
      <c r="N3" s="223">
        <f t="shared" si="3"/>
        <v>0.225</v>
      </c>
      <c r="O3" s="225">
        <f t="shared" si="4"/>
        <v>36305.5</v>
      </c>
      <c r="P3" s="225">
        <f t="shared" si="5"/>
        <v>907.6375</v>
      </c>
      <c r="Q3" s="225">
        <f t="shared" si="6"/>
        <v>907.6375</v>
      </c>
      <c r="R3" s="225">
        <f t="shared" si="7"/>
        <v>0</v>
      </c>
      <c r="S3" s="225">
        <f t="shared" si="8"/>
        <v>1815.275</v>
      </c>
      <c r="T3" s="223">
        <f t="shared" si="9"/>
        <v>38120.775</v>
      </c>
      <c r="U3" s="192" t="s">
        <v>1063</v>
      </c>
      <c r="V3" s="192">
        <v>0.0</v>
      </c>
      <c r="W3" s="30">
        <v>4600.0</v>
      </c>
      <c r="X3" s="192">
        <v>800.0</v>
      </c>
      <c r="Y3" s="192" t="s">
        <v>1064</v>
      </c>
    </row>
    <row r="4" ht="12.75" customHeight="1">
      <c r="A4" s="30">
        <v>3.0</v>
      </c>
      <c r="B4" s="228">
        <v>44243.0</v>
      </c>
      <c r="C4" s="170" t="s">
        <v>100</v>
      </c>
      <c r="D4" s="30" t="s">
        <v>1055</v>
      </c>
      <c r="E4" s="30">
        <v>4.401109E7</v>
      </c>
      <c r="F4" s="170">
        <v>9.365</v>
      </c>
      <c r="G4" s="223">
        <v>3850.0</v>
      </c>
      <c r="H4" s="30" t="s">
        <v>294</v>
      </c>
      <c r="I4" s="30">
        <f t="shared" si="1"/>
        <v>36055.25</v>
      </c>
      <c r="J4" s="168">
        <v>0.025</v>
      </c>
      <c r="K4" s="168">
        <v>0.025</v>
      </c>
      <c r="L4" s="168">
        <v>0.0</v>
      </c>
      <c r="M4" s="224">
        <f t="shared" si="2"/>
        <v>37859</v>
      </c>
      <c r="N4" s="223">
        <f t="shared" si="3"/>
        <v>0.9875</v>
      </c>
      <c r="O4" s="170">
        <f t="shared" si="4"/>
        <v>36055.25</v>
      </c>
      <c r="P4" s="170">
        <f t="shared" si="5"/>
        <v>901.38125</v>
      </c>
      <c r="Q4" s="170">
        <f t="shared" si="6"/>
        <v>901.38125</v>
      </c>
      <c r="R4" s="225">
        <f t="shared" si="7"/>
        <v>0</v>
      </c>
      <c r="S4" s="225">
        <f t="shared" si="8"/>
        <v>1802.7625</v>
      </c>
      <c r="T4" s="223">
        <f t="shared" si="9"/>
        <v>37858.0125</v>
      </c>
      <c r="U4" s="192" t="s">
        <v>1061</v>
      </c>
      <c r="V4" s="192">
        <v>0.0</v>
      </c>
      <c r="W4" s="192">
        <v>5000.0</v>
      </c>
      <c r="X4" s="192">
        <v>800.0</v>
      </c>
      <c r="Y4" s="30" t="s">
        <v>1064</v>
      </c>
    </row>
    <row r="5" ht="12.75" customHeight="1">
      <c r="A5" s="30">
        <v>4.0</v>
      </c>
      <c r="B5" s="228">
        <v>44253.0</v>
      </c>
      <c r="C5" s="170" t="s">
        <v>102</v>
      </c>
      <c r="D5" s="30" t="s">
        <v>1055</v>
      </c>
      <c r="E5" s="30">
        <v>4.401109E7</v>
      </c>
      <c r="F5" s="170">
        <v>10.03</v>
      </c>
      <c r="G5" s="223">
        <v>3850.0</v>
      </c>
      <c r="H5" s="30" t="s">
        <v>294</v>
      </c>
      <c r="I5" s="30">
        <f t="shared" si="1"/>
        <v>38615.5</v>
      </c>
      <c r="J5" s="168">
        <v>0.025</v>
      </c>
      <c r="K5" s="168">
        <v>0.025</v>
      </c>
      <c r="L5" s="168">
        <v>0.0</v>
      </c>
      <c r="M5" s="224">
        <f t="shared" si="2"/>
        <v>40547</v>
      </c>
      <c r="N5" s="223">
        <f t="shared" si="3"/>
        <v>0.725</v>
      </c>
      <c r="O5" s="170">
        <f t="shared" si="4"/>
        <v>38615.5</v>
      </c>
      <c r="P5" s="170">
        <f t="shared" si="5"/>
        <v>965.3875</v>
      </c>
      <c r="Q5" s="170">
        <f t="shared" si="6"/>
        <v>965.3875</v>
      </c>
      <c r="R5" s="225">
        <f t="shared" si="7"/>
        <v>0</v>
      </c>
      <c r="S5" s="225">
        <f t="shared" si="8"/>
        <v>1930.775</v>
      </c>
      <c r="T5" s="223">
        <f t="shared" si="9"/>
        <v>40546.275</v>
      </c>
      <c r="U5" s="192" t="s">
        <v>1061</v>
      </c>
      <c r="V5" s="223">
        <v>0.0</v>
      </c>
      <c r="W5" s="192">
        <v>4600.0</v>
      </c>
      <c r="X5" s="192">
        <v>900.0</v>
      </c>
      <c r="Y5" s="30" t="s">
        <v>1064</v>
      </c>
    </row>
    <row r="6" ht="12.75" customHeight="1">
      <c r="A6" s="30">
        <v>5.0</v>
      </c>
      <c r="B6" s="228">
        <v>44277.0</v>
      </c>
      <c r="C6" s="30" t="s">
        <v>104</v>
      </c>
      <c r="D6" s="30" t="s">
        <v>1055</v>
      </c>
      <c r="E6" s="30">
        <v>4.401109E7</v>
      </c>
      <c r="F6" s="170">
        <v>10.64</v>
      </c>
      <c r="G6" s="223">
        <v>3750.0</v>
      </c>
      <c r="H6" s="30" t="s">
        <v>294</v>
      </c>
      <c r="I6" s="30">
        <f t="shared" si="1"/>
        <v>39900</v>
      </c>
      <c r="J6" s="168">
        <v>0.025</v>
      </c>
      <c r="K6" s="168">
        <v>0.025</v>
      </c>
      <c r="L6" s="168">
        <v>0.0</v>
      </c>
      <c r="M6" s="224">
        <f t="shared" si="2"/>
        <v>41895</v>
      </c>
      <c r="N6" s="223">
        <f t="shared" si="3"/>
        <v>0</v>
      </c>
      <c r="O6" s="170">
        <f t="shared" si="4"/>
        <v>39900</v>
      </c>
      <c r="P6" s="170">
        <f t="shared" si="5"/>
        <v>997.5</v>
      </c>
      <c r="Q6" s="170">
        <f t="shared" si="6"/>
        <v>997.5</v>
      </c>
      <c r="R6" s="225">
        <f t="shared" si="7"/>
        <v>0</v>
      </c>
      <c r="S6" s="225">
        <f t="shared" si="8"/>
        <v>1995</v>
      </c>
      <c r="T6" s="223">
        <f t="shared" si="9"/>
        <v>41895</v>
      </c>
      <c r="V6" s="192">
        <v>14453.724999999999</v>
      </c>
      <c r="W6" s="192">
        <v>5000.0</v>
      </c>
      <c r="X6" s="192">
        <v>1000.0</v>
      </c>
      <c r="Y6" s="30" t="s">
        <v>1064</v>
      </c>
    </row>
    <row r="7" ht="12.75" customHeight="1">
      <c r="A7" s="30"/>
      <c r="B7" s="30"/>
      <c r="C7" s="30"/>
      <c r="D7" s="30"/>
      <c r="E7" s="30"/>
      <c r="V7" s="192">
        <f>SUM(V2:V6)</f>
        <v>18453.725</v>
      </c>
      <c r="W7" s="30">
        <f t="shared" ref="W7:X7" si="10">SUM(W3:W6)</f>
        <v>19200</v>
      </c>
      <c r="X7" s="192">
        <f t="shared" si="10"/>
        <v>3500</v>
      </c>
    </row>
    <row r="8" ht="12.75" customHeight="1">
      <c r="A8" s="30"/>
      <c r="B8" s="30"/>
      <c r="C8" s="30"/>
      <c r="D8" s="30"/>
      <c r="E8" s="30"/>
    </row>
    <row r="9" ht="12.75" customHeight="1">
      <c r="A9" s="30"/>
      <c r="B9" s="30"/>
      <c r="C9" s="30"/>
      <c r="D9" s="30"/>
      <c r="E9" s="30"/>
    </row>
    <row r="10" ht="12.75" customHeight="1">
      <c r="A10" s="30"/>
      <c r="B10" s="30"/>
      <c r="C10" s="30"/>
      <c r="D10" s="30"/>
      <c r="E10" s="30"/>
    </row>
    <row r="11" ht="12.75" customHeight="1">
      <c r="A11" s="30"/>
      <c r="B11" s="30"/>
      <c r="C11" s="30"/>
      <c r="D11" s="30"/>
      <c r="E11" s="30"/>
      <c r="V11" s="223"/>
    </row>
    <row r="12" ht="12.75" customHeight="1">
      <c r="A12" s="30"/>
      <c r="B12" s="30"/>
      <c r="C12" s="30"/>
      <c r="D12" s="30"/>
      <c r="E12" s="30"/>
    </row>
    <row r="13" ht="12.75" customHeight="1">
      <c r="A13" s="30"/>
      <c r="B13" s="30"/>
      <c r="C13" s="30"/>
      <c r="D13" s="30"/>
      <c r="E13" s="30"/>
    </row>
    <row r="14" ht="12.75" customHeight="1">
      <c r="A14" s="30"/>
      <c r="B14" s="30"/>
      <c r="C14" s="30"/>
      <c r="D14" s="30"/>
      <c r="E14" s="30"/>
    </row>
    <row r="15" ht="12.75" customHeight="1">
      <c r="A15" s="30"/>
      <c r="B15" s="30"/>
      <c r="C15" s="30"/>
      <c r="D15" s="30"/>
      <c r="E15" s="30"/>
    </row>
    <row r="16" ht="12.75" customHeight="1">
      <c r="A16" s="30"/>
      <c r="B16" s="30"/>
      <c r="C16" s="30"/>
      <c r="D16" s="30"/>
      <c r="E16" s="30"/>
    </row>
    <row r="17" ht="12.75" customHeight="1">
      <c r="A17" s="30"/>
      <c r="B17" s="30"/>
      <c r="C17" s="30"/>
      <c r="D17" s="30"/>
      <c r="E17" s="30"/>
    </row>
    <row r="18" ht="12.75" customHeight="1">
      <c r="A18" s="30"/>
      <c r="B18" s="30"/>
      <c r="C18" s="30"/>
      <c r="D18" s="30"/>
      <c r="E18" s="30"/>
    </row>
    <row r="19" ht="12.75" customHeight="1">
      <c r="A19" s="30"/>
      <c r="B19" s="30"/>
      <c r="C19" s="30"/>
      <c r="D19" s="30"/>
      <c r="E19" s="30"/>
    </row>
    <row r="20" ht="12.75" customHeight="1">
      <c r="A20" s="30"/>
      <c r="B20" s="30"/>
      <c r="C20" s="30"/>
      <c r="D20" s="30"/>
      <c r="E20" s="30"/>
    </row>
    <row r="21" ht="12.75" customHeight="1">
      <c r="A21" s="30"/>
      <c r="B21" s="30"/>
      <c r="C21" s="30"/>
      <c r="D21" s="30"/>
      <c r="E21" s="30"/>
    </row>
    <row r="22" ht="12.75" customHeight="1">
      <c r="A22" s="30"/>
      <c r="B22" s="30"/>
      <c r="C22" s="30"/>
      <c r="D22" s="30"/>
      <c r="E22" s="30"/>
    </row>
    <row r="23" ht="12.75" customHeight="1">
      <c r="A23" s="30"/>
      <c r="B23" s="30"/>
      <c r="C23" s="30"/>
      <c r="D23" s="30"/>
      <c r="E23" s="30"/>
    </row>
    <row r="24" ht="12.75" customHeight="1">
      <c r="A24" s="30"/>
      <c r="B24" s="30"/>
      <c r="C24" s="30"/>
      <c r="D24" s="30"/>
      <c r="E24" s="30"/>
    </row>
    <row r="25" ht="12.75" customHeight="1">
      <c r="A25" s="30"/>
      <c r="B25" s="30"/>
      <c r="C25" s="30"/>
      <c r="D25" s="30"/>
      <c r="E25" s="30"/>
    </row>
    <row r="26" ht="12.75" customHeight="1">
      <c r="A26" s="30"/>
      <c r="B26" s="30"/>
      <c r="C26" s="30"/>
      <c r="D26" s="30"/>
      <c r="E26" s="30"/>
    </row>
    <row r="27" ht="12.75" customHeight="1">
      <c r="A27" s="30"/>
      <c r="B27" s="30"/>
      <c r="C27" s="30"/>
      <c r="D27" s="30"/>
      <c r="E27" s="30"/>
    </row>
    <row r="28" ht="12.75" customHeight="1">
      <c r="A28" s="30"/>
      <c r="B28" s="30"/>
      <c r="C28" s="30"/>
      <c r="D28" s="30"/>
      <c r="E28" s="30"/>
    </row>
    <row r="29" ht="12.75" customHeight="1">
      <c r="A29" s="30"/>
      <c r="B29" s="30"/>
      <c r="C29" s="30"/>
      <c r="D29" s="30"/>
      <c r="E29" s="30"/>
    </row>
    <row r="30" ht="12.75" customHeight="1">
      <c r="A30" s="30"/>
      <c r="B30" s="30"/>
      <c r="C30" s="30"/>
      <c r="D30" s="30"/>
      <c r="E30" s="30"/>
    </row>
    <row r="31" ht="12.75" customHeight="1">
      <c r="A31" s="30"/>
      <c r="B31" s="30"/>
      <c r="C31" s="30"/>
      <c r="D31" s="30"/>
      <c r="E31" s="30"/>
    </row>
    <row r="32" ht="12.75" customHeight="1">
      <c r="A32" s="30"/>
      <c r="B32" s="30"/>
      <c r="C32" s="30"/>
      <c r="D32" s="30"/>
      <c r="E32" s="30"/>
    </row>
    <row r="33" ht="12.75" customHeight="1">
      <c r="A33" s="30"/>
      <c r="B33" s="30"/>
      <c r="C33" s="30"/>
      <c r="D33" s="30"/>
      <c r="E33" s="30"/>
    </row>
    <row r="34" ht="12.75" customHeight="1">
      <c r="A34" s="30"/>
      <c r="B34" s="30"/>
      <c r="C34" s="30"/>
      <c r="D34" s="30"/>
      <c r="E34" s="30"/>
    </row>
    <row r="35" ht="12.75" customHeight="1">
      <c r="A35" s="30"/>
      <c r="B35" s="30"/>
      <c r="C35" s="30"/>
      <c r="D35" s="30"/>
      <c r="E35" s="30"/>
    </row>
    <row r="36" ht="12.75" customHeight="1">
      <c r="A36" s="30"/>
      <c r="B36" s="30"/>
      <c r="C36" s="30"/>
      <c r="D36" s="30"/>
      <c r="E36" s="30"/>
    </row>
    <row r="37" ht="12.75" customHeight="1">
      <c r="A37" s="30"/>
      <c r="B37" s="30"/>
      <c r="C37" s="30"/>
      <c r="D37" s="30"/>
      <c r="E37" s="30"/>
    </row>
    <row r="38" ht="12.75" customHeight="1">
      <c r="A38" s="30"/>
      <c r="B38" s="30"/>
      <c r="C38" s="30"/>
      <c r="D38" s="30"/>
      <c r="E38" s="30"/>
    </row>
    <row r="39" ht="12.75" customHeight="1">
      <c r="A39" s="30"/>
      <c r="B39" s="30"/>
      <c r="C39" s="30"/>
      <c r="D39" s="30"/>
      <c r="E39" s="30"/>
    </row>
    <row r="40" ht="12.75" customHeight="1">
      <c r="A40" s="30"/>
      <c r="B40" s="30"/>
      <c r="C40" s="30"/>
      <c r="D40" s="30"/>
      <c r="E40" s="30"/>
    </row>
    <row r="41" ht="12.75" customHeight="1">
      <c r="A41" s="30"/>
      <c r="B41" s="30"/>
      <c r="C41" s="30"/>
      <c r="D41" s="30"/>
      <c r="E41" s="30"/>
    </row>
    <row r="42" ht="12.75" customHeight="1">
      <c r="A42" s="30"/>
      <c r="B42" s="30"/>
      <c r="C42" s="30"/>
      <c r="D42" s="30"/>
      <c r="E42" s="30"/>
    </row>
    <row r="43" ht="12.75" customHeight="1">
      <c r="A43" s="30"/>
      <c r="B43" s="30"/>
      <c r="C43" s="30"/>
      <c r="D43" s="30"/>
      <c r="E43" s="30"/>
    </row>
    <row r="44" ht="12.75" customHeight="1">
      <c r="A44" s="30"/>
      <c r="B44" s="30"/>
      <c r="C44" s="30"/>
      <c r="D44" s="30"/>
      <c r="E44" s="30"/>
    </row>
    <row r="45" ht="12.75" customHeight="1">
      <c r="A45" s="30"/>
      <c r="B45" s="30"/>
      <c r="C45" s="30"/>
      <c r="D45" s="30"/>
      <c r="E45" s="30"/>
    </row>
    <row r="46" ht="12.75" customHeight="1">
      <c r="A46" s="30"/>
      <c r="B46" s="30"/>
      <c r="C46" s="30"/>
      <c r="D46" s="30"/>
      <c r="E46" s="30"/>
    </row>
    <row r="47" ht="12.75" customHeight="1">
      <c r="A47" s="30"/>
      <c r="B47" s="30"/>
      <c r="C47" s="30"/>
      <c r="D47" s="30"/>
      <c r="E47" s="30"/>
    </row>
    <row r="48" ht="12.75" customHeight="1">
      <c r="A48" s="30"/>
      <c r="B48" s="30"/>
      <c r="C48" s="30"/>
      <c r="D48" s="30"/>
      <c r="E48" s="30"/>
    </row>
    <row r="49" ht="12.75" customHeight="1">
      <c r="A49" s="30"/>
      <c r="B49" s="30"/>
      <c r="C49" s="30"/>
      <c r="D49" s="30"/>
      <c r="E49" s="30"/>
    </row>
    <row r="50" ht="12.75" customHeight="1">
      <c r="A50" s="30"/>
      <c r="B50" s="30"/>
      <c r="C50" s="30"/>
      <c r="D50" s="30"/>
      <c r="E50" s="30"/>
    </row>
    <row r="51" ht="12.75" customHeight="1">
      <c r="A51" s="30"/>
      <c r="B51" s="30"/>
      <c r="C51" s="30"/>
      <c r="D51" s="30"/>
      <c r="E51" s="30"/>
    </row>
    <row r="52" ht="12.75" customHeight="1">
      <c r="A52" s="30"/>
      <c r="B52" s="30"/>
      <c r="C52" s="30"/>
      <c r="D52" s="30"/>
      <c r="E52" s="30"/>
    </row>
    <row r="53" ht="12.75" customHeight="1">
      <c r="A53" s="30"/>
      <c r="B53" s="30"/>
      <c r="C53" s="30"/>
      <c r="D53" s="30"/>
      <c r="E53" s="30"/>
    </row>
    <row r="54" ht="12.75" customHeight="1">
      <c r="A54" s="30"/>
      <c r="B54" s="30"/>
      <c r="C54" s="30"/>
      <c r="D54" s="30"/>
      <c r="E54" s="30"/>
    </row>
    <row r="55" ht="12.75" customHeight="1">
      <c r="A55" s="30"/>
      <c r="B55" s="30"/>
      <c r="C55" s="30"/>
      <c r="D55" s="30"/>
      <c r="E55" s="30"/>
    </row>
    <row r="56" ht="12.75" customHeight="1">
      <c r="A56" s="30"/>
      <c r="B56" s="30"/>
      <c r="C56" s="30"/>
      <c r="D56" s="30"/>
      <c r="E56" s="30"/>
    </row>
    <row r="57" ht="12.75" customHeight="1">
      <c r="A57" s="30"/>
      <c r="B57" s="30"/>
      <c r="C57" s="30"/>
      <c r="D57" s="30"/>
      <c r="E57" s="30"/>
    </row>
    <row r="58" ht="12.75" customHeight="1">
      <c r="A58" s="30"/>
      <c r="B58" s="30"/>
      <c r="C58" s="30"/>
      <c r="D58" s="30"/>
      <c r="E58" s="30"/>
    </row>
    <row r="59" ht="12.75" customHeight="1">
      <c r="A59" s="30"/>
      <c r="B59" s="30"/>
      <c r="C59" s="30"/>
      <c r="D59" s="30"/>
      <c r="E59" s="30"/>
    </row>
    <row r="60" ht="12.75" customHeight="1">
      <c r="A60" s="30"/>
      <c r="B60" s="30"/>
      <c r="C60" s="30"/>
      <c r="D60" s="30"/>
      <c r="E60" s="30"/>
    </row>
    <row r="61" ht="12.75" customHeight="1">
      <c r="A61" s="30"/>
      <c r="B61" s="30"/>
      <c r="C61" s="30"/>
      <c r="D61" s="30"/>
      <c r="E61" s="30"/>
    </row>
    <row r="62" ht="12.75" customHeight="1">
      <c r="A62" s="30"/>
      <c r="B62" s="30"/>
      <c r="C62" s="30"/>
      <c r="D62" s="30"/>
      <c r="E62" s="30"/>
    </row>
    <row r="63" ht="12.75" customHeight="1">
      <c r="A63" s="30"/>
      <c r="B63" s="30"/>
      <c r="C63" s="30"/>
      <c r="D63" s="30"/>
      <c r="E63" s="30"/>
    </row>
    <row r="64" ht="12.75" customHeight="1">
      <c r="A64" s="30"/>
      <c r="B64" s="30"/>
      <c r="C64" s="30"/>
      <c r="D64" s="30"/>
      <c r="E64" s="30"/>
    </row>
    <row r="65" ht="12.75" customHeight="1">
      <c r="A65" s="30"/>
      <c r="B65" s="30"/>
      <c r="C65" s="30"/>
      <c r="D65" s="30"/>
      <c r="E65" s="30"/>
    </row>
    <row r="66" ht="12.75" customHeight="1">
      <c r="A66" s="30"/>
      <c r="B66" s="30"/>
      <c r="C66" s="30"/>
      <c r="D66" s="30"/>
      <c r="E66" s="30"/>
    </row>
    <row r="67" ht="12.75" customHeight="1">
      <c r="A67" s="30"/>
      <c r="B67" s="30"/>
      <c r="C67" s="30"/>
      <c r="D67" s="30"/>
      <c r="E67" s="30"/>
    </row>
    <row r="68" ht="12.75" customHeight="1">
      <c r="A68" s="30"/>
      <c r="B68" s="30"/>
      <c r="C68" s="30"/>
      <c r="D68" s="30"/>
      <c r="E68" s="30"/>
    </row>
    <row r="69" ht="12.75" customHeight="1">
      <c r="A69" s="30"/>
      <c r="B69" s="30"/>
      <c r="C69" s="30"/>
      <c r="D69" s="30"/>
      <c r="E69" s="30"/>
    </row>
    <row r="70" ht="12.75" customHeight="1">
      <c r="A70" s="30"/>
      <c r="B70" s="30"/>
      <c r="C70" s="30"/>
      <c r="D70" s="30"/>
      <c r="E70" s="30"/>
    </row>
    <row r="71" ht="12.75" customHeight="1">
      <c r="A71" s="30"/>
      <c r="B71" s="30"/>
      <c r="C71" s="30"/>
      <c r="D71" s="30"/>
      <c r="E71" s="30"/>
    </row>
    <row r="72" ht="12.75" customHeight="1">
      <c r="A72" s="30"/>
      <c r="B72" s="30"/>
      <c r="C72" s="30"/>
      <c r="D72" s="30"/>
      <c r="E72" s="30"/>
    </row>
    <row r="73" ht="12.75" customHeight="1">
      <c r="A73" s="30"/>
      <c r="B73" s="30"/>
      <c r="C73" s="30"/>
      <c r="D73" s="30"/>
      <c r="E73" s="30"/>
    </row>
    <row r="74" ht="12.75" customHeight="1">
      <c r="A74" s="30"/>
      <c r="B74" s="30"/>
      <c r="C74" s="30"/>
      <c r="D74" s="30"/>
      <c r="E74" s="30"/>
    </row>
    <row r="75" ht="12.75" customHeight="1">
      <c r="A75" s="30"/>
      <c r="B75" s="30"/>
      <c r="C75" s="30"/>
      <c r="D75" s="30"/>
      <c r="E75" s="30"/>
    </row>
    <row r="76" ht="12.75" customHeight="1">
      <c r="A76" s="30"/>
      <c r="B76" s="30"/>
      <c r="C76" s="30"/>
      <c r="D76" s="30"/>
      <c r="E76" s="30"/>
    </row>
    <row r="77" ht="12.75" customHeight="1">
      <c r="A77" s="30"/>
      <c r="B77" s="30"/>
      <c r="C77" s="30"/>
      <c r="D77" s="30"/>
      <c r="E77" s="30"/>
    </row>
    <row r="78" ht="12.75" customHeight="1">
      <c r="A78" s="30"/>
      <c r="B78" s="30"/>
      <c r="C78" s="30"/>
      <c r="D78" s="30"/>
      <c r="E78" s="30"/>
    </row>
    <row r="79" ht="12.75" customHeight="1">
      <c r="A79" s="30"/>
      <c r="B79" s="30"/>
      <c r="C79" s="30"/>
      <c r="D79" s="30"/>
      <c r="E79" s="30"/>
    </row>
    <row r="80" ht="12.75" customHeight="1">
      <c r="A80" s="30"/>
      <c r="B80" s="30"/>
      <c r="C80" s="30"/>
      <c r="D80" s="30"/>
      <c r="E80" s="30"/>
    </row>
    <row r="81" ht="12.75" customHeight="1">
      <c r="A81" s="30"/>
      <c r="B81" s="30"/>
      <c r="C81" s="30"/>
      <c r="D81" s="30"/>
      <c r="E81" s="30"/>
    </row>
    <row r="82" ht="12.75" customHeight="1">
      <c r="A82" s="30"/>
      <c r="B82" s="30"/>
      <c r="C82" s="30"/>
      <c r="D82" s="30"/>
      <c r="E82" s="30"/>
    </row>
    <row r="83" ht="12.75" customHeight="1">
      <c r="A83" s="30"/>
      <c r="B83" s="30"/>
      <c r="C83" s="30"/>
      <c r="D83" s="30"/>
      <c r="E83" s="30"/>
    </row>
    <row r="84" ht="12.75" customHeight="1">
      <c r="A84" s="30"/>
      <c r="B84" s="30"/>
      <c r="C84" s="30"/>
      <c r="D84" s="30"/>
      <c r="E84" s="30"/>
    </row>
    <row r="85" ht="12.75" customHeight="1">
      <c r="A85" s="30"/>
      <c r="B85" s="30"/>
      <c r="C85" s="30"/>
      <c r="D85" s="30"/>
      <c r="E85" s="30"/>
    </row>
    <row r="86" ht="12.75" customHeight="1">
      <c r="A86" s="30"/>
      <c r="B86" s="30"/>
      <c r="C86" s="30"/>
      <c r="D86" s="30"/>
      <c r="E86" s="30"/>
    </row>
    <row r="87" ht="12.75" customHeight="1">
      <c r="A87" s="30"/>
      <c r="B87" s="30"/>
      <c r="C87" s="30"/>
      <c r="D87" s="30"/>
      <c r="E87" s="30"/>
    </row>
    <row r="88" ht="12.75" customHeight="1">
      <c r="A88" s="30"/>
      <c r="B88" s="30"/>
      <c r="C88" s="30"/>
      <c r="D88" s="30"/>
      <c r="E88" s="30"/>
    </row>
    <row r="89" ht="12.75" customHeight="1">
      <c r="A89" s="30"/>
      <c r="B89" s="30"/>
      <c r="C89" s="30"/>
      <c r="D89" s="30"/>
      <c r="E89" s="30"/>
    </row>
    <row r="90" ht="12.75" customHeight="1">
      <c r="A90" s="30"/>
      <c r="B90" s="30"/>
      <c r="C90" s="30"/>
      <c r="D90" s="30"/>
      <c r="E90" s="30"/>
    </row>
    <row r="91" ht="12.75" customHeight="1">
      <c r="A91" s="30"/>
      <c r="B91" s="30"/>
      <c r="C91" s="30"/>
      <c r="D91" s="30"/>
      <c r="E91" s="30"/>
    </row>
    <row r="92" ht="12.75" customHeight="1">
      <c r="A92" s="30"/>
      <c r="B92" s="30"/>
      <c r="C92" s="30"/>
      <c r="D92" s="30"/>
      <c r="E92" s="30"/>
    </row>
    <row r="93" ht="12.75" customHeight="1">
      <c r="A93" s="30"/>
      <c r="B93" s="30"/>
      <c r="C93" s="30"/>
      <c r="D93" s="30"/>
      <c r="E93" s="30"/>
    </row>
    <row r="94" ht="12.75" customHeight="1">
      <c r="A94" s="30"/>
      <c r="B94" s="30"/>
      <c r="C94" s="30"/>
      <c r="D94" s="30"/>
      <c r="E94" s="30"/>
    </row>
    <row r="95" ht="12.75" customHeight="1">
      <c r="A95" s="30"/>
      <c r="B95" s="30"/>
      <c r="C95" s="30"/>
      <c r="D95" s="30"/>
      <c r="E95" s="30"/>
    </row>
    <row r="96" ht="12.75" customHeight="1">
      <c r="A96" s="30"/>
      <c r="B96" s="30"/>
      <c r="C96" s="30"/>
      <c r="D96" s="30"/>
      <c r="E96" s="30"/>
    </row>
    <row r="97" ht="12.75" customHeight="1">
      <c r="A97" s="30"/>
      <c r="B97" s="30"/>
      <c r="C97" s="30"/>
      <c r="D97" s="30"/>
      <c r="E97" s="30"/>
    </row>
    <row r="98" ht="12.75" customHeight="1">
      <c r="A98" s="30"/>
      <c r="B98" s="30"/>
      <c r="C98" s="30"/>
      <c r="D98" s="30"/>
      <c r="E98" s="30"/>
    </row>
    <row r="99" ht="12.75" customHeight="1">
      <c r="A99" s="30"/>
      <c r="B99" s="30"/>
      <c r="C99" s="30"/>
      <c r="D99" s="30"/>
      <c r="E99" s="30"/>
    </row>
    <row r="100" ht="12.75" customHeight="1">
      <c r="A100" s="30"/>
      <c r="B100" s="30"/>
      <c r="C100" s="30"/>
      <c r="D100" s="30"/>
      <c r="E100" s="30"/>
    </row>
    <row r="101" ht="12.75" customHeight="1">
      <c r="A101" s="30"/>
      <c r="B101" s="30"/>
      <c r="C101" s="30"/>
      <c r="D101" s="30"/>
      <c r="E101" s="30"/>
    </row>
    <row r="102" ht="12.75" customHeight="1">
      <c r="A102" s="30"/>
      <c r="B102" s="30"/>
      <c r="C102" s="30"/>
      <c r="D102" s="30"/>
      <c r="E102" s="30"/>
    </row>
    <row r="103" ht="12.75" customHeight="1">
      <c r="A103" s="30"/>
      <c r="B103" s="30"/>
      <c r="C103" s="30"/>
      <c r="D103" s="30"/>
      <c r="E103" s="30"/>
    </row>
    <row r="104" ht="12.75" customHeight="1">
      <c r="A104" s="30"/>
      <c r="B104" s="30"/>
      <c r="C104" s="30"/>
      <c r="D104" s="30"/>
      <c r="E104" s="30"/>
    </row>
    <row r="105" ht="12.75" customHeight="1">
      <c r="A105" s="30"/>
      <c r="B105" s="30"/>
      <c r="C105" s="30"/>
      <c r="D105" s="30"/>
      <c r="E105" s="30"/>
    </row>
    <row r="106" ht="12.75" customHeight="1">
      <c r="A106" s="30"/>
      <c r="B106" s="30"/>
      <c r="C106" s="30"/>
      <c r="D106" s="30"/>
      <c r="E106" s="30"/>
    </row>
    <row r="107" ht="12.75" customHeight="1">
      <c r="A107" s="30"/>
      <c r="B107" s="30"/>
      <c r="C107" s="30"/>
      <c r="D107" s="30"/>
      <c r="E107" s="30"/>
    </row>
    <row r="108" ht="12.75" customHeight="1">
      <c r="A108" s="30"/>
      <c r="B108" s="30"/>
      <c r="C108" s="30"/>
      <c r="D108" s="30"/>
      <c r="E108" s="30"/>
    </row>
    <row r="109" ht="12.75" customHeight="1">
      <c r="A109" s="30"/>
      <c r="B109" s="30"/>
      <c r="C109" s="30"/>
      <c r="D109" s="30"/>
      <c r="E109" s="30"/>
    </row>
    <row r="110" ht="12.75" customHeight="1">
      <c r="A110" s="30"/>
      <c r="B110" s="30"/>
      <c r="C110" s="30"/>
      <c r="D110" s="30"/>
      <c r="E110" s="30"/>
    </row>
    <row r="111" ht="12.75" customHeight="1">
      <c r="A111" s="30"/>
      <c r="B111" s="30"/>
      <c r="C111" s="30"/>
      <c r="D111" s="30"/>
      <c r="E111" s="30"/>
    </row>
    <row r="112" ht="12.75" customHeight="1">
      <c r="A112" s="30"/>
      <c r="B112" s="30"/>
      <c r="C112" s="30"/>
      <c r="D112" s="30"/>
      <c r="E112" s="30"/>
    </row>
    <row r="113" ht="12.75" customHeight="1">
      <c r="A113" s="30"/>
      <c r="B113" s="30"/>
      <c r="C113" s="30"/>
      <c r="D113" s="30"/>
      <c r="E113" s="30"/>
    </row>
    <row r="114" ht="12.75" customHeight="1">
      <c r="A114" s="30"/>
      <c r="B114" s="30"/>
      <c r="C114" s="30"/>
      <c r="D114" s="30"/>
      <c r="E114" s="30"/>
    </row>
    <row r="115" ht="12.75" customHeight="1">
      <c r="A115" s="30"/>
      <c r="B115" s="30"/>
      <c r="C115" s="30"/>
      <c r="D115" s="30"/>
      <c r="E115" s="30"/>
    </row>
    <row r="116" ht="12.75" customHeight="1">
      <c r="A116" s="30"/>
      <c r="B116" s="30"/>
      <c r="C116" s="30"/>
      <c r="D116" s="30"/>
      <c r="E116" s="30"/>
    </row>
    <row r="117" ht="12.75" customHeight="1">
      <c r="A117" s="30"/>
      <c r="B117" s="30"/>
      <c r="C117" s="30"/>
      <c r="D117" s="30"/>
      <c r="E117" s="30"/>
    </row>
    <row r="118" ht="12.75" customHeight="1">
      <c r="A118" s="30"/>
      <c r="B118" s="30"/>
      <c r="C118" s="30"/>
      <c r="D118" s="30"/>
      <c r="E118" s="30"/>
    </row>
    <row r="119" ht="12.75" customHeight="1">
      <c r="A119" s="30"/>
      <c r="B119" s="30"/>
      <c r="C119" s="30"/>
      <c r="D119" s="30"/>
      <c r="E119" s="30"/>
    </row>
    <row r="120" ht="12.75" customHeight="1">
      <c r="A120" s="30"/>
      <c r="B120" s="30"/>
      <c r="C120" s="30"/>
      <c r="D120" s="30"/>
      <c r="E120" s="30"/>
    </row>
    <row r="121" ht="12.75" customHeight="1">
      <c r="A121" s="30"/>
      <c r="B121" s="30"/>
      <c r="C121" s="30"/>
      <c r="D121" s="30"/>
      <c r="E121" s="30"/>
    </row>
    <row r="122" ht="12.75" customHeight="1">
      <c r="A122" s="30"/>
      <c r="B122" s="30"/>
      <c r="C122" s="30"/>
      <c r="D122" s="30"/>
      <c r="E122" s="30"/>
    </row>
    <row r="123" ht="12.75" customHeight="1">
      <c r="A123" s="30"/>
      <c r="B123" s="30"/>
      <c r="C123" s="30"/>
      <c r="D123" s="30"/>
      <c r="E123" s="30"/>
    </row>
    <row r="124" ht="12.75" customHeight="1">
      <c r="A124" s="30"/>
      <c r="B124" s="30"/>
      <c r="C124" s="30"/>
      <c r="D124" s="30"/>
      <c r="E124" s="30"/>
    </row>
    <row r="125" ht="12.75" customHeight="1">
      <c r="A125" s="30"/>
      <c r="B125" s="30"/>
      <c r="C125" s="30"/>
      <c r="D125" s="30"/>
      <c r="E125" s="30"/>
    </row>
    <row r="126" ht="12.75" customHeight="1">
      <c r="A126" s="30"/>
      <c r="B126" s="30"/>
      <c r="C126" s="30"/>
      <c r="D126" s="30"/>
      <c r="E126" s="30"/>
    </row>
    <row r="127" ht="12.75" customHeight="1">
      <c r="A127" s="30"/>
      <c r="B127" s="30"/>
      <c r="C127" s="30"/>
      <c r="D127" s="30"/>
      <c r="E127" s="30"/>
    </row>
    <row r="128" ht="12.75" customHeight="1">
      <c r="A128" s="30"/>
      <c r="B128" s="30"/>
      <c r="C128" s="30"/>
      <c r="D128" s="30"/>
      <c r="E128" s="30"/>
    </row>
    <row r="129" ht="12.75" customHeight="1">
      <c r="A129" s="30"/>
      <c r="B129" s="30"/>
      <c r="C129" s="30"/>
      <c r="D129" s="30"/>
      <c r="E129" s="30"/>
    </row>
    <row r="130" ht="12.75" customHeight="1">
      <c r="A130" s="30"/>
      <c r="B130" s="30"/>
      <c r="C130" s="30"/>
      <c r="D130" s="30"/>
      <c r="E130" s="30"/>
    </row>
    <row r="131" ht="12.75" customHeight="1">
      <c r="A131" s="30"/>
      <c r="B131" s="30"/>
      <c r="C131" s="30"/>
      <c r="D131" s="30"/>
      <c r="E131" s="30"/>
    </row>
    <row r="132" ht="12.75" customHeight="1">
      <c r="A132" s="30"/>
      <c r="B132" s="30"/>
      <c r="C132" s="30"/>
      <c r="D132" s="30"/>
      <c r="E132" s="30"/>
    </row>
    <row r="133" ht="12.75" customHeight="1">
      <c r="A133" s="30"/>
      <c r="B133" s="30"/>
      <c r="C133" s="30"/>
      <c r="D133" s="30"/>
      <c r="E133" s="30"/>
    </row>
    <row r="134" ht="12.75" customHeight="1">
      <c r="A134" s="30"/>
      <c r="B134" s="30"/>
      <c r="C134" s="30"/>
      <c r="D134" s="30"/>
      <c r="E134" s="30"/>
    </row>
    <row r="135" ht="12.75" customHeight="1">
      <c r="A135" s="30"/>
      <c r="B135" s="30"/>
      <c r="C135" s="30"/>
      <c r="D135" s="30"/>
      <c r="E135" s="30"/>
    </row>
    <row r="136" ht="12.75" customHeight="1">
      <c r="A136" s="30"/>
      <c r="B136" s="30"/>
      <c r="C136" s="30"/>
      <c r="D136" s="30"/>
      <c r="E136" s="30"/>
    </row>
    <row r="137" ht="12.75" customHeight="1">
      <c r="A137" s="30"/>
      <c r="B137" s="30"/>
      <c r="C137" s="30"/>
      <c r="D137" s="30"/>
      <c r="E137" s="30"/>
    </row>
    <row r="138" ht="12.75" customHeight="1">
      <c r="A138" s="30"/>
      <c r="B138" s="30"/>
      <c r="C138" s="30"/>
      <c r="D138" s="30"/>
      <c r="E138" s="30"/>
    </row>
    <row r="139" ht="12.75" customHeight="1">
      <c r="A139" s="30"/>
      <c r="B139" s="30"/>
      <c r="C139" s="30"/>
      <c r="D139" s="30"/>
      <c r="E139" s="30"/>
    </row>
    <row r="140" ht="12.75" customHeight="1">
      <c r="A140" s="30"/>
      <c r="B140" s="30"/>
      <c r="C140" s="30"/>
      <c r="D140" s="30"/>
      <c r="E140" s="30"/>
    </row>
    <row r="141" ht="12.75" customHeight="1">
      <c r="A141" s="30"/>
      <c r="B141" s="30"/>
      <c r="C141" s="30"/>
      <c r="D141" s="30"/>
      <c r="E141" s="30"/>
    </row>
    <row r="142" ht="12.75" customHeight="1">
      <c r="A142" s="30"/>
      <c r="B142" s="30"/>
      <c r="C142" s="30"/>
      <c r="D142" s="30"/>
      <c r="E142" s="30"/>
    </row>
    <row r="143" ht="12.75" customHeight="1">
      <c r="A143" s="30"/>
      <c r="B143" s="30"/>
      <c r="C143" s="30"/>
      <c r="D143" s="30"/>
      <c r="E143" s="30"/>
    </row>
    <row r="144" ht="12.75" customHeight="1">
      <c r="A144" s="30"/>
      <c r="B144" s="30"/>
      <c r="C144" s="30"/>
      <c r="D144" s="30"/>
      <c r="E144" s="30"/>
    </row>
    <row r="145" ht="12.75" customHeight="1">
      <c r="A145" s="30"/>
      <c r="B145" s="30"/>
      <c r="C145" s="30"/>
      <c r="D145" s="30"/>
      <c r="E145" s="30"/>
    </row>
    <row r="146" ht="12.75" customHeight="1">
      <c r="A146" s="30"/>
      <c r="B146" s="30"/>
      <c r="C146" s="30"/>
      <c r="D146" s="30"/>
      <c r="E146" s="30"/>
    </row>
    <row r="147" ht="12.75" customHeight="1">
      <c r="A147" s="30"/>
      <c r="B147" s="30"/>
      <c r="C147" s="30"/>
      <c r="D147" s="30"/>
      <c r="E147" s="30"/>
    </row>
    <row r="148" ht="12.75" customHeight="1">
      <c r="A148" s="30"/>
      <c r="B148" s="30"/>
      <c r="C148" s="30"/>
      <c r="D148" s="30"/>
      <c r="E148" s="30"/>
    </row>
    <row r="149" ht="12.75" customHeight="1">
      <c r="A149" s="30"/>
      <c r="B149" s="30"/>
      <c r="C149" s="30"/>
      <c r="D149" s="30"/>
      <c r="E149" s="30"/>
    </row>
    <row r="150" ht="12.75" customHeight="1">
      <c r="A150" s="30"/>
      <c r="B150" s="30"/>
      <c r="C150" s="30"/>
      <c r="D150" s="30"/>
      <c r="E150" s="30"/>
    </row>
    <row r="151" ht="12.75" customHeight="1">
      <c r="A151" s="30"/>
      <c r="B151" s="30"/>
      <c r="C151" s="30"/>
      <c r="D151" s="30"/>
      <c r="E151" s="30"/>
    </row>
    <row r="152" ht="12.75" customHeight="1">
      <c r="A152" s="30"/>
      <c r="B152" s="30"/>
      <c r="C152" s="30"/>
      <c r="D152" s="30"/>
      <c r="E152" s="30"/>
    </row>
    <row r="153" ht="12.75" customHeight="1">
      <c r="A153" s="30"/>
      <c r="B153" s="30"/>
      <c r="C153" s="30"/>
      <c r="D153" s="30"/>
      <c r="E153" s="30"/>
    </row>
    <row r="154" ht="12.75" customHeight="1">
      <c r="A154" s="30"/>
      <c r="B154" s="30"/>
      <c r="C154" s="30"/>
      <c r="D154" s="30"/>
      <c r="E154" s="30"/>
    </row>
    <row r="155" ht="12.75" customHeight="1">
      <c r="A155" s="30"/>
      <c r="B155" s="30"/>
      <c r="C155" s="30"/>
      <c r="D155" s="30"/>
      <c r="E155" s="30"/>
    </row>
    <row r="156" ht="12.75" customHeight="1">
      <c r="A156" s="30"/>
      <c r="B156" s="30"/>
      <c r="C156" s="30"/>
      <c r="D156" s="30"/>
      <c r="E156" s="30"/>
    </row>
    <row r="157" ht="12.75" customHeight="1">
      <c r="A157" s="30"/>
      <c r="B157" s="30"/>
      <c r="C157" s="30"/>
      <c r="D157" s="30"/>
      <c r="E157" s="30"/>
    </row>
    <row r="158" ht="12.75" customHeight="1">
      <c r="A158" s="30"/>
      <c r="B158" s="30"/>
      <c r="C158" s="30"/>
      <c r="D158" s="30"/>
      <c r="E158" s="30"/>
    </row>
    <row r="159" ht="12.75" customHeight="1">
      <c r="A159" s="30"/>
      <c r="B159" s="30"/>
      <c r="C159" s="30"/>
      <c r="D159" s="30"/>
      <c r="E159" s="30"/>
    </row>
    <row r="160" ht="12.75" customHeight="1">
      <c r="A160" s="30"/>
      <c r="B160" s="30"/>
      <c r="C160" s="30"/>
      <c r="D160" s="30"/>
      <c r="E160" s="30"/>
    </row>
    <row r="161" ht="12.75" customHeight="1">
      <c r="A161" s="30"/>
      <c r="B161" s="30"/>
      <c r="C161" s="30"/>
      <c r="D161" s="30"/>
      <c r="E161" s="30"/>
    </row>
    <row r="162" ht="12.75" customHeight="1">
      <c r="A162" s="30"/>
      <c r="B162" s="30"/>
      <c r="C162" s="30"/>
      <c r="D162" s="30"/>
      <c r="E162" s="30"/>
    </row>
    <row r="163" ht="12.75" customHeight="1">
      <c r="A163" s="30"/>
      <c r="B163" s="30"/>
      <c r="C163" s="30"/>
      <c r="D163" s="30"/>
      <c r="E163" s="30"/>
    </row>
    <row r="164" ht="12.75" customHeight="1">
      <c r="A164" s="30"/>
      <c r="B164" s="30"/>
      <c r="C164" s="30"/>
      <c r="D164" s="30"/>
      <c r="E164" s="30"/>
    </row>
    <row r="165" ht="12.75" customHeight="1">
      <c r="A165" s="30"/>
      <c r="B165" s="30"/>
      <c r="C165" s="30"/>
      <c r="D165" s="30"/>
      <c r="E165" s="30"/>
    </row>
    <row r="166" ht="12.75" customHeight="1">
      <c r="A166" s="30"/>
      <c r="B166" s="30"/>
      <c r="C166" s="30"/>
      <c r="D166" s="30"/>
      <c r="E166" s="30"/>
    </row>
    <row r="167" ht="12.75" customHeight="1">
      <c r="A167" s="30"/>
      <c r="B167" s="30"/>
      <c r="C167" s="30"/>
      <c r="D167" s="30"/>
      <c r="E167" s="30"/>
    </row>
    <row r="168" ht="12.75" customHeight="1">
      <c r="A168" s="30"/>
      <c r="B168" s="30"/>
      <c r="C168" s="30"/>
      <c r="D168" s="30"/>
      <c r="E168" s="30"/>
    </row>
    <row r="169" ht="12.75" customHeight="1">
      <c r="A169" s="30"/>
      <c r="B169" s="30"/>
      <c r="C169" s="30"/>
      <c r="D169" s="30"/>
      <c r="E169" s="30"/>
    </row>
    <row r="170" ht="12.75" customHeight="1">
      <c r="A170" s="30"/>
      <c r="B170" s="30"/>
      <c r="C170" s="30"/>
      <c r="D170" s="30"/>
      <c r="E170" s="30"/>
    </row>
    <row r="171" ht="12.75" customHeight="1">
      <c r="A171" s="30"/>
      <c r="B171" s="30"/>
      <c r="C171" s="30"/>
      <c r="D171" s="30"/>
      <c r="E171" s="30"/>
    </row>
    <row r="172" ht="12.75" customHeight="1">
      <c r="A172" s="30"/>
      <c r="B172" s="30"/>
      <c r="C172" s="30"/>
      <c r="D172" s="30"/>
      <c r="E172" s="30"/>
    </row>
    <row r="173" ht="12.75" customHeight="1">
      <c r="A173" s="30"/>
      <c r="B173" s="30"/>
      <c r="C173" s="30"/>
      <c r="D173" s="30"/>
      <c r="E173" s="30"/>
    </row>
    <row r="174" ht="12.75" customHeight="1">
      <c r="A174" s="30"/>
      <c r="B174" s="30"/>
      <c r="C174" s="30"/>
      <c r="D174" s="30"/>
      <c r="E174" s="30"/>
    </row>
    <row r="175" ht="12.75" customHeight="1">
      <c r="A175" s="30"/>
      <c r="B175" s="30"/>
      <c r="C175" s="30"/>
      <c r="D175" s="30"/>
      <c r="E175" s="30"/>
    </row>
    <row r="176" ht="12.75" customHeight="1">
      <c r="A176" s="30"/>
      <c r="B176" s="30"/>
      <c r="C176" s="30"/>
      <c r="D176" s="30"/>
      <c r="E176" s="30"/>
    </row>
    <row r="177" ht="12.75" customHeight="1">
      <c r="A177" s="30"/>
      <c r="B177" s="30"/>
      <c r="C177" s="30"/>
      <c r="D177" s="30"/>
      <c r="E177" s="30"/>
    </row>
    <row r="178" ht="12.75" customHeight="1">
      <c r="A178" s="30"/>
      <c r="B178" s="30"/>
      <c r="C178" s="30"/>
      <c r="D178" s="30"/>
      <c r="E178" s="30"/>
    </row>
    <row r="179" ht="12.75" customHeight="1">
      <c r="A179" s="30"/>
      <c r="B179" s="30"/>
      <c r="C179" s="30"/>
      <c r="D179" s="30"/>
      <c r="E179" s="30"/>
    </row>
    <row r="180" ht="12.75" customHeight="1">
      <c r="A180" s="30"/>
      <c r="B180" s="30"/>
      <c r="C180" s="30"/>
      <c r="D180" s="30"/>
      <c r="E180" s="30"/>
    </row>
    <row r="181" ht="12.75" customHeight="1">
      <c r="A181" s="30"/>
      <c r="B181" s="30"/>
      <c r="C181" s="30"/>
      <c r="D181" s="30"/>
      <c r="E181" s="30"/>
    </row>
    <row r="182" ht="12.75" customHeight="1">
      <c r="A182" s="30"/>
      <c r="B182" s="30"/>
      <c r="C182" s="30"/>
      <c r="D182" s="30"/>
      <c r="E182" s="30"/>
    </row>
    <row r="183" ht="12.75" customHeight="1">
      <c r="A183" s="30"/>
      <c r="B183" s="30"/>
      <c r="C183" s="30"/>
      <c r="D183" s="30"/>
      <c r="E183" s="30"/>
    </row>
    <row r="184" ht="12.75" customHeight="1">
      <c r="A184" s="30"/>
      <c r="B184" s="30"/>
      <c r="C184" s="30"/>
      <c r="D184" s="30"/>
      <c r="E184" s="30"/>
    </row>
    <row r="185" ht="12.75" customHeight="1">
      <c r="A185" s="30"/>
      <c r="B185" s="30"/>
      <c r="C185" s="30"/>
      <c r="D185" s="30"/>
      <c r="E185" s="30"/>
    </row>
    <row r="186" ht="12.75" customHeight="1">
      <c r="A186" s="30"/>
      <c r="B186" s="30"/>
      <c r="C186" s="30"/>
      <c r="D186" s="30"/>
      <c r="E186" s="30"/>
    </row>
    <row r="187" ht="12.75" customHeight="1">
      <c r="A187" s="30"/>
      <c r="B187" s="30"/>
      <c r="C187" s="30"/>
      <c r="D187" s="30"/>
      <c r="E187" s="30"/>
    </row>
    <row r="188" ht="12.75" customHeight="1">
      <c r="A188" s="30"/>
      <c r="B188" s="30"/>
      <c r="C188" s="30"/>
      <c r="D188" s="30"/>
      <c r="E188" s="30"/>
    </row>
    <row r="189" ht="12.75" customHeight="1">
      <c r="A189" s="30"/>
      <c r="B189" s="30"/>
      <c r="C189" s="30"/>
      <c r="D189" s="30"/>
      <c r="E189" s="30"/>
    </row>
    <row r="190" ht="12.75" customHeight="1">
      <c r="A190" s="30"/>
      <c r="B190" s="30"/>
      <c r="C190" s="30"/>
      <c r="D190" s="30"/>
      <c r="E190" s="30"/>
    </row>
    <row r="191" ht="12.75" customHeight="1">
      <c r="A191" s="30"/>
      <c r="B191" s="30"/>
      <c r="C191" s="30"/>
      <c r="D191" s="30"/>
      <c r="E191" s="30"/>
    </row>
    <row r="192" ht="12.75" customHeight="1">
      <c r="A192" s="30"/>
      <c r="B192" s="30"/>
      <c r="C192" s="30"/>
      <c r="D192" s="30"/>
      <c r="E192" s="30"/>
    </row>
    <row r="193" ht="12.75" customHeight="1">
      <c r="A193" s="30"/>
      <c r="B193" s="30"/>
      <c r="C193" s="30"/>
      <c r="D193" s="30"/>
      <c r="E193" s="30"/>
    </row>
    <row r="194" ht="12.75" customHeight="1">
      <c r="A194" s="30"/>
      <c r="B194" s="30"/>
      <c r="C194" s="30"/>
      <c r="D194" s="30"/>
      <c r="E194" s="30"/>
    </row>
    <row r="195" ht="12.75" customHeight="1">
      <c r="A195" s="30"/>
      <c r="B195" s="30"/>
      <c r="C195" s="30"/>
      <c r="D195" s="30"/>
      <c r="E195" s="30"/>
    </row>
    <row r="196" ht="12.75" customHeight="1">
      <c r="A196" s="30"/>
      <c r="B196" s="30"/>
      <c r="C196" s="30"/>
      <c r="D196" s="30"/>
      <c r="E196" s="30"/>
    </row>
    <row r="197" ht="12.75" customHeight="1">
      <c r="A197" s="30"/>
      <c r="B197" s="30"/>
      <c r="C197" s="30"/>
      <c r="D197" s="30"/>
      <c r="E197" s="30"/>
    </row>
    <row r="198" ht="12.75" customHeight="1">
      <c r="A198" s="30"/>
      <c r="B198" s="30"/>
      <c r="C198" s="30"/>
      <c r="D198" s="30"/>
      <c r="E198" s="30"/>
    </row>
    <row r="199" ht="12.75" customHeight="1">
      <c r="A199" s="30"/>
      <c r="B199" s="30"/>
      <c r="C199" s="30"/>
      <c r="D199" s="30"/>
      <c r="E199" s="30"/>
    </row>
    <row r="200" ht="12.75" customHeight="1">
      <c r="A200" s="30"/>
      <c r="B200" s="30"/>
      <c r="C200" s="30"/>
      <c r="D200" s="30"/>
      <c r="E200" s="30"/>
    </row>
    <row r="201" ht="12.75" customHeight="1">
      <c r="A201" s="30"/>
      <c r="B201" s="30"/>
      <c r="C201" s="30"/>
      <c r="D201" s="30"/>
      <c r="E201" s="30"/>
    </row>
    <row r="202" ht="12.75" customHeight="1">
      <c r="A202" s="30"/>
      <c r="B202" s="30"/>
      <c r="C202" s="30"/>
      <c r="D202" s="30"/>
      <c r="E202" s="30"/>
    </row>
    <row r="203" ht="12.75" customHeight="1">
      <c r="A203" s="30"/>
      <c r="B203" s="30"/>
      <c r="C203" s="30"/>
      <c r="D203" s="30"/>
      <c r="E203" s="30"/>
    </row>
    <row r="204" ht="12.75" customHeight="1">
      <c r="A204" s="30"/>
      <c r="B204" s="30"/>
      <c r="C204" s="30"/>
      <c r="D204" s="30"/>
      <c r="E204" s="30"/>
    </row>
    <row r="205" ht="12.75" customHeight="1">
      <c r="A205" s="30"/>
      <c r="B205" s="30"/>
      <c r="C205" s="30"/>
      <c r="D205" s="30"/>
      <c r="E205" s="30"/>
    </row>
    <row r="206" ht="12.75" customHeight="1">
      <c r="A206" s="30"/>
      <c r="B206" s="30"/>
      <c r="C206" s="30"/>
      <c r="D206" s="30"/>
      <c r="E206" s="30"/>
    </row>
    <row r="207" ht="12.75" customHeight="1">
      <c r="A207" s="30"/>
      <c r="B207" s="30"/>
      <c r="C207" s="30"/>
      <c r="D207" s="30"/>
      <c r="E207" s="30"/>
    </row>
    <row r="208" ht="12.75" customHeight="1">
      <c r="A208" s="30"/>
      <c r="B208" s="30"/>
      <c r="C208" s="30"/>
      <c r="D208" s="30"/>
      <c r="E208" s="30"/>
    </row>
    <row r="209" ht="12.75" customHeight="1">
      <c r="A209" s="30"/>
      <c r="B209" s="30"/>
      <c r="C209" s="30"/>
      <c r="D209" s="30"/>
      <c r="E209" s="30"/>
    </row>
    <row r="210" ht="12.75" customHeight="1">
      <c r="A210" s="30"/>
      <c r="B210" s="30"/>
      <c r="C210" s="30"/>
      <c r="D210" s="30"/>
      <c r="E210" s="30"/>
    </row>
    <row r="211" ht="12.75" customHeight="1">
      <c r="A211" s="30"/>
      <c r="B211" s="30"/>
      <c r="C211" s="30"/>
      <c r="D211" s="30"/>
      <c r="E211" s="30"/>
    </row>
    <row r="212" ht="12.75" customHeight="1">
      <c r="A212" s="30"/>
      <c r="B212" s="30"/>
      <c r="C212" s="30"/>
      <c r="D212" s="30"/>
      <c r="E212" s="30"/>
    </row>
    <row r="213" ht="12.75" customHeight="1">
      <c r="A213" s="30"/>
      <c r="B213" s="30"/>
      <c r="C213" s="30"/>
      <c r="D213" s="30"/>
      <c r="E213" s="30"/>
    </row>
    <row r="214" ht="12.75" customHeight="1">
      <c r="A214" s="30"/>
      <c r="B214" s="30"/>
      <c r="C214" s="30"/>
      <c r="D214" s="30"/>
      <c r="E214" s="30"/>
    </row>
    <row r="215" ht="12.75" customHeight="1">
      <c r="A215" s="30"/>
      <c r="B215" s="30"/>
      <c r="C215" s="30"/>
      <c r="D215" s="30"/>
      <c r="E215" s="30"/>
    </row>
    <row r="216" ht="12.75" customHeight="1">
      <c r="A216" s="30"/>
      <c r="B216" s="30"/>
      <c r="C216" s="30"/>
      <c r="D216" s="30"/>
      <c r="E216" s="30"/>
    </row>
    <row r="217" ht="12.75" customHeight="1">
      <c r="A217" s="30"/>
      <c r="B217" s="30"/>
      <c r="C217" s="30"/>
      <c r="D217" s="30"/>
      <c r="E217" s="30"/>
    </row>
    <row r="218" ht="12.75" customHeight="1">
      <c r="A218" s="30"/>
      <c r="B218" s="30"/>
      <c r="C218" s="30"/>
      <c r="D218" s="30"/>
      <c r="E218" s="30"/>
    </row>
    <row r="219" ht="12.75" customHeight="1">
      <c r="A219" s="30"/>
      <c r="B219" s="30"/>
      <c r="C219" s="30"/>
      <c r="D219" s="30"/>
      <c r="E219" s="30"/>
    </row>
    <row r="220" ht="12.75" customHeight="1">
      <c r="A220" s="30"/>
      <c r="B220" s="30"/>
      <c r="C220" s="30"/>
      <c r="D220" s="30"/>
      <c r="E220" s="30"/>
    </row>
    <row r="221" ht="12.75" customHeight="1">
      <c r="A221" s="30"/>
      <c r="B221" s="30"/>
      <c r="C221" s="30"/>
      <c r="D221" s="30"/>
      <c r="E221" s="30"/>
    </row>
    <row r="222" ht="12.75" customHeight="1">
      <c r="A222" s="30"/>
      <c r="B222" s="30"/>
      <c r="C222" s="30"/>
      <c r="D222" s="30"/>
      <c r="E222" s="30"/>
    </row>
    <row r="223" ht="12.75" customHeight="1">
      <c r="A223" s="30"/>
      <c r="B223" s="30"/>
      <c r="C223" s="30"/>
      <c r="D223" s="30"/>
      <c r="E223" s="30"/>
    </row>
    <row r="224" ht="12.75" customHeight="1">
      <c r="A224" s="30"/>
      <c r="B224" s="30"/>
      <c r="C224" s="30"/>
      <c r="D224" s="30"/>
      <c r="E224" s="30"/>
    </row>
    <row r="225" ht="12.75" customHeight="1">
      <c r="A225" s="30"/>
      <c r="B225" s="30"/>
      <c r="C225" s="30"/>
      <c r="D225" s="30"/>
      <c r="E225" s="30"/>
    </row>
    <row r="226" ht="12.75" customHeight="1">
      <c r="A226" s="30"/>
      <c r="B226" s="30"/>
      <c r="C226" s="30"/>
      <c r="D226" s="30"/>
      <c r="E226" s="30"/>
    </row>
    <row r="227" ht="12.75" customHeight="1">
      <c r="A227" s="30"/>
      <c r="B227" s="30"/>
      <c r="C227" s="30"/>
      <c r="D227" s="30"/>
      <c r="E227" s="30"/>
    </row>
    <row r="228" ht="12.75" customHeight="1">
      <c r="A228" s="30"/>
      <c r="B228" s="30"/>
      <c r="C228" s="30"/>
      <c r="D228" s="30"/>
      <c r="E228" s="30"/>
    </row>
    <row r="229" ht="12.75" customHeight="1">
      <c r="A229" s="30"/>
      <c r="B229" s="30"/>
      <c r="C229" s="30"/>
      <c r="D229" s="30"/>
      <c r="E229" s="30"/>
    </row>
    <row r="230" ht="12.75" customHeight="1">
      <c r="A230" s="30"/>
      <c r="B230" s="30"/>
      <c r="C230" s="30"/>
      <c r="D230" s="30"/>
      <c r="E230" s="30"/>
    </row>
    <row r="231" ht="12.75" customHeight="1">
      <c r="A231" s="30"/>
      <c r="B231" s="30"/>
      <c r="C231" s="30"/>
      <c r="D231" s="30"/>
      <c r="E231" s="30"/>
    </row>
    <row r="232" ht="12.75" customHeight="1">
      <c r="A232" s="30"/>
      <c r="B232" s="30"/>
      <c r="C232" s="30"/>
      <c r="D232" s="30"/>
      <c r="E232" s="30"/>
    </row>
    <row r="233" ht="12.75" customHeight="1">
      <c r="A233" s="30"/>
      <c r="B233" s="30"/>
      <c r="C233" s="30"/>
      <c r="D233" s="30"/>
      <c r="E233" s="30"/>
    </row>
    <row r="234" ht="12.75" customHeight="1">
      <c r="A234" s="30"/>
      <c r="B234" s="30"/>
      <c r="C234" s="30"/>
      <c r="D234" s="30"/>
      <c r="E234" s="30"/>
    </row>
    <row r="235" ht="12.75" customHeight="1">
      <c r="A235" s="30"/>
      <c r="B235" s="30"/>
      <c r="C235" s="30"/>
      <c r="D235" s="30"/>
      <c r="E235" s="30"/>
    </row>
    <row r="236" ht="12.75" customHeight="1">
      <c r="A236" s="30"/>
      <c r="B236" s="30"/>
      <c r="C236" s="30"/>
      <c r="D236" s="30"/>
      <c r="E236" s="30"/>
    </row>
    <row r="237" ht="12.75" customHeight="1">
      <c r="A237" s="30"/>
      <c r="B237" s="30"/>
      <c r="C237" s="30"/>
      <c r="D237" s="30"/>
      <c r="E237" s="30"/>
    </row>
    <row r="238" ht="12.75" customHeight="1">
      <c r="A238" s="30"/>
      <c r="B238" s="30"/>
      <c r="C238" s="30"/>
      <c r="D238" s="30"/>
      <c r="E238" s="30"/>
    </row>
    <row r="239" ht="12.75" customHeight="1">
      <c r="A239" s="30"/>
      <c r="B239" s="30"/>
      <c r="C239" s="30"/>
      <c r="D239" s="30"/>
      <c r="E239" s="30"/>
    </row>
    <row r="240" ht="12.75" customHeight="1">
      <c r="A240" s="30"/>
      <c r="B240" s="30"/>
      <c r="C240" s="30"/>
      <c r="D240" s="30"/>
      <c r="E240" s="30"/>
    </row>
    <row r="241" ht="12.75" customHeight="1">
      <c r="A241" s="30"/>
      <c r="B241" s="30"/>
      <c r="C241" s="30"/>
      <c r="D241" s="30"/>
      <c r="E241" s="30"/>
    </row>
    <row r="242" ht="12.75" customHeight="1">
      <c r="A242" s="30"/>
      <c r="B242" s="30"/>
      <c r="C242" s="30"/>
      <c r="D242" s="30"/>
      <c r="E242" s="30"/>
    </row>
    <row r="243" ht="12.75" customHeight="1">
      <c r="A243" s="30"/>
      <c r="B243" s="30"/>
      <c r="C243" s="30"/>
      <c r="D243" s="30"/>
      <c r="E243" s="30"/>
    </row>
    <row r="244" ht="12.75" customHeight="1">
      <c r="A244" s="30"/>
      <c r="B244" s="30"/>
      <c r="C244" s="30"/>
      <c r="D244" s="30"/>
      <c r="E244" s="30"/>
    </row>
    <row r="245" ht="12.75" customHeight="1">
      <c r="A245" s="30"/>
      <c r="B245" s="30"/>
      <c r="C245" s="30"/>
      <c r="D245" s="30"/>
      <c r="E245" s="30"/>
    </row>
    <row r="246" ht="12.75" customHeight="1">
      <c r="A246" s="30"/>
      <c r="B246" s="30"/>
      <c r="C246" s="30"/>
      <c r="D246" s="30"/>
      <c r="E246" s="30"/>
    </row>
    <row r="247" ht="12.75" customHeight="1">
      <c r="A247" s="30"/>
      <c r="B247" s="30"/>
      <c r="C247" s="30"/>
      <c r="D247" s="30"/>
      <c r="E247" s="30"/>
    </row>
    <row r="248" ht="12.75" customHeight="1">
      <c r="A248" s="30"/>
      <c r="B248" s="30"/>
      <c r="C248" s="30"/>
      <c r="D248" s="30"/>
      <c r="E248" s="30"/>
    </row>
    <row r="249" ht="12.75" customHeight="1">
      <c r="A249" s="30"/>
      <c r="B249" s="30"/>
      <c r="C249" s="30"/>
      <c r="D249" s="30"/>
      <c r="E249" s="30"/>
    </row>
    <row r="250" ht="12.75" customHeight="1">
      <c r="A250" s="30"/>
      <c r="B250" s="30"/>
      <c r="C250" s="30"/>
      <c r="D250" s="30"/>
      <c r="E250" s="30"/>
    </row>
    <row r="251" ht="12.75" customHeight="1">
      <c r="A251" s="30"/>
      <c r="B251" s="30"/>
      <c r="C251" s="30"/>
      <c r="D251" s="30"/>
      <c r="E251" s="30"/>
    </row>
    <row r="252" ht="12.75" customHeight="1">
      <c r="A252" s="30"/>
      <c r="B252" s="30"/>
      <c r="C252" s="30"/>
      <c r="D252" s="30"/>
      <c r="E252" s="30"/>
    </row>
    <row r="253" ht="12.75" customHeight="1">
      <c r="A253" s="30"/>
      <c r="B253" s="30"/>
      <c r="C253" s="30"/>
      <c r="D253" s="30"/>
      <c r="E253" s="30"/>
    </row>
    <row r="254" ht="12.75" customHeight="1">
      <c r="A254" s="30"/>
      <c r="B254" s="30"/>
      <c r="C254" s="30"/>
      <c r="D254" s="30"/>
      <c r="E254" s="30"/>
    </row>
    <row r="255" ht="12.75" customHeight="1">
      <c r="A255" s="30"/>
      <c r="B255" s="30"/>
      <c r="C255" s="30"/>
      <c r="D255" s="30"/>
      <c r="E255" s="30"/>
    </row>
    <row r="256" ht="12.75" customHeight="1">
      <c r="A256" s="30"/>
      <c r="B256" s="30"/>
      <c r="C256" s="30"/>
      <c r="D256" s="30"/>
      <c r="E256" s="30"/>
    </row>
    <row r="257" ht="12.75" customHeight="1">
      <c r="A257" s="30"/>
      <c r="B257" s="30"/>
      <c r="C257" s="30"/>
      <c r="D257" s="30"/>
      <c r="E257" s="30"/>
    </row>
    <row r="258" ht="12.75" customHeight="1">
      <c r="A258" s="30"/>
      <c r="B258" s="30"/>
      <c r="C258" s="30"/>
      <c r="D258" s="30"/>
      <c r="E258" s="30"/>
    </row>
    <row r="259" ht="12.75" customHeight="1">
      <c r="A259" s="30"/>
      <c r="B259" s="30"/>
      <c r="C259" s="30"/>
      <c r="D259" s="30"/>
      <c r="E259" s="30"/>
    </row>
    <row r="260" ht="12.75" customHeight="1">
      <c r="A260" s="30"/>
      <c r="B260" s="30"/>
      <c r="C260" s="30"/>
      <c r="D260" s="30"/>
      <c r="E260" s="30"/>
    </row>
    <row r="261" ht="12.75" customHeight="1">
      <c r="A261" s="30"/>
      <c r="B261" s="30"/>
      <c r="C261" s="30"/>
      <c r="D261" s="30"/>
      <c r="E261" s="30"/>
    </row>
    <row r="262" ht="12.75" customHeight="1">
      <c r="A262" s="30"/>
      <c r="B262" s="30"/>
      <c r="C262" s="30"/>
      <c r="D262" s="30"/>
      <c r="E262" s="30"/>
    </row>
    <row r="263" ht="12.75" customHeight="1">
      <c r="A263" s="30"/>
      <c r="B263" s="30"/>
      <c r="C263" s="30"/>
      <c r="D263" s="30"/>
      <c r="E263" s="30"/>
    </row>
    <row r="264" ht="12.75" customHeight="1">
      <c r="A264" s="30"/>
      <c r="B264" s="30"/>
      <c r="C264" s="30"/>
      <c r="D264" s="30"/>
      <c r="E264" s="30"/>
    </row>
    <row r="265" ht="12.75" customHeight="1">
      <c r="A265" s="30"/>
      <c r="B265" s="30"/>
      <c r="C265" s="30"/>
      <c r="D265" s="30"/>
      <c r="E265" s="30"/>
    </row>
    <row r="266" ht="12.75" customHeight="1">
      <c r="A266" s="30"/>
      <c r="B266" s="30"/>
      <c r="C266" s="30"/>
      <c r="D266" s="30"/>
      <c r="E266" s="30"/>
    </row>
    <row r="267" ht="12.75" customHeight="1">
      <c r="A267" s="30"/>
      <c r="B267" s="30"/>
      <c r="C267" s="30"/>
      <c r="D267" s="30"/>
      <c r="E267" s="30"/>
    </row>
    <row r="268" ht="12.75" customHeight="1">
      <c r="A268" s="30"/>
      <c r="B268" s="30"/>
      <c r="C268" s="30"/>
      <c r="D268" s="30"/>
      <c r="E268" s="30"/>
    </row>
    <row r="269" ht="12.75" customHeight="1">
      <c r="A269" s="30"/>
      <c r="B269" s="30"/>
      <c r="C269" s="30"/>
      <c r="D269" s="30"/>
      <c r="E269" s="30"/>
    </row>
    <row r="270" ht="12.75" customHeight="1">
      <c r="A270" s="30"/>
      <c r="B270" s="30"/>
      <c r="C270" s="30"/>
      <c r="D270" s="30"/>
      <c r="E270" s="30"/>
    </row>
    <row r="271" ht="12.75" customHeight="1">
      <c r="A271" s="30"/>
      <c r="B271" s="30"/>
      <c r="C271" s="30"/>
      <c r="D271" s="30"/>
      <c r="E271" s="30"/>
    </row>
    <row r="272" ht="12.75" customHeight="1">
      <c r="A272" s="30"/>
      <c r="B272" s="30"/>
      <c r="C272" s="30"/>
      <c r="D272" s="30"/>
      <c r="E272" s="30"/>
    </row>
    <row r="273" ht="12.75" customHeight="1">
      <c r="A273" s="30"/>
      <c r="B273" s="30"/>
      <c r="C273" s="30"/>
      <c r="D273" s="30"/>
      <c r="E273" s="30"/>
    </row>
    <row r="274" ht="12.75" customHeight="1">
      <c r="A274" s="30"/>
      <c r="B274" s="30"/>
      <c r="C274" s="30"/>
      <c r="D274" s="30"/>
      <c r="E274" s="30"/>
    </row>
    <row r="275" ht="12.75" customHeight="1">
      <c r="A275" s="30"/>
      <c r="B275" s="30"/>
      <c r="C275" s="30"/>
      <c r="D275" s="30"/>
      <c r="E275" s="30"/>
    </row>
    <row r="276" ht="12.75" customHeight="1">
      <c r="A276" s="30"/>
      <c r="B276" s="30"/>
      <c r="C276" s="30"/>
      <c r="D276" s="30"/>
      <c r="E276" s="30"/>
    </row>
    <row r="277" ht="12.75" customHeight="1">
      <c r="A277" s="30"/>
      <c r="B277" s="30"/>
      <c r="C277" s="30"/>
      <c r="D277" s="30"/>
      <c r="E277" s="30"/>
    </row>
    <row r="278" ht="12.75" customHeight="1">
      <c r="A278" s="30"/>
      <c r="B278" s="30"/>
      <c r="C278" s="30"/>
      <c r="D278" s="30"/>
      <c r="E278" s="30"/>
    </row>
    <row r="279" ht="12.75" customHeight="1">
      <c r="A279" s="30"/>
      <c r="B279" s="30"/>
      <c r="C279" s="30"/>
      <c r="D279" s="30"/>
      <c r="E279" s="30"/>
    </row>
    <row r="280" ht="12.75" customHeight="1">
      <c r="A280" s="30"/>
      <c r="B280" s="30"/>
      <c r="C280" s="30"/>
      <c r="D280" s="30"/>
      <c r="E280" s="30"/>
    </row>
    <row r="281" ht="12.75" customHeight="1">
      <c r="A281" s="30"/>
      <c r="B281" s="30"/>
      <c r="C281" s="30"/>
      <c r="D281" s="30"/>
      <c r="E281" s="30"/>
    </row>
    <row r="282" ht="12.75" customHeight="1">
      <c r="A282" s="30"/>
      <c r="B282" s="30"/>
      <c r="C282" s="30"/>
      <c r="D282" s="30"/>
      <c r="E282" s="30"/>
    </row>
    <row r="283" ht="12.75" customHeight="1">
      <c r="A283" s="30"/>
      <c r="B283" s="30"/>
      <c r="C283" s="30"/>
      <c r="D283" s="30"/>
      <c r="E283" s="30"/>
    </row>
    <row r="284" ht="12.75" customHeight="1">
      <c r="A284" s="30"/>
      <c r="B284" s="30"/>
      <c r="C284" s="30"/>
      <c r="D284" s="30"/>
      <c r="E284" s="30"/>
    </row>
    <row r="285" ht="12.75" customHeight="1">
      <c r="A285" s="30"/>
      <c r="B285" s="30"/>
      <c r="C285" s="30"/>
      <c r="D285" s="30"/>
      <c r="E285" s="30"/>
    </row>
    <row r="286" ht="12.75" customHeight="1">
      <c r="A286" s="30"/>
      <c r="B286" s="30"/>
      <c r="C286" s="30"/>
      <c r="D286" s="30"/>
      <c r="E286" s="30"/>
    </row>
    <row r="287" ht="12.75" customHeight="1">
      <c r="A287" s="30"/>
      <c r="B287" s="30"/>
      <c r="C287" s="30"/>
      <c r="D287" s="30"/>
      <c r="E287" s="30"/>
    </row>
    <row r="288" ht="12.75" customHeight="1">
      <c r="A288" s="30"/>
      <c r="B288" s="30"/>
      <c r="C288" s="30"/>
      <c r="D288" s="30"/>
      <c r="E288" s="30"/>
    </row>
    <row r="289" ht="12.75" customHeight="1">
      <c r="A289" s="30"/>
      <c r="B289" s="30"/>
      <c r="C289" s="30"/>
      <c r="D289" s="30"/>
      <c r="E289" s="30"/>
    </row>
    <row r="290" ht="12.75" customHeight="1">
      <c r="A290" s="30"/>
      <c r="B290" s="30"/>
      <c r="C290" s="30"/>
      <c r="D290" s="30"/>
      <c r="E290" s="30"/>
    </row>
    <row r="291" ht="12.75" customHeight="1">
      <c r="A291" s="30"/>
      <c r="B291" s="30"/>
      <c r="C291" s="30"/>
      <c r="D291" s="30"/>
      <c r="E291" s="30"/>
    </row>
    <row r="292" ht="12.75" customHeight="1">
      <c r="A292" s="30"/>
      <c r="B292" s="30"/>
      <c r="C292" s="30"/>
      <c r="D292" s="30"/>
      <c r="E292" s="30"/>
    </row>
    <row r="293" ht="12.75" customHeight="1">
      <c r="A293" s="30"/>
      <c r="B293" s="30"/>
      <c r="C293" s="30"/>
      <c r="D293" s="30"/>
      <c r="E293" s="30"/>
    </row>
    <row r="294" ht="12.75" customHeight="1">
      <c r="A294" s="30"/>
      <c r="B294" s="30"/>
      <c r="C294" s="30"/>
      <c r="D294" s="30"/>
      <c r="E294" s="30"/>
    </row>
    <row r="295" ht="12.75" customHeight="1">
      <c r="A295" s="30"/>
      <c r="B295" s="30"/>
      <c r="C295" s="30"/>
      <c r="D295" s="30"/>
      <c r="E295" s="30"/>
    </row>
    <row r="296" ht="12.75" customHeight="1">
      <c r="A296" s="30"/>
      <c r="B296" s="30"/>
      <c r="C296" s="30"/>
      <c r="D296" s="30"/>
      <c r="E296" s="30"/>
    </row>
    <row r="297" ht="12.75" customHeight="1">
      <c r="A297" s="30"/>
      <c r="B297" s="30"/>
      <c r="C297" s="30"/>
      <c r="D297" s="30"/>
      <c r="E297" s="30"/>
    </row>
    <row r="298" ht="12.75" customHeight="1">
      <c r="A298" s="30"/>
      <c r="B298" s="30"/>
      <c r="C298" s="30"/>
      <c r="D298" s="30"/>
      <c r="E298" s="30"/>
    </row>
    <row r="299" ht="12.75" customHeight="1">
      <c r="A299" s="30"/>
      <c r="B299" s="30"/>
      <c r="C299" s="30"/>
      <c r="D299" s="30"/>
      <c r="E299" s="30"/>
    </row>
    <row r="300" ht="12.75" customHeight="1">
      <c r="A300" s="30"/>
      <c r="B300" s="30"/>
      <c r="C300" s="30"/>
      <c r="D300" s="30"/>
      <c r="E300" s="30"/>
    </row>
    <row r="301" ht="12.75" customHeight="1">
      <c r="A301" s="30"/>
      <c r="B301" s="30"/>
      <c r="C301" s="30"/>
      <c r="D301" s="30"/>
      <c r="E301" s="30"/>
    </row>
    <row r="302" ht="12.75" customHeight="1">
      <c r="A302" s="30"/>
      <c r="B302" s="30"/>
      <c r="C302" s="30"/>
      <c r="D302" s="30"/>
      <c r="E302" s="30"/>
    </row>
    <row r="303" ht="12.75" customHeight="1">
      <c r="A303" s="30"/>
      <c r="B303" s="30"/>
      <c r="C303" s="30"/>
      <c r="D303" s="30"/>
      <c r="E303" s="30"/>
    </row>
    <row r="304" ht="12.75" customHeight="1">
      <c r="A304" s="30"/>
      <c r="B304" s="30"/>
      <c r="C304" s="30"/>
      <c r="D304" s="30"/>
      <c r="E304" s="30"/>
    </row>
    <row r="305" ht="12.75" customHeight="1">
      <c r="A305" s="30"/>
      <c r="B305" s="30"/>
      <c r="C305" s="30"/>
      <c r="D305" s="30"/>
      <c r="E305" s="30"/>
    </row>
    <row r="306" ht="12.75" customHeight="1">
      <c r="A306" s="30"/>
      <c r="B306" s="30"/>
      <c r="C306" s="30"/>
      <c r="D306" s="30"/>
      <c r="E306" s="30"/>
    </row>
    <row r="307" ht="12.75" customHeight="1">
      <c r="A307" s="30"/>
      <c r="B307" s="30"/>
      <c r="C307" s="30"/>
      <c r="D307" s="30"/>
      <c r="E307" s="30"/>
    </row>
    <row r="308" ht="12.75" customHeight="1">
      <c r="A308" s="30"/>
      <c r="B308" s="30"/>
      <c r="C308" s="30"/>
      <c r="D308" s="30"/>
      <c r="E308" s="30"/>
    </row>
    <row r="309" ht="12.75" customHeight="1">
      <c r="A309" s="30"/>
      <c r="B309" s="30"/>
      <c r="C309" s="30"/>
      <c r="D309" s="30"/>
      <c r="E309" s="30"/>
    </row>
    <row r="310" ht="12.75" customHeight="1">
      <c r="A310" s="30"/>
      <c r="B310" s="30"/>
      <c r="C310" s="30"/>
      <c r="D310" s="30"/>
      <c r="E310" s="30"/>
    </row>
    <row r="311" ht="12.75" customHeight="1">
      <c r="A311" s="30"/>
      <c r="B311" s="30"/>
      <c r="C311" s="30"/>
      <c r="D311" s="30"/>
      <c r="E311" s="30"/>
    </row>
    <row r="312" ht="12.75" customHeight="1">
      <c r="A312" s="30"/>
      <c r="B312" s="30"/>
      <c r="C312" s="30"/>
      <c r="D312" s="30"/>
      <c r="E312" s="30"/>
    </row>
    <row r="313" ht="12.75" customHeight="1">
      <c r="A313" s="30"/>
      <c r="B313" s="30"/>
      <c r="C313" s="30"/>
      <c r="D313" s="30"/>
      <c r="E313" s="30"/>
    </row>
    <row r="314" ht="12.75" customHeight="1">
      <c r="A314" s="30"/>
      <c r="B314" s="30"/>
      <c r="C314" s="30"/>
      <c r="D314" s="30"/>
      <c r="E314" s="30"/>
    </row>
    <row r="315" ht="12.75" customHeight="1">
      <c r="A315" s="30"/>
      <c r="B315" s="30"/>
      <c r="C315" s="30"/>
      <c r="D315" s="30"/>
      <c r="E315" s="30"/>
    </row>
    <row r="316" ht="12.75" customHeight="1">
      <c r="A316" s="30"/>
      <c r="B316" s="30"/>
      <c r="C316" s="30"/>
      <c r="D316" s="30"/>
      <c r="E316" s="30"/>
    </row>
    <row r="317" ht="12.75" customHeight="1">
      <c r="A317" s="30"/>
      <c r="B317" s="30"/>
      <c r="C317" s="30"/>
      <c r="D317" s="30"/>
      <c r="E317" s="30"/>
    </row>
    <row r="318" ht="12.75" customHeight="1">
      <c r="A318" s="30"/>
      <c r="B318" s="30"/>
      <c r="C318" s="30"/>
      <c r="D318" s="30"/>
      <c r="E318" s="30"/>
    </row>
    <row r="319" ht="12.75" customHeight="1">
      <c r="A319" s="30"/>
      <c r="B319" s="30"/>
      <c r="C319" s="30"/>
      <c r="D319" s="30"/>
      <c r="E319" s="30"/>
    </row>
    <row r="320" ht="12.75" customHeight="1">
      <c r="A320" s="30"/>
      <c r="B320" s="30"/>
      <c r="C320" s="30"/>
      <c r="D320" s="30"/>
      <c r="E320" s="30"/>
    </row>
    <row r="321" ht="12.75" customHeight="1">
      <c r="A321" s="30"/>
      <c r="B321" s="30"/>
      <c r="C321" s="30"/>
      <c r="D321" s="30"/>
      <c r="E321" s="30"/>
    </row>
    <row r="322" ht="12.75" customHeight="1">
      <c r="A322" s="30"/>
      <c r="B322" s="30"/>
      <c r="C322" s="30"/>
      <c r="D322" s="30"/>
      <c r="E322" s="30"/>
    </row>
    <row r="323" ht="12.75" customHeight="1">
      <c r="A323" s="30"/>
      <c r="B323" s="30"/>
      <c r="C323" s="30"/>
      <c r="D323" s="30"/>
      <c r="E323" s="30"/>
    </row>
    <row r="324" ht="12.75" customHeight="1">
      <c r="A324" s="30"/>
      <c r="B324" s="30"/>
      <c r="C324" s="30"/>
      <c r="D324" s="30"/>
      <c r="E324" s="30"/>
    </row>
    <row r="325" ht="12.75" customHeight="1">
      <c r="A325" s="30"/>
      <c r="B325" s="30"/>
      <c r="C325" s="30"/>
      <c r="D325" s="30"/>
      <c r="E325" s="30"/>
    </row>
    <row r="326" ht="12.75" customHeight="1">
      <c r="A326" s="30"/>
      <c r="B326" s="30"/>
      <c r="C326" s="30"/>
      <c r="D326" s="30"/>
      <c r="E326" s="30"/>
    </row>
    <row r="327" ht="12.75" customHeight="1">
      <c r="A327" s="30"/>
      <c r="B327" s="30"/>
      <c r="C327" s="30"/>
      <c r="D327" s="30"/>
      <c r="E327" s="30"/>
    </row>
    <row r="328" ht="12.75" customHeight="1">
      <c r="A328" s="30"/>
      <c r="B328" s="30"/>
      <c r="C328" s="30"/>
      <c r="D328" s="30"/>
      <c r="E328" s="30"/>
    </row>
    <row r="329" ht="12.75" customHeight="1">
      <c r="A329" s="30"/>
      <c r="B329" s="30"/>
      <c r="C329" s="30"/>
      <c r="D329" s="30"/>
      <c r="E329" s="30"/>
    </row>
    <row r="330" ht="12.75" customHeight="1">
      <c r="A330" s="30"/>
      <c r="B330" s="30"/>
      <c r="C330" s="30"/>
      <c r="D330" s="30"/>
      <c r="E330" s="30"/>
    </row>
    <row r="331" ht="12.75" customHeight="1">
      <c r="A331" s="30"/>
      <c r="B331" s="30"/>
      <c r="C331" s="30"/>
      <c r="D331" s="30"/>
      <c r="E331" s="30"/>
    </row>
    <row r="332" ht="12.75" customHeight="1">
      <c r="A332" s="30"/>
      <c r="B332" s="30"/>
      <c r="C332" s="30"/>
      <c r="D332" s="30"/>
      <c r="E332" s="30"/>
    </row>
    <row r="333" ht="12.75" customHeight="1">
      <c r="A333" s="30"/>
      <c r="B333" s="30"/>
      <c r="C333" s="30"/>
      <c r="D333" s="30"/>
      <c r="E333" s="30"/>
    </row>
    <row r="334" ht="12.75" customHeight="1">
      <c r="A334" s="30"/>
      <c r="B334" s="30"/>
      <c r="C334" s="30"/>
      <c r="D334" s="30"/>
      <c r="E334" s="30"/>
    </row>
    <row r="335" ht="12.75" customHeight="1">
      <c r="A335" s="30"/>
      <c r="B335" s="30"/>
      <c r="C335" s="30"/>
      <c r="D335" s="30"/>
      <c r="E335" s="30"/>
    </row>
    <row r="336" ht="12.75" customHeight="1">
      <c r="A336" s="30"/>
      <c r="B336" s="30"/>
      <c r="C336" s="30"/>
      <c r="D336" s="30"/>
      <c r="E336" s="30"/>
    </row>
    <row r="337" ht="12.75" customHeight="1">
      <c r="A337" s="30"/>
      <c r="B337" s="30"/>
      <c r="C337" s="30"/>
      <c r="D337" s="30"/>
      <c r="E337" s="30"/>
    </row>
    <row r="338" ht="12.75" customHeight="1">
      <c r="A338" s="30"/>
      <c r="B338" s="30"/>
      <c r="C338" s="30"/>
      <c r="D338" s="30"/>
      <c r="E338" s="30"/>
    </row>
    <row r="339" ht="12.75" customHeight="1">
      <c r="A339" s="30"/>
      <c r="B339" s="30"/>
      <c r="C339" s="30"/>
      <c r="D339" s="30"/>
      <c r="E339" s="30"/>
    </row>
    <row r="340" ht="12.75" customHeight="1">
      <c r="A340" s="30"/>
      <c r="B340" s="30"/>
      <c r="C340" s="30"/>
      <c r="D340" s="30"/>
      <c r="E340" s="30"/>
    </row>
    <row r="341" ht="12.75" customHeight="1">
      <c r="A341" s="30"/>
      <c r="B341" s="30"/>
      <c r="C341" s="30"/>
      <c r="D341" s="30"/>
      <c r="E341" s="30"/>
    </row>
    <row r="342" ht="12.75" customHeight="1">
      <c r="A342" s="30"/>
      <c r="B342" s="30"/>
      <c r="C342" s="30"/>
      <c r="D342" s="30"/>
      <c r="E342" s="30"/>
    </row>
    <row r="343" ht="12.75" customHeight="1">
      <c r="A343" s="30"/>
      <c r="B343" s="30"/>
      <c r="C343" s="30"/>
      <c r="D343" s="30"/>
      <c r="E343" s="30"/>
    </row>
    <row r="344" ht="12.75" customHeight="1">
      <c r="A344" s="30"/>
      <c r="B344" s="30"/>
      <c r="C344" s="30"/>
      <c r="D344" s="30"/>
      <c r="E344" s="30"/>
    </row>
    <row r="345" ht="12.75" customHeight="1">
      <c r="A345" s="30"/>
      <c r="B345" s="30"/>
      <c r="C345" s="30"/>
      <c r="D345" s="30"/>
      <c r="E345" s="30"/>
    </row>
    <row r="346" ht="12.75" customHeight="1">
      <c r="A346" s="30"/>
      <c r="B346" s="30"/>
      <c r="C346" s="30"/>
      <c r="D346" s="30"/>
      <c r="E346" s="30"/>
    </row>
    <row r="347" ht="12.75" customHeight="1">
      <c r="A347" s="30"/>
      <c r="B347" s="30"/>
      <c r="C347" s="30"/>
      <c r="D347" s="30"/>
      <c r="E347" s="30"/>
    </row>
    <row r="348" ht="12.75" customHeight="1">
      <c r="A348" s="30"/>
      <c r="B348" s="30"/>
      <c r="C348" s="30"/>
      <c r="D348" s="30"/>
      <c r="E348" s="30"/>
    </row>
    <row r="349" ht="12.75" customHeight="1">
      <c r="A349" s="30"/>
      <c r="B349" s="30"/>
      <c r="C349" s="30"/>
      <c r="D349" s="30"/>
      <c r="E349" s="30"/>
    </row>
    <row r="350" ht="12.75" customHeight="1">
      <c r="A350" s="30"/>
      <c r="B350" s="30"/>
      <c r="C350" s="30"/>
      <c r="D350" s="30"/>
      <c r="E350" s="30"/>
    </row>
    <row r="351" ht="12.75" customHeight="1">
      <c r="A351" s="30"/>
      <c r="B351" s="30"/>
      <c r="C351" s="30"/>
      <c r="D351" s="30"/>
      <c r="E351" s="30"/>
    </row>
    <row r="352" ht="12.75" customHeight="1">
      <c r="A352" s="30"/>
      <c r="B352" s="30"/>
      <c r="C352" s="30"/>
      <c r="D352" s="30"/>
      <c r="E352" s="30"/>
    </row>
    <row r="353" ht="12.75" customHeight="1">
      <c r="A353" s="30"/>
      <c r="B353" s="30"/>
      <c r="C353" s="30"/>
      <c r="D353" s="30"/>
      <c r="E353" s="30"/>
    </row>
    <row r="354" ht="12.75" customHeight="1">
      <c r="A354" s="30"/>
      <c r="B354" s="30"/>
      <c r="C354" s="30"/>
      <c r="D354" s="30"/>
      <c r="E354" s="30"/>
    </row>
    <row r="355" ht="12.75" customHeight="1">
      <c r="A355" s="30"/>
      <c r="B355" s="30"/>
      <c r="C355" s="30"/>
      <c r="D355" s="30"/>
      <c r="E355" s="30"/>
    </row>
    <row r="356" ht="12.75" customHeight="1">
      <c r="A356" s="30"/>
      <c r="B356" s="30"/>
      <c r="C356" s="30"/>
      <c r="D356" s="30"/>
      <c r="E356" s="30"/>
    </row>
    <row r="357" ht="12.75" customHeight="1">
      <c r="A357" s="30"/>
      <c r="B357" s="30"/>
      <c r="C357" s="30"/>
      <c r="D357" s="30"/>
      <c r="E357" s="30"/>
    </row>
    <row r="358" ht="12.75" customHeight="1">
      <c r="A358" s="30"/>
      <c r="B358" s="30"/>
      <c r="C358" s="30"/>
      <c r="D358" s="30"/>
      <c r="E358" s="30"/>
    </row>
    <row r="359" ht="12.75" customHeight="1">
      <c r="A359" s="30"/>
      <c r="B359" s="30"/>
      <c r="C359" s="30"/>
      <c r="D359" s="30"/>
      <c r="E359" s="30"/>
    </row>
    <row r="360" ht="12.75" customHeight="1">
      <c r="A360" s="30"/>
      <c r="B360" s="30"/>
      <c r="C360" s="30"/>
      <c r="D360" s="30"/>
      <c r="E360" s="30"/>
    </row>
    <row r="361" ht="12.75" customHeight="1">
      <c r="A361" s="30"/>
      <c r="B361" s="30"/>
      <c r="C361" s="30"/>
      <c r="D361" s="30"/>
      <c r="E361" s="30"/>
    </row>
    <row r="362" ht="12.75" customHeight="1">
      <c r="A362" s="30"/>
      <c r="B362" s="30"/>
      <c r="C362" s="30"/>
      <c r="D362" s="30"/>
      <c r="E362" s="30"/>
    </row>
    <row r="363" ht="12.75" customHeight="1">
      <c r="A363" s="30"/>
      <c r="B363" s="30"/>
      <c r="C363" s="30"/>
      <c r="D363" s="30"/>
      <c r="E363" s="30"/>
    </row>
    <row r="364" ht="12.75" customHeight="1">
      <c r="A364" s="30"/>
      <c r="B364" s="30"/>
      <c r="C364" s="30"/>
      <c r="D364" s="30"/>
      <c r="E364" s="30"/>
    </row>
    <row r="365" ht="12.75" customHeight="1">
      <c r="A365" s="30"/>
      <c r="B365" s="30"/>
      <c r="C365" s="30"/>
      <c r="D365" s="30"/>
      <c r="E365" s="30"/>
    </row>
    <row r="366" ht="12.75" customHeight="1">
      <c r="A366" s="30"/>
      <c r="B366" s="30"/>
      <c r="C366" s="30"/>
      <c r="D366" s="30"/>
      <c r="E366" s="30"/>
    </row>
    <row r="367" ht="12.75" customHeight="1">
      <c r="A367" s="30"/>
      <c r="B367" s="30"/>
      <c r="C367" s="30"/>
      <c r="D367" s="30"/>
      <c r="E367" s="30"/>
    </row>
    <row r="368" ht="12.75" customHeight="1">
      <c r="A368" s="30"/>
      <c r="B368" s="30"/>
      <c r="C368" s="30"/>
      <c r="D368" s="30"/>
      <c r="E368" s="30"/>
    </row>
    <row r="369" ht="12.75" customHeight="1">
      <c r="A369" s="30"/>
      <c r="B369" s="30"/>
      <c r="C369" s="30"/>
      <c r="D369" s="30"/>
      <c r="E369" s="30"/>
    </row>
    <row r="370" ht="12.75" customHeight="1">
      <c r="A370" s="30"/>
      <c r="B370" s="30"/>
      <c r="C370" s="30"/>
      <c r="D370" s="30"/>
      <c r="E370" s="30"/>
    </row>
    <row r="371" ht="12.75" customHeight="1">
      <c r="A371" s="30"/>
      <c r="B371" s="30"/>
      <c r="C371" s="30"/>
      <c r="D371" s="30"/>
      <c r="E371" s="30"/>
    </row>
    <row r="372" ht="12.75" customHeight="1">
      <c r="A372" s="30"/>
      <c r="B372" s="30"/>
      <c r="C372" s="30"/>
      <c r="D372" s="30"/>
      <c r="E372" s="30"/>
    </row>
    <row r="373" ht="12.75" customHeight="1">
      <c r="A373" s="30"/>
      <c r="B373" s="30"/>
      <c r="C373" s="30"/>
      <c r="D373" s="30"/>
      <c r="E373" s="30"/>
    </row>
    <row r="374" ht="12.75" customHeight="1">
      <c r="A374" s="30"/>
      <c r="B374" s="30"/>
      <c r="C374" s="30"/>
      <c r="D374" s="30"/>
      <c r="E374" s="30"/>
    </row>
    <row r="375" ht="12.75" customHeight="1">
      <c r="A375" s="30"/>
      <c r="B375" s="30"/>
      <c r="C375" s="30"/>
      <c r="D375" s="30"/>
      <c r="E375" s="30"/>
    </row>
    <row r="376" ht="12.75" customHeight="1">
      <c r="A376" s="30"/>
      <c r="B376" s="30"/>
      <c r="C376" s="30"/>
      <c r="D376" s="30"/>
      <c r="E376" s="30"/>
    </row>
    <row r="377" ht="12.75" customHeight="1">
      <c r="A377" s="30"/>
      <c r="B377" s="30"/>
      <c r="C377" s="30"/>
      <c r="D377" s="30"/>
      <c r="E377" s="30"/>
    </row>
    <row r="378" ht="12.75" customHeight="1">
      <c r="A378" s="30"/>
      <c r="B378" s="30"/>
      <c r="C378" s="30"/>
      <c r="D378" s="30"/>
      <c r="E378" s="30"/>
    </row>
    <row r="379" ht="12.75" customHeight="1">
      <c r="A379" s="30"/>
      <c r="B379" s="30"/>
      <c r="C379" s="30"/>
      <c r="D379" s="30"/>
      <c r="E379" s="30"/>
    </row>
    <row r="380" ht="12.75" customHeight="1">
      <c r="A380" s="30"/>
      <c r="B380" s="30"/>
      <c r="C380" s="30"/>
      <c r="D380" s="30"/>
      <c r="E380" s="30"/>
    </row>
    <row r="381" ht="12.75" customHeight="1">
      <c r="A381" s="30"/>
      <c r="B381" s="30"/>
      <c r="C381" s="30"/>
      <c r="D381" s="30"/>
      <c r="E381" s="30"/>
    </row>
    <row r="382" ht="12.75" customHeight="1">
      <c r="A382" s="30"/>
      <c r="B382" s="30"/>
      <c r="C382" s="30"/>
      <c r="D382" s="30"/>
      <c r="E382" s="30"/>
    </row>
    <row r="383" ht="12.75" customHeight="1">
      <c r="A383" s="30"/>
      <c r="B383" s="30"/>
      <c r="C383" s="30"/>
      <c r="D383" s="30"/>
      <c r="E383" s="30"/>
    </row>
    <row r="384" ht="12.75" customHeight="1">
      <c r="A384" s="30"/>
      <c r="B384" s="30"/>
      <c r="C384" s="30"/>
      <c r="D384" s="30"/>
      <c r="E384" s="30"/>
    </row>
    <row r="385" ht="12.75" customHeight="1">
      <c r="A385" s="30"/>
      <c r="B385" s="30"/>
      <c r="C385" s="30"/>
      <c r="D385" s="30"/>
      <c r="E385" s="30"/>
    </row>
    <row r="386" ht="12.75" customHeight="1">
      <c r="A386" s="30"/>
      <c r="B386" s="30"/>
      <c r="C386" s="30"/>
      <c r="D386" s="30"/>
      <c r="E386" s="30"/>
    </row>
    <row r="387" ht="12.75" customHeight="1">
      <c r="A387" s="30"/>
      <c r="B387" s="30"/>
      <c r="C387" s="30"/>
      <c r="D387" s="30"/>
      <c r="E387" s="30"/>
    </row>
    <row r="388" ht="12.75" customHeight="1">
      <c r="A388" s="30"/>
      <c r="B388" s="30"/>
      <c r="C388" s="30"/>
      <c r="D388" s="30"/>
      <c r="E388" s="30"/>
    </row>
    <row r="389" ht="12.75" customHeight="1">
      <c r="A389" s="30"/>
      <c r="B389" s="30"/>
      <c r="C389" s="30"/>
      <c r="D389" s="30"/>
      <c r="E389" s="30"/>
    </row>
    <row r="390" ht="12.75" customHeight="1">
      <c r="A390" s="30"/>
      <c r="B390" s="30"/>
      <c r="C390" s="30"/>
      <c r="D390" s="30"/>
      <c r="E390" s="30"/>
    </row>
    <row r="391" ht="12.75" customHeight="1">
      <c r="A391" s="30"/>
      <c r="B391" s="30"/>
      <c r="C391" s="30"/>
      <c r="D391" s="30"/>
      <c r="E391" s="30"/>
    </row>
    <row r="392" ht="12.75" customHeight="1">
      <c r="A392" s="30"/>
      <c r="B392" s="30"/>
      <c r="C392" s="30"/>
      <c r="D392" s="30"/>
      <c r="E392" s="30"/>
    </row>
    <row r="393" ht="12.75" customHeight="1">
      <c r="A393" s="30"/>
      <c r="B393" s="30"/>
      <c r="C393" s="30"/>
      <c r="D393" s="30"/>
      <c r="E393" s="30"/>
    </row>
    <row r="394" ht="12.75" customHeight="1">
      <c r="A394" s="30"/>
      <c r="B394" s="30"/>
      <c r="C394" s="30"/>
      <c r="D394" s="30"/>
      <c r="E394" s="30"/>
    </row>
    <row r="395" ht="12.75" customHeight="1">
      <c r="A395" s="30"/>
      <c r="B395" s="30"/>
      <c r="C395" s="30"/>
      <c r="D395" s="30"/>
      <c r="E395" s="30"/>
    </row>
    <row r="396" ht="12.75" customHeight="1">
      <c r="A396" s="30"/>
      <c r="B396" s="30"/>
      <c r="C396" s="30"/>
      <c r="D396" s="30"/>
      <c r="E396" s="30"/>
    </row>
    <row r="397" ht="12.75" customHeight="1">
      <c r="A397" s="30"/>
      <c r="B397" s="30"/>
      <c r="C397" s="30"/>
      <c r="D397" s="30"/>
      <c r="E397" s="30"/>
    </row>
    <row r="398" ht="12.75" customHeight="1">
      <c r="A398" s="30"/>
      <c r="B398" s="30"/>
      <c r="C398" s="30"/>
      <c r="D398" s="30"/>
      <c r="E398" s="30"/>
    </row>
    <row r="399" ht="12.75" customHeight="1">
      <c r="A399" s="30"/>
      <c r="B399" s="30"/>
      <c r="C399" s="30"/>
      <c r="D399" s="30"/>
      <c r="E399" s="30"/>
    </row>
    <row r="400" ht="12.75" customHeight="1">
      <c r="A400" s="30"/>
      <c r="B400" s="30"/>
      <c r="C400" s="30"/>
      <c r="D400" s="30"/>
      <c r="E400" s="30"/>
    </row>
    <row r="401" ht="12.75" customHeight="1">
      <c r="A401" s="30"/>
      <c r="B401" s="30"/>
      <c r="C401" s="30"/>
      <c r="D401" s="30"/>
      <c r="E401" s="30"/>
    </row>
    <row r="402" ht="12.75" customHeight="1">
      <c r="A402" s="30"/>
      <c r="B402" s="30"/>
      <c r="C402" s="30"/>
      <c r="D402" s="30"/>
      <c r="E402" s="30"/>
    </row>
    <row r="403" ht="12.75" customHeight="1">
      <c r="A403" s="30"/>
      <c r="B403" s="30"/>
      <c r="C403" s="30"/>
      <c r="D403" s="30"/>
      <c r="E403" s="30"/>
    </row>
    <row r="404" ht="12.75" customHeight="1">
      <c r="A404" s="30"/>
      <c r="B404" s="30"/>
      <c r="C404" s="30"/>
      <c r="D404" s="30"/>
      <c r="E404" s="30"/>
    </row>
    <row r="405" ht="12.75" customHeight="1">
      <c r="A405" s="30"/>
      <c r="B405" s="30"/>
      <c r="C405" s="30"/>
      <c r="D405" s="30"/>
      <c r="E405" s="30"/>
    </row>
    <row r="406" ht="12.75" customHeight="1">
      <c r="A406" s="30"/>
      <c r="B406" s="30"/>
      <c r="C406" s="30"/>
      <c r="D406" s="30"/>
      <c r="E406" s="30"/>
    </row>
    <row r="407" ht="12.75" customHeight="1">
      <c r="A407" s="30"/>
      <c r="B407" s="30"/>
      <c r="C407" s="30"/>
      <c r="D407" s="30"/>
      <c r="E407" s="30"/>
    </row>
    <row r="408" ht="12.75" customHeight="1">
      <c r="A408" s="30"/>
      <c r="B408" s="30"/>
      <c r="C408" s="30"/>
      <c r="D408" s="30"/>
      <c r="E408" s="30"/>
    </row>
    <row r="409" ht="12.75" customHeight="1">
      <c r="A409" s="30"/>
      <c r="B409" s="30"/>
      <c r="C409" s="30"/>
      <c r="D409" s="30"/>
      <c r="E409" s="30"/>
    </row>
    <row r="410" ht="12.75" customHeight="1">
      <c r="A410" s="30"/>
      <c r="B410" s="30"/>
      <c r="C410" s="30"/>
      <c r="D410" s="30"/>
      <c r="E410" s="30"/>
    </row>
    <row r="411" ht="12.75" customHeight="1">
      <c r="A411" s="30"/>
      <c r="B411" s="30"/>
      <c r="C411" s="30"/>
      <c r="D411" s="30"/>
      <c r="E411" s="30"/>
    </row>
    <row r="412" ht="12.75" customHeight="1">
      <c r="A412" s="30"/>
      <c r="B412" s="30"/>
      <c r="C412" s="30"/>
      <c r="D412" s="30"/>
      <c r="E412" s="30"/>
    </row>
    <row r="413" ht="12.75" customHeight="1">
      <c r="A413" s="30"/>
      <c r="B413" s="30"/>
      <c r="C413" s="30"/>
      <c r="D413" s="30"/>
      <c r="E413" s="30"/>
    </row>
    <row r="414" ht="12.75" customHeight="1">
      <c r="A414" s="30"/>
      <c r="B414" s="30"/>
      <c r="C414" s="30"/>
      <c r="D414" s="30"/>
      <c r="E414" s="30"/>
    </row>
    <row r="415" ht="12.75" customHeight="1">
      <c r="A415" s="30"/>
      <c r="B415" s="30"/>
      <c r="C415" s="30"/>
      <c r="D415" s="30"/>
      <c r="E415" s="30"/>
    </row>
    <row r="416" ht="12.75" customHeight="1">
      <c r="A416" s="30"/>
      <c r="B416" s="30"/>
      <c r="C416" s="30"/>
      <c r="D416" s="30"/>
      <c r="E416" s="30"/>
    </row>
    <row r="417" ht="12.75" customHeight="1">
      <c r="A417" s="30"/>
      <c r="B417" s="30"/>
      <c r="C417" s="30"/>
      <c r="D417" s="30"/>
      <c r="E417" s="30"/>
    </row>
    <row r="418" ht="12.75" customHeight="1">
      <c r="A418" s="30"/>
      <c r="B418" s="30"/>
      <c r="C418" s="30"/>
      <c r="D418" s="30"/>
      <c r="E418" s="30"/>
    </row>
    <row r="419" ht="12.75" customHeight="1">
      <c r="A419" s="30"/>
      <c r="B419" s="30"/>
      <c r="C419" s="30"/>
      <c r="D419" s="30"/>
      <c r="E419" s="30"/>
    </row>
    <row r="420" ht="12.75" customHeight="1">
      <c r="A420" s="30"/>
      <c r="B420" s="30"/>
      <c r="C420" s="30"/>
      <c r="D420" s="30"/>
      <c r="E420" s="30"/>
    </row>
    <row r="421" ht="12.75" customHeight="1">
      <c r="A421" s="30"/>
      <c r="B421" s="30"/>
      <c r="C421" s="30"/>
      <c r="D421" s="30"/>
      <c r="E421" s="30"/>
    </row>
    <row r="422" ht="12.75" customHeight="1">
      <c r="A422" s="30"/>
      <c r="B422" s="30"/>
      <c r="C422" s="30"/>
      <c r="D422" s="30"/>
      <c r="E422" s="30"/>
    </row>
    <row r="423" ht="12.75" customHeight="1">
      <c r="A423" s="30"/>
      <c r="B423" s="30"/>
      <c r="C423" s="30"/>
      <c r="D423" s="30"/>
      <c r="E423" s="30"/>
    </row>
    <row r="424" ht="12.75" customHeight="1">
      <c r="A424" s="30"/>
      <c r="B424" s="30"/>
      <c r="C424" s="30"/>
      <c r="D424" s="30"/>
      <c r="E424" s="30"/>
    </row>
    <row r="425" ht="12.75" customHeight="1">
      <c r="A425" s="30"/>
      <c r="B425" s="30"/>
      <c r="C425" s="30"/>
      <c r="D425" s="30"/>
      <c r="E425" s="30"/>
    </row>
    <row r="426" ht="12.75" customHeight="1">
      <c r="A426" s="30"/>
      <c r="B426" s="30"/>
      <c r="C426" s="30"/>
      <c r="D426" s="30"/>
      <c r="E426" s="30"/>
    </row>
    <row r="427" ht="12.75" customHeight="1">
      <c r="A427" s="30"/>
      <c r="B427" s="30"/>
      <c r="C427" s="30"/>
      <c r="D427" s="30"/>
      <c r="E427" s="30"/>
    </row>
    <row r="428" ht="12.75" customHeight="1">
      <c r="A428" s="30"/>
      <c r="B428" s="30"/>
      <c r="C428" s="30"/>
      <c r="D428" s="30"/>
      <c r="E428" s="30"/>
    </row>
    <row r="429" ht="12.75" customHeight="1">
      <c r="A429" s="30"/>
      <c r="B429" s="30"/>
      <c r="C429" s="30"/>
      <c r="D429" s="30"/>
      <c r="E429" s="30"/>
    </row>
    <row r="430" ht="12.75" customHeight="1">
      <c r="A430" s="30"/>
      <c r="B430" s="30"/>
      <c r="C430" s="30"/>
      <c r="D430" s="30"/>
      <c r="E430" s="30"/>
    </row>
    <row r="431" ht="12.75" customHeight="1">
      <c r="A431" s="30"/>
      <c r="B431" s="30"/>
      <c r="C431" s="30"/>
      <c r="D431" s="30"/>
      <c r="E431" s="30"/>
    </row>
    <row r="432" ht="12.75" customHeight="1">
      <c r="A432" s="30"/>
      <c r="B432" s="30"/>
      <c r="C432" s="30"/>
      <c r="D432" s="30"/>
      <c r="E432" s="30"/>
    </row>
    <row r="433" ht="12.75" customHeight="1">
      <c r="A433" s="30"/>
      <c r="B433" s="30"/>
      <c r="C433" s="30"/>
      <c r="D433" s="30"/>
      <c r="E433" s="30"/>
    </row>
    <row r="434" ht="12.75" customHeight="1">
      <c r="A434" s="30"/>
      <c r="B434" s="30"/>
      <c r="C434" s="30"/>
      <c r="D434" s="30"/>
      <c r="E434" s="30"/>
    </row>
    <row r="435" ht="12.75" customHeight="1">
      <c r="A435" s="30"/>
      <c r="B435" s="30"/>
      <c r="C435" s="30"/>
      <c r="D435" s="30"/>
      <c r="E435" s="30"/>
    </row>
    <row r="436" ht="12.75" customHeight="1">
      <c r="A436" s="30"/>
      <c r="B436" s="30"/>
      <c r="C436" s="30"/>
      <c r="D436" s="30"/>
      <c r="E436" s="30"/>
    </row>
    <row r="437" ht="12.75" customHeight="1">
      <c r="A437" s="30"/>
      <c r="B437" s="30"/>
      <c r="C437" s="30"/>
      <c r="D437" s="30"/>
      <c r="E437" s="30"/>
    </row>
    <row r="438" ht="12.75" customHeight="1">
      <c r="A438" s="30"/>
      <c r="B438" s="30"/>
      <c r="C438" s="30"/>
      <c r="D438" s="30"/>
      <c r="E438" s="30"/>
    </row>
    <row r="439" ht="12.75" customHeight="1">
      <c r="A439" s="30"/>
      <c r="B439" s="30"/>
      <c r="C439" s="30"/>
      <c r="D439" s="30"/>
      <c r="E439" s="30"/>
    </row>
    <row r="440" ht="12.75" customHeight="1">
      <c r="A440" s="30"/>
      <c r="B440" s="30"/>
      <c r="C440" s="30"/>
      <c r="D440" s="30"/>
      <c r="E440" s="30"/>
    </row>
    <row r="441" ht="12.75" customHeight="1">
      <c r="A441" s="30"/>
      <c r="B441" s="30"/>
      <c r="C441" s="30"/>
      <c r="D441" s="30"/>
      <c r="E441" s="30"/>
    </row>
    <row r="442" ht="12.75" customHeight="1">
      <c r="A442" s="30"/>
      <c r="B442" s="30"/>
      <c r="C442" s="30"/>
      <c r="D442" s="30"/>
      <c r="E442" s="30"/>
    </row>
    <row r="443" ht="12.75" customHeight="1">
      <c r="A443" s="30"/>
      <c r="B443" s="30"/>
      <c r="C443" s="30"/>
      <c r="D443" s="30"/>
      <c r="E443" s="30"/>
    </row>
    <row r="444" ht="12.75" customHeight="1">
      <c r="A444" s="30"/>
      <c r="B444" s="30"/>
      <c r="C444" s="30"/>
      <c r="D444" s="30"/>
      <c r="E444" s="30"/>
    </row>
    <row r="445" ht="12.75" customHeight="1">
      <c r="A445" s="30"/>
      <c r="B445" s="30"/>
      <c r="C445" s="30"/>
      <c r="D445" s="30"/>
      <c r="E445" s="30"/>
    </row>
    <row r="446" ht="12.75" customHeight="1">
      <c r="A446" s="30"/>
      <c r="B446" s="30"/>
      <c r="C446" s="30"/>
      <c r="D446" s="30"/>
      <c r="E446" s="30"/>
    </row>
    <row r="447" ht="12.75" customHeight="1">
      <c r="A447" s="30"/>
      <c r="B447" s="30"/>
      <c r="C447" s="30"/>
      <c r="D447" s="30"/>
      <c r="E447" s="30"/>
    </row>
    <row r="448" ht="12.75" customHeight="1">
      <c r="A448" s="30"/>
      <c r="B448" s="30"/>
      <c r="C448" s="30"/>
      <c r="D448" s="30"/>
      <c r="E448" s="30"/>
    </row>
    <row r="449" ht="12.75" customHeight="1">
      <c r="A449" s="30"/>
      <c r="B449" s="30"/>
      <c r="C449" s="30"/>
      <c r="D449" s="30"/>
      <c r="E449" s="30"/>
    </row>
    <row r="450" ht="12.75" customHeight="1">
      <c r="A450" s="30"/>
      <c r="B450" s="30"/>
      <c r="C450" s="30"/>
      <c r="D450" s="30"/>
      <c r="E450" s="30"/>
    </row>
    <row r="451" ht="12.75" customHeight="1">
      <c r="A451" s="30"/>
      <c r="B451" s="30"/>
      <c r="C451" s="30"/>
      <c r="D451" s="30"/>
      <c r="E451" s="30"/>
    </row>
    <row r="452" ht="12.75" customHeight="1">
      <c r="A452" s="30"/>
      <c r="B452" s="30"/>
      <c r="C452" s="30"/>
      <c r="D452" s="30"/>
      <c r="E452" s="30"/>
    </row>
    <row r="453" ht="12.75" customHeight="1">
      <c r="A453" s="30"/>
      <c r="B453" s="30"/>
      <c r="C453" s="30"/>
      <c r="D453" s="30"/>
      <c r="E453" s="30"/>
    </row>
    <row r="454" ht="12.75" customHeight="1">
      <c r="A454" s="30"/>
      <c r="B454" s="30"/>
      <c r="C454" s="30"/>
      <c r="D454" s="30"/>
      <c r="E454" s="30"/>
    </row>
    <row r="455" ht="12.75" customHeight="1">
      <c r="A455" s="30"/>
      <c r="B455" s="30"/>
      <c r="C455" s="30"/>
      <c r="D455" s="30"/>
      <c r="E455" s="30"/>
    </row>
    <row r="456" ht="12.75" customHeight="1">
      <c r="A456" s="30"/>
      <c r="B456" s="30"/>
      <c r="C456" s="30"/>
      <c r="D456" s="30"/>
      <c r="E456" s="30"/>
    </row>
    <row r="457" ht="12.75" customHeight="1">
      <c r="A457" s="30"/>
      <c r="B457" s="30"/>
      <c r="C457" s="30"/>
      <c r="D457" s="30"/>
      <c r="E457" s="30"/>
    </row>
    <row r="458" ht="12.75" customHeight="1">
      <c r="A458" s="30"/>
      <c r="B458" s="30"/>
      <c r="C458" s="30"/>
      <c r="D458" s="30"/>
      <c r="E458" s="30"/>
    </row>
    <row r="459" ht="12.75" customHeight="1">
      <c r="A459" s="30"/>
      <c r="B459" s="30"/>
      <c r="C459" s="30"/>
      <c r="D459" s="30"/>
      <c r="E459" s="30"/>
    </row>
    <row r="460" ht="12.75" customHeight="1">
      <c r="A460" s="30"/>
      <c r="B460" s="30"/>
      <c r="C460" s="30"/>
      <c r="D460" s="30"/>
      <c r="E460" s="30"/>
    </row>
    <row r="461" ht="12.75" customHeight="1">
      <c r="A461" s="30"/>
      <c r="B461" s="30"/>
      <c r="C461" s="30"/>
      <c r="D461" s="30"/>
      <c r="E461" s="30"/>
    </row>
    <row r="462" ht="12.75" customHeight="1">
      <c r="A462" s="30"/>
      <c r="B462" s="30"/>
      <c r="C462" s="30"/>
      <c r="D462" s="30"/>
      <c r="E462" s="30"/>
    </row>
    <row r="463" ht="12.75" customHeight="1">
      <c r="A463" s="30"/>
      <c r="B463" s="30"/>
      <c r="C463" s="30"/>
      <c r="D463" s="30"/>
      <c r="E463" s="30"/>
    </row>
    <row r="464" ht="12.75" customHeight="1">
      <c r="A464" s="30"/>
      <c r="B464" s="30"/>
      <c r="C464" s="30"/>
      <c r="D464" s="30"/>
      <c r="E464" s="30"/>
    </row>
    <row r="465" ht="12.75" customHeight="1">
      <c r="A465" s="30"/>
      <c r="B465" s="30"/>
      <c r="C465" s="30"/>
      <c r="D465" s="30"/>
      <c r="E465" s="30"/>
    </row>
    <row r="466" ht="12.75" customHeight="1">
      <c r="A466" s="30"/>
      <c r="B466" s="30"/>
      <c r="C466" s="30"/>
      <c r="D466" s="30"/>
      <c r="E466" s="30"/>
    </row>
    <row r="467" ht="12.75" customHeight="1">
      <c r="A467" s="30"/>
      <c r="B467" s="30"/>
      <c r="C467" s="30"/>
      <c r="D467" s="30"/>
      <c r="E467" s="30"/>
    </row>
    <row r="468" ht="12.75" customHeight="1">
      <c r="A468" s="30"/>
      <c r="B468" s="30"/>
      <c r="C468" s="30"/>
      <c r="D468" s="30"/>
      <c r="E468" s="30"/>
    </row>
    <row r="469" ht="12.75" customHeight="1">
      <c r="A469" s="30"/>
      <c r="B469" s="30"/>
      <c r="C469" s="30"/>
      <c r="D469" s="30"/>
      <c r="E469" s="30"/>
    </row>
    <row r="470" ht="12.75" customHeight="1">
      <c r="A470" s="30"/>
      <c r="B470" s="30"/>
      <c r="C470" s="30"/>
      <c r="D470" s="30"/>
      <c r="E470" s="30"/>
    </row>
    <row r="471" ht="12.75" customHeight="1">
      <c r="A471" s="30"/>
      <c r="B471" s="30"/>
      <c r="C471" s="30"/>
      <c r="D471" s="30"/>
      <c r="E471" s="30"/>
    </row>
    <row r="472" ht="12.75" customHeight="1">
      <c r="A472" s="30"/>
      <c r="B472" s="30"/>
      <c r="C472" s="30"/>
      <c r="D472" s="30"/>
      <c r="E472" s="30"/>
    </row>
    <row r="473" ht="12.75" customHeight="1">
      <c r="A473" s="30"/>
      <c r="B473" s="30"/>
      <c r="C473" s="30"/>
      <c r="D473" s="30"/>
      <c r="E473" s="30"/>
    </row>
    <row r="474" ht="12.75" customHeight="1">
      <c r="A474" s="30"/>
      <c r="B474" s="30"/>
      <c r="C474" s="30"/>
      <c r="D474" s="30"/>
      <c r="E474" s="30"/>
    </row>
    <row r="475" ht="12.75" customHeight="1">
      <c r="A475" s="30"/>
      <c r="B475" s="30"/>
      <c r="C475" s="30"/>
      <c r="D475" s="30"/>
      <c r="E475" s="30"/>
    </row>
    <row r="476" ht="12.75" customHeight="1">
      <c r="A476" s="30"/>
      <c r="B476" s="30"/>
      <c r="C476" s="30"/>
      <c r="D476" s="30"/>
      <c r="E476" s="30"/>
    </row>
    <row r="477" ht="12.75" customHeight="1">
      <c r="A477" s="30"/>
      <c r="B477" s="30"/>
      <c r="C477" s="30"/>
      <c r="D477" s="30"/>
      <c r="E477" s="30"/>
    </row>
    <row r="478" ht="12.75" customHeight="1">
      <c r="A478" s="30"/>
      <c r="B478" s="30"/>
      <c r="C478" s="30"/>
      <c r="D478" s="30"/>
      <c r="E478" s="30"/>
    </row>
    <row r="479" ht="12.75" customHeight="1">
      <c r="A479" s="30"/>
      <c r="B479" s="30"/>
      <c r="C479" s="30"/>
      <c r="D479" s="30"/>
      <c r="E479" s="30"/>
    </row>
    <row r="480" ht="12.75" customHeight="1">
      <c r="A480" s="30"/>
      <c r="B480" s="30"/>
      <c r="C480" s="30"/>
      <c r="D480" s="30"/>
      <c r="E480" s="30"/>
    </row>
    <row r="481" ht="12.75" customHeight="1">
      <c r="A481" s="30"/>
      <c r="B481" s="30"/>
      <c r="C481" s="30"/>
      <c r="D481" s="30"/>
      <c r="E481" s="30"/>
    </row>
    <row r="482" ht="12.75" customHeight="1">
      <c r="A482" s="30"/>
      <c r="B482" s="30"/>
      <c r="C482" s="30"/>
      <c r="D482" s="30"/>
      <c r="E482" s="30"/>
    </row>
    <row r="483" ht="12.75" customHeight="1">
      <c r="A483" s="30"/>
      <c r="B483" s="30"/>
      <c r="C483" s="30"/>
      <c r="D483" s="30"/>
      <c r="E483" s="30"/>
    </row>
    <row r="484" ht="12.75" customHeight="1">
      <c r="A484" s="30"/>
      <c r="B484" s="30"/>
      <c r="C484" s="30"/>
      <c r="D484" s="30"/>
      <c r="E484" s="30"/>
    </row>
    <row r="485" ht="12.75" customHeight="1">
      <c r="A485" s="30"/>
      <c r="B485" s="30"/>
      <c r="C485" s="30"/>
      <c r="D485" s="30"/>
      <c r="E485" s="30"/>
    </row>
    <row r="486" ht="12.75" customHeight="1">
      <c r="A486" s="30"/>
      <c r="B486" s="30"/>
      <c r="C486" s="30"/>
      <c r="D486" s="30"/>
      <c r="E486" s="30"/>
    </row>
    <row r="487" ht="12.75" customHeight="1">
      <c r="A487" s="30"/>
      <c r="B487" s="30"/>
      <c r="C487" s="30"/>
      <c r="D487" s="30"/>
      <c r="E487" s="30"/>
    </row>
    <row r="488" ht="12.75" customHeight="1">
      <c r="A488" s="30"/>
      <c r="B488" s="30"/>
      <c r="C488" s="30"/>
      <c r="D488" s="30"/>
      <c r="E488" s="30"/>
    </row>
    <row r="489" ht="12.75" customHeight="1">
      <c r="A489" s="30"/>
      <c r="B489" s="30"/>
      <c r="C489" s="30"/>
      <c r="D489" s="30"/>
      <c r="E489" s="30"/>
    </row>
    <row r="490" ht="12.75" customHeight="1">
      <c r="A490" s="30"/>
      <c r="B490" s="30"/>
      <c r="C490" s="30"/>
      <c r="D490" s="30"/>
      <c r="E490" s="30"/>
    </row>
    <row r="491" ht="12.75" customHeight="1">
      <c r="A491" s="30"/>
      <c r="B491" s="30"/>
      <c r="C491" s="30"/>
      <c r="D491" s="30"/>
      <c r="E491" s="30"/>
    </row>
    <row r="492" ht="12.75" customHeight="1">
      <c r="A492" s="30"/>
      <c r="B492" s="30"/>
      <c r="C492" s="30"/>
      <c r="D492" s="30"/>
      <c r="E492" s="30"/>
    </row>
    <row r="493" ht="12.75" customHeight="1">
      <c r="A493" s="30"/>
      <c r="B493" s="30"/>
      <c r="C493" s="30"/>
      <c r="D493" s="30"/>
      <c r="E493" s="30"/>
    </row>
    <row r="494" ht="12.75" customHeight="1">
      <c r="A494" s="30"/>
      <c r="B494" s="30"/>
      <c r="C494" s="30"/>
      <c r="D494" s="30"/>
      <c r="E494" s="30"/>
    </row>
    <row r="495" ht="12.75" customHeight="1">
      <c r="A495" s="30"/>
      <c r="B495" s="30"/>
      <c r="C495" s="30"/>
      <c r="D495" s="30"/>
      <c r="E495" s="30"/>
    </row>
    <row r="496" ht="12.75" customHeight="1">
      <c r="A496" s="30"/>
      <c r="B496" s="30"/>
      <c r="C496" s="30"/>
      <c r="D496" s="30"/>
      <c r="E496" s="30"/>
    </row>
    <row r="497" ht="12.75" customHeight="1">
      <c r="A497" s="30"/>
      <c r="B497" s="30"/>
      <c r="C497" s="30"/>
      <c r="D497" s="30"/>
      <c r="E497" s="30"/>
    </row>
    <row r="498" ht="12.75" customHeight="1">
      <c r="A498" s="30"/>
      <c r="B498" s="30"/>
      <c r="C498" s="30"/>
      <c r="D498" s="30"/>
      <c r="E498" s="30"/>
    </row>
    <row r="499" ht="12.75" customHeight="1">
      <c r="A499" s="30"/>
      <c r="B499" s="30"/>
      <c r="C499" s="30"/>
      <c r="D499" s="30"/>
      <c r="E499" s="30"/>
    </row>
    <row r="500" ht="12.75" customHeight="1">
      <c r="A500" s="30"/>
      <c r="B500" s="30"/>
      <c r="C500" s="30"/>
      <c r="D500" s="30"/>
      <c r="E500" s="30"/>
    </row>
    <row r="501" ht="12.75" customHeight="1">
      <c r="A501" s="30"/>
      <c r="B501" s="30"/>
      <c r="C501" s="30"/>
      <c r="D501" s="30"/>
      <c r="E501" s="30"/>
    </row>
    <row r="502" ht="12.75" customHeight="1">
      <c r="A502" s="30"/>
      <c r="B502" s="30"/>
      <c r="C502" s="30"/>
      <c r="D502" s="30"/>
      <c r="E502" s="30"/>
    </row>
    <row r="503" ht="12.75" customHeight="1">
      <c r="A503" s="30"/>
      <c r="B503" s="30"/>
      <c r="C503" s="30"/>
      <c r="D503" s="30"/>
      <c r="E503" s="30"/>
    </row>
    <row r="504" ht="12.75" customHeight="1">
      <c r="A504" s="30"/>
      <c r="B504" s="30"/>
      <c r="C504" s="30"/>
      <c r="D504" s="30"/>
      <c r="E504" s="30"/>
    </row>
    <row r="505" ht="12.75" customHeight="1">
      <c r="A505" s="30"/>
      <c r="B505" s="30"/>
      <c r="C505" s="30"/>
      <c r="D505" s="30"/>
      <c r="E505" s="30"/>
    </row>
    <row r="506" ht="12.75" customHeight="1">
      <c r="A506" s="30"/>
      <c r="B506" s="30"/>
      <c r="C506" s="30"/>
      <c r="D506" s="30"/>
      <c r="E506" s="30"/>
    </row>
    <row r="507" ht="12.75" customHeight="1">
      <c r="A507" s="30"/>
      <c r="B507" s="30"/>
      <c r="C507" s="30"/>
      <c r="D507" s="30"/>
      <c r="E507" s="30"/>
    </row>
    <row r="508" ht="12.75" customHeight="1">
      <c r="A508" s="30"/>
      <c r="B508" s="30"/>
      <c r="C508" s="30"/>
      <c r="D508" s="30"/>
      <c r="E508" s="30"/>
    </row>
    <row r="509" ht="12.75" customHeight="1">
      <c r="A509" s="30"/>
      <c r="B509" s="30"/>
      <c r="C509" s="30"/>
      <c r="D509" s="30"/>
      <c r="E509" s="30"/>
    </row>
    <row r="510" ht="12.75" customHeight="1">
      <c r="A510" s="30"/>
      <c r="B510" s="30"/>
      <c r="C510" s="30"/>
      <c r="D510" s="30"/>
      <c r="E510" s="30"/>
    </row>
    <row r="511" ht="12.75" customHeight="1">
      <c r="A511" s="30"/>
      <c r="B511" s="30"/>
      <c r="C511" s="30"/>
      <c r="D511" s="30"/>
      <c r="E511" s="30"/>
    </row>
    <row r="512" ht="12.75" customHeight="1">
      <c r="A512" s="30"/>
      <c r="B512" s="30"/>
      <c r="C512" s="30"/>
      <c r="D512" s="30"/>
      <c r="E512" s="30"/>
    </row>
    <row r="513" ht="12.75" customHeight="1">
      <c r="A513" s="30"/>
      <c r="B513" s="30"/>
      <c r="C513" s="30"/>
      <c r="D513" s="30"/>
      <c r="E513" s="30"/>
    </row>
    <row r="514" ht="12.75" customHeight="1">
      <c r="A514" s="30"/>
      <c r="B514" s="30"/>
      <c r="C514" s="30"/>
      <c r="D514" s="30"/>
      <c r="E514" s="30"/>
    </row>
    <row r="515" ht="12.75" customHeight="1">
      <c r="A515" s="30"/>
      <c r="B515" s="30"/>
      <c r="C515" s="30"/>
      <c r="D515" s="30"/>
      <c r="E515" s="30"/>
    </row>
    <row r="516" ht="12.75" customHeight="1">
      <c r="A516" s="30"/>
      <c r="B516" s="30"/>
      <c r="C516" s="30"/>
      <c r="D516" s="30"/>
      <c r="E516" s="30"/>
    </row>
    <row r="517" ht="12.75" customHeight="1">
      <c r="A517" s="30"/>
      <c r="B517" s="30"/>
      <c r="C517" s="30"/>
      <c r="D517" s="30"/>
      <c r="E517" s="30"/>
    </row>
    <row r="518" ht="12.75" customHeight="1">
      <c r="A518" s="30"/>
      <c r="B518" s="30"/>
      <c r="C518" s="30"/>
      <c r="D518" s="30"/>
      <c r="E518" s="30"/>
    </row>
    <row r="519" ht="12.75" customHeight="1">
      <c r="A519" s="30"/>
      <c r="B519" s="30"/>
      <c r="C519" s="30"/>
      <c r="D519" s="30"/>
      <c r="E519" s="30"/>
    </row>
    <row r="520" ht="12.75" customHeight="1">
      <c r="A520" s="30"/>
      <c r="B520" s="30"/>
      <c r="C520" s="30"/>
      <c r="D520" s="30"/>
      <c r="E520" s="30"/>
    </row>
    <row r="521" ht="12.75" customHeight="1">
      <c r="A521" s="30"/>
      <c r="B521" s="30"/>
      <c r="C521" s="30"/>
      <c r="D521" s="30"/>
      <c r="E521" s="30"/>
    </row>
    <row r="522" ht="12.75" customHeight="1">
      <c r="A522" s="30"/>
      <c r="B522" s="30"/>
      <c r="C522" s="30"/>
      <c r="D522" s="30"/>
      <c r="E522" s="30"/>
    </row>
    <row r="523" ht="12.75" customHeight="1">
      <c r="A523" s="30"/>
      <c r="B523" s="30"/>
      <c r="C523" s="30"/>
      <c r="D523" s="30"/>
      <c r="E523" s="30"/>
    </row>
    <row r="524" ht="12.75" customHeight="1">
      <c r="A524" s="30"/>
      <c r="B524" s="30"/>
      <c r="C524" s="30"/>
      <c r="D524" s="30"/>
      <c r="E524" s="30"/>
    </row>
    <row r="525" ht="12.75" customHeight="1">
      <c r="A525" s="30"/>
      <c r="B525" s="30"/>
      <c r="C525" s="30"/>
      <c r="D525" s="30"/>
      <c r="E525" s="30"/>
    </row>
    <row r="526" ht="12.75" customHeight="1">
      <c r="A526" s="30"/>
      <c r="B526" s="30"/>
      <c r="C526" s="30"/>
      <c r="D526" s="30"/>
      <c r="E526" s="30"/>
    </row>
    <row r="527" ht="12.75" customHeight="1">
      <c r="A527" s="30"/>
      <c r="B527" s="30"/>
      <c r="C527" s="30"/>
      <c r="D527" s="30"/>
      <c r="E527" s="30"/>
    </row>
    <row r="528" ht="12.75" customHeight="1">
      <c r="A528" s="30"/>
      <c r="B528" s="30"/>
      <c r="C528" s="30"/>
      <c r="D528" s="30"/>
      <c r="E528" s="30"/>
    </row>
    <row r="529" ht="12.75" customHeight="1">
      <c r="A529" s="30"/>
      <c r="B529" s="30"/>
      <c r="C529" s="30"/>
      <c r="D529" s="30"/>
      <c r="E529" s="30"/>
    </row>
    <row r="530" ht="12.75" customHeight="1">
      <c r="A530" s="30"/>
      <c r="B530" s="30"/>
      <c r="C530" s="30"/>
      <c r="D530" s="30"/>
      <c r="E530" s="30"/>
    </row>
    <row r="531" ht="12.75" customHeight="1">
      <c r="A531" s="30"/>
      <c r="B531" s="30"/>
      <c r="C531" s="30"/>
      <c r="D531" s="30"/>
      <c r="E531" s="30"/>
    </row>
    <row r="532" ht="12.75" customHeight="1">
      <c r="A532" s="30"/>
      <c r="B532" s="30"/>
      <c r="C532" s="30"/>
      <c r="D532" s="30"/>
      <c r="E532" s="30"/>
    </row>
    <row r="533" ht="12.75" customHeight="1">
      <c r="A533" s="30"/>
      <c r="B533" s="30"/>
      <c r="C533" s="30"/>
      <c r="D533" s="30"/>
      <c r="E533" s="30"/>
    </row>
    <row r="534" ht="12.75" customHeight="1">
      <c r="A534" s="30"/>
      <c r="B534" s="30"/>
      <c r="C534" s="30"/>
      <c r="D534" s="30"/>
      <c r="E534" s="30"/>
    </row>
    <row r="535" ht="12.75" customHeight="1">
      <c r="A535" s="30"/>
      <c r="B535" s="30"/>
      <c r="C535" s="30"/>
      <c r="D535" s="30"/>
      <c r="E535" s="30"/>
    </row>
    <row r="536" ht="12.75" customHeight="1">
      <c r="A536" s="30"/>
      <c r="B536" s="30"/>
      <c r="C536" s="30"/>
      <c r="D536" s="30"/>
      <c r="E536" s="30"/>
    </row>
    <row r="537" ht="12.75" customHeight="1">
      <c r="A537" s="30"/>
      <c r="B537" s="30"/>
      <c r="C537" s="30"/>
      <c r="D537" s="30"/>
      <c r="E537" s="30"/>
    </row>
    <row r="538" ht="12.75" customHeight="1">
      <c r="A538" s="30"/>
      <c r="B538" s="30"/>
      <c r="C538" s="30"/>
      <c r="D538" s="30"/>
      <c r="E538" s="30"/>
    </row>
    <row r="539" ht="12.75" customHeight="1">
      <c r="A539" s="30"/>
      <c r="B539" s="30"/>
      <c r="C539" s="30"/>
      <c r="D539" s="30"/>
      <c r="E539" s="30"/>
    </row>
    <row r="540" ht="12.75" customHeight="1">
      <c r="A540" s="30"/>
      <c r="B540" s="30"/>
      <c r="C540" s="30"/>
      <c r="D540" s="30"/>
      <c r="E540" s="30"/>
    </row>
    <row r="541" ht="12.75" customHeight="1">
      <c r="A541" s="30"/>
      <c r="B541" s="30"/>
      <c r="C541" s="30"/>
      <c r="D541" s="30"/>
      <c r="E541" s="30"/>
    </row>
    <row r="542" ht="12.75" customHeight="1">
      <c r="A542" s="30"/>
      <c r="B542" s="30"/>
      <c r="C542" s="30"/>
      <c r="D542" s="30"/>
      <c r="E542" s="30"/>
    </row>
    <row r="543" ht="12.75" customHeight="1">
      <c r="A543" s="30"/>
      <c r="B543" s="30"/>
      <c r="C543" s="30"/>
      <c r="D543" s="30"/>
      <c r="E543" s="30"/>
    </row>
    <row r="544" ht="12.75" customHeight="1">
      <c r="A544" s="30"/>
      <c r="B544" s="30"/>
      <c r="C544" s="30"/>
      <c r="D544" s="30"/>
      <c r="E544" s="30"/>
    </row>
    <row r="545" ht="12.75" customHeight="1">
      <c r="A545" s="30"/>
      <c r="B545" s="30"/>
      <c r="C545" s="30"/>
      <c r="D545" s="30"/>
      <c r="E545" s="30"/>
    </row>
    <row r="546" ht="12.75" customHeight="1">
      <c r="A546" s="30"/>
      <c r="B546" s="30"/>
      <c r="C546" s="30"/>
      <c r="D546" s="30"/>
      <c r="E546" s="30"/>
    </row>
    <row r="547" ht="12.75" customHeight="1">
      <c r="A547" s="30"/>
      <c r="B547" s="30"/>
      <c r="C547" s="30"/>
      <c r="D547" s="30"/>
      <c r="E547" s="30"/>
    </row>
    <row r="548" ht="12.75" customHeight="1">
      <c r="A548" s="30"/>
      <c r="B548" s="30"/>
      <c r="C548" s="30"/>
      <c r="D548" s="30"/>
      <c r="E548" s="30"/>
    </row>
    <row r="549" ht="12.75" customHeight="1">
      <c r="A549" s="30"/>
      <c r="B549" s="30"/>
      <c r="C549" s="30"/>
      <c r="D549" s="30"/>
      <c r="E549" s="30"/>
    </row>
    <row r="550" ht="12.75" customHeight="1">
      <c r="A550" s="30"/>
      <c r="B550" s="30"/>
      <c r="C550" s="30"/>
      <c r="D550" s="30"/>
      <c r="E550" s="30"/>
    </row>
    <row r="551" ht="12.75" customHeight="1">
      <c r="A551" s="30"/>
      <c r="B551" s="30"/>
      <c r="C551" s="30"/>
      <c r="D551" s="30"/>
      <c r="E551" s="30"/>
    </row>
    <row r="552" ht="12.75" customHeight="1">
      <c r="A552" s="30"/>
      <c r="B552" s="30"/>
      <c r="C552" s="30"/>
      <c r="D552" s="30"/>
      <c r="E552" s="30"/>
    </row>
    <row r="553" ht="12.75" customHeight="1">
      <c r="A553" s="30"/>
      <c r="B553" s="30"/>
      <c r="C553" s="30"/>
      <c r="D553" s="30"/>
      <c r="E553" s="30"/>
    </row>
    <row r="554" ht="12.75" customHeight="1">
      <c r="A554" s="30"/>
      <c r="B554" s="30"/>
      <c r="C554" s="30"/>
      <c r="D554" s="30"/>
      <c r="E554" s="30"/>
    </row>
    <row r="555" ht="12.75" customHeight="1">
      <c r="A555" s="30"/>
      <c r="B555" s="30"/>
      <c r="C555" s="30"/>
      <c r="D555" s="30"/>
      <c r="E555" s="30"/>
    </row>
    <row r="556" ht="12.75" customHeight="1">
      <c r="A556" s="30"/>
      <c r="B556" s="30"/>
      <c r="C556" s="30"/>
      <c r="D556" s="30"/>
      <c r="E556" s="30"/>
    </row>
    <row r="557" ht="12.75" customHeight="1">
      <c r="A557" s="30"/>
      <c r="B557" s="30"/>
      <c r="C557" s="30"/>
      <c r="D557" s="30"/>
      <c r="E557" s="30"/>
    </row>
    <row r="558" ht="12.75" customHeight="1">
      <c r="A558" s="30"/>
      <c r="B558" s="30"/>
      <c r="C558" s="30"/>
      <c r="D558" s="30"/>
      <c r="E558" s="30"/>
    </row>
    <row r="559" ht="12.75" customHeight="1">
      <c r="A559" s="30"/>
      <c r="B559" s="30"/>
      <c r="C559" s="30"/>
      <c r="D559" s="30"/>
      <c r="E559" s="30"/>
    </row>
    <row r="560" ht="12.75" customHeight="1">
      <c r="A560" s="30"/>
      <c r="B560" s="30"/>
      <c r="C560" s="30"/>
      <c r="D560" s="30"/>
      <c r="E560" s="30"/>
    </row>
    <row r="561" ht="12.75" customHeight="1">
      <c r="A561" s="30"/>
      <c r="B561" s="30"/>
      <c r="C561" s="30"/>
      <c r="D561" s="30"/>
      <c r="E561" s="30"/>
    </row>
    <row r="562" ht="12.75" customHeight="1">
      <c r="A562" s="30"/>
      <c r="B562" s="30"/>
      <c r="C562" s="30"/>
      <c r="D562" s="30"/>
      <c r="E562" s="30"/>
    </row>
    <row r="563" ht="12.75" customHeight="1">
      <c r="A563" s="30"/>
      <c r="B563" s="30"/>
      <c r="C563" s="30"/>
      <c r="D563" s="30"/>
      <c r="E563" s="30"/>
    </row>
    <row r="564" ht="12.75" customHeight="1">
      <c r="A564" s="30"/>
      <c r="B564" s="30"/>
      <c r="C564" s="30"/>
      <c r="D564" s="30"/>
      <c r="E564" s="30"/>
    </row>
    <row r="565" ht="12.75" customHeight="1">
      <c r="A565" s="30"/>
      <c r="B565" s="30"/>
      <c r="C565" s="30"/>
      <c r="D565" s="30"/>
      <c r="E565" s="30"/>
    </row>
    <row r="566" ht="12.75" customHeight="1">
      <c r="A566" s="30"/>
      <c r="B566" s="30"/>
      <c r="C566" s="30"/>
      <c r="D566" s="30"/>
      <c r="E566" s="30"/>
    </row>
    <row r="567" ht="12.75" customHeight="1">
      <c r="A567" s="30"/>
      <c r="B567" s="30"/>
      <c r="C567" s="30"/>
      <c r="D567" s="30"/>
      <c r="E567" s="30"/>
    </row>
    <row r="568" ht="12.75" customHeight="1">
      <c r="A568" s="30"/>
      <c r="B568" s="30"/>
      <c r="C568" s="30"/>
      <c r="D568" s="30"/>
      <c r="E568" s="30"/>
    </row>
    <row r="569" ht="12.75" customHeight="1">
      <c r="A569" s="30"/>
      <c r="B569" s="30"/>
      <c r="C569" s="30"/>
      <c r="D569" s="30"/>
      <c r="E569" s="30"/>
    </row>
    <row r="570" ht="12.75" customHeight="1">
      <c r="A570" s="30"/>
      <c r="B570" s="30"/>
      <c r="C570" s="30"/>
      <c r="D570" s="30"/>
      <c r="E570" s="30"/>
    </row>
    <row r="571" ht="12.75" customHeight="1">
      <c r="A571" s="30"/>
      <c r="B571" s="30"/>
      <c r="C571" s="30"/>
      <c r="D571" s="30"/>
      <c r="E571" s="30"/>
    </row>
    <row r="572" ht="12.75" customHeight="1">
      <c r="A572" s="30"/>
      <c r="B572" s="30"/>
      <c r="C572" s="30"/>
      <c r="D572" s="30"/>
      <c r="E572" s="30"/>
    </row>
    <row r="573" ht="12.75" customHeight="1">
      <c r="A573" s="30"/>
      <c r="B573" s="30"/>
      <c r="C573" s="30"/>
      <c r="D573" s="30"/>
      <c r="E573" s="30"/>
    </row>
    <row r="574" ht="12.75" customHeight="1">
      <c r="A574" s="30"/>
      <c r="B574" s="30"/>
      <c r="C574" s="30"/>
      <c r="D574" s="30"/>
      <c r="E574" s="30"/>
    </row>
    <row r="575" ht="12.75" customHeight="1">
      <c r="A575" s="30"/>
      <c r="B575" s="30"/>
      <c r="C575" s="30"/>
      <c r="D575" s="30"/>
      <c r="E575" s="30"/>
    </row>
    <row r="576" ht="12.75" customHeight="1">
      <c r="A576" s="30"/>
      <c r="B576" s="30"/>
      <c r="C576" s="30"/>
      <c r="D576" s="30"/>
      <c r="E576" s="30"/>
    </row>
    <row r="577" ht="12.75" customHeight="1">
      <c r="A577" s="30"/>
      <c r="B577" s="30"/>
      <c r="C577" s="30"/>
      <c r="D577" s="30"/>
      <c r="E577" s="30"/>
    </row>
    <row r="578" ht="12.75" customHeight="1">
      <c r="A578" s="30"/>
      <c r="B578" s="30"/>
      <c r="C578" s="30"/>
      <c r="D578" s="30"/>
      <c r="E578" s="30"/>
    </row>
    <row r="579" ht="12.75" customHeight="1">
      <c r="A579" s="30"/>
      <c r="B579" s="30"/>
      <c r="C579" s="30"/>
      <c r="D579" s="30"/>
      <c r="E579" s="30"/>
    </row>
    <row r="580" ht="12.75" customHeight="1">
      <c r="A580" s="30"/>
      <c r="B580" s="30"/>
      <c r="C580" s="30"/>
      <c r="D580" s="30"/>
      <c r="E580" s="30"/>
    </row>
    <row r="581" ht="12.75" customHeight="1">
      <c r="A581" s="30"/>
      <c r="B581" s="30"/>
      <c r="C581" s="30"/>
      <c r="D581" s="30"/>
      <c r="E581" s="30"/>
    </row>
    <row r="582" ht="12.75" customHeight="1">
      <c r="A582" s="30"/>
      <c r="B582" s="30"/>
      <c r="C582" s="30"/>
      <c r="D582" s="30"/>
      <c r="E582" s="30"/>
    </row>
    <row r="583" ht="12.75" customHeight="1">
      <c r="A583" s="30"/>
      <c r="B583" s="30"/>
      <c r="C583" s="30"/>
      <c r="D583" s="30"/>
      <c r="E583" s="30"/>
    </row>
    <row r="584" ht="12.75" customHeight="1">
      <c r="A584" s="30"/>
      <c r="B584" s="30"/>
      <c r="C584" s="30"/>
      <c r="D584" s="30"/>
      <c r="E584" s="30"/>
    </row>
    <row r="585" ht="12.75" customHeight="1">
      <c r="A585" s="30"/>
      <c r="B585" s="30"/>
      <c r="C585" s="30"/>
      <c r="D585" s="30"/>
      <c r="E585" s="30"/>
    </row>
    <row r="586" ht="12.75" customHeight="1">
      <c r="A586" s="30"/>
      <c r="B586" s="30"/>
      <c r="C586" s="30"/>
      <c r="D586" s="30"/>
      <c r="E586" s="30"/>
    </row>
    <row r="587" ht="12.75" customHeight="1">
      <c r="A587" s="30"/>
      <c r="B587" s="30"/>
      <c r="C587" s="30"/>
      <c r="D587" s="30"/>
      <c r="E587" s="30"/>
    </row>
    <row r="588" ht="12.75" customHeight="1">
      <c r="A588" s="30"/>
      <c r="B588" s="30"/>
      <c r="C588" s="30"/>
      <c r="D588" s="30"/>
      <c r="E588" s="30"/>
    </row>
    <row r="589" ht="12.75" customHeight="1">
      <c r="A589" s="30"/>
      <c r="B589" s="30"/>
      <c r="C589" s="30"/>
      <c r="D589" s="30"/>
      <c r="E589" s="30"/>
    </row>
    <row r="590" ht="12.75" customHeight="1">
      <c r="A590" s="30"/>
      <c r="B590" s="30"/>
      <c r="C590" s="30"/>
      <c r="D590" s="30"/>
      <c r="E590" s="30"/>
    </row>
    <row r="591" ht="12.75" customHeight="1">
      <c r="A591" s="30"/>
      <c r="B591" s="30"/>
      <c r="C591" s="30"/>
      <c r="D591" s="30"/>
      <c r="E591" s="30"/>
    </row>
    <row r="592" ht="12.75" customHeight="1">
      <c r="A592" s="30"/>
      <c r="B592" s="30"/>
      <c r="C592" s="30"/>
      <c r="D592" s="30"/>
      <c r="E592" s="30"/>
    </row>
    <row r="593" ht="12.75" customHeight="1">
      <c r="A593" s="30"/>
      <c r="B593" s="30"/>
      <c r="C593" s="30"/>
      <c r="D593" s="30"/>
      <c r="E593" s="30"/>
    </row>
    <row r="594" ht="12.75" customHeight="1">
      <c r="A594" s="30"/>
      <c r="B594" s="30"/>
      <c r="C594" s="30"/>
      <c r="D594" s="30"/>
      <c r="E594" s="30"/>
    </row>
    <row r="595" ht="12.75" customHeight="1">
      <c r="A595" s="30"/>
      <c r="B595" s="30"/>
      <c r="C595" s="30"/>
      <c r="D595" s="30"/>
      <c r="E595" s="30"/>
    </row>
    <row r="596" ht="12.75" customHeight="1">
      <c r="A596" s="30"/>
      <c r="B596" s="30"/>
      <c r="C596" s="30"/>
      <c r="D596" s="30"/>
      <c r="E596" s="30"/>
    </row>
    <row r="597" ht="12.75" customHeight="1">
      <c r="A597" s="30"/>
      <c r="B597" s="30"/>
      <c r="C597" s="30"/>
      <c r="D597" s="30"/>
      <c r="E597" s="30"/>
    </row>
    <row r="598" ht="12.75" customHeight="1">
      <c r="A598" s="30"/>
      <c r="B598" s="30"/>
      <c r="C598" s="30"/>
      <c r="D598" s="30"/>
      <c r="E598" s="30"/>
    </row>
    <row r="599" ht="12.75" customHeight="1">
      <c r="A599" s="30"/>
      <c r="B599" s="30"/>
      <c r="C599" s="30"/>
      <c r="D599" s="30"/>
      <c r="E599" s="30"/>
    </row>
    <row r="600" ht="12.75" customHeight="1">
      <c r="A600" s="30"/>
      <c r="B600" s="30"/>
      <c r="C600" s="30"/>
      <c r="D600" s="30"/>
      <c r="E600" s="30"/>
    </row>
    <row r="601" ht="12.75" customHeight="1">
      <c r="A601" s="30"/>
      <c r="B601" s="30"/>
      <c r="C601" s="30"/>
      <c r="D601" s="30"/>
      <c r="E601" s="30"/>
    </row>
    <row r="602" ht="12.75" customHeight="1">
      <c r="A602" s="30"/>
      <c r="B602" s="30"/>
      <c r="C602" s="30"/>
      <c r="D602" s="30"/>
      <c r="E602" s="30"/>
    </row>
    <row r="603" ht="12.75" customHeight="1">
      <c r="A603" s="30"/>
      <c r="B603" s="30"/>
      <c r="C603" s="30"/>
      <c r="D603" s="30"/>
      <c r="E603" s="30"/>
    </row>
    <row r="604" ht="12.75" customHeight="1">
      <c r="A604" s="30"/>
      <c r="B604" s="30"/>
      <c r="C604" s="30"/>
      <c r="D604" s="30"/>
      <c r="E604" s="30"/>
    </row>
    <row r="605" ht="12.75" customHeight="1">
      <c r="A605" s="30"/>
      <c r="B605" s="30"/>
      <c r="C605" s="30"/>
      <c r="D605" s="30"/>
      <c r="E605" s="30"/>
    </row>
    <row r="606" ht="12.75" customHeight="1">
      <c r="A606" s="30"/>
      <c r="B606" s="30"/>
      <c r="C606" s="30"/>
      <c r="D606" s="30"/>
      <c r="E606" s="30"/>
    </row>
    <row r="607" ht="12.75" customHeight="1">
      <c r="A607" s="30"/>
      <c r="B607" s="30"/>
      <c r="C607" s="30"/>
      <c r="D607" s="30"/>
      <c r="E607" s="30"/>
    </row>
    <row r="608" ht="12.75" customHeight="1">
      <c r="A608" s="30"/>
      <c r="B608" s="30"/>
      <c r="C608" s="30"/>
      <c r="D608" s="30"/>
      <c r="E608" s="30"/>
    </row>
    <row r="609" ht="12.75" customHeight="1">
      <c r="A609" s="30"/>
      <c r="B609" s="30"/>
      <c r="C609" s="30"/>
      <c r="D609" s="30"/>
      <c r="E609" s="30"/>
    </row>
    <row r="610" ht="12.75" customHeight="1">
      <c r="A610" s="30"/>
      <c r="B610" s="30"/>
      <c r="C610" s="30"/>
      <c r="D610" s="30"/>
      <c r="E610" s="30"/>
    </row>
    <row r="611" ht="12.75" customHeight="1">
      <c r="A611" s="30"/>
      <c r="B611" s="30"/>
      <c r="C611" s="30"/>
      <c r="D611" s="30"/>
      <c r="E611" s="30"/>
    </row>
    <row r="612" ht="12.75" customHeight="1">
      <c r="A612" s="30"/>
      <c r="B612" s="30"/>
      <c r="C612" s="30"/>
      <c r="D612" s="30"/>
      <c r="E612" s="30"/>
    </row>
    <row r="613" ht="12.75" customHeight="1">
      <c r="A613" s="30"/>
      <c r="B613" s="30"/>
      <c r="C613" s="30"/>
      <c r="D613" s="30"/>
      <c r="E613" s="30"/>
    </row>
    <row r="614" ht="12.75" customHeight="1">
      <c r="A614" s="30"/>
      <c r="B614" s="30"/>
      <c r="C614" s="30"/>
      <c r="D614" s="30"/>
      <c r="E614" s="30"/>
    </row>
    <row r="615" ht="12.75" customHeight="1">
      <c r="A615" s="30"/>
      <c r="B615" s="30"/>
      <c r="C615" s="30"/>
      <c r="D615" s="30"/>
      <c r="E615" s="30"/>
    </row>
    <row r="616" ht="12.75" customHeight="1">
      <c r="A616" s="30"/>
      <c r="B616" s="30"/>
      <c r="C616" s="30"/>
      <c r="D616" s="30"/>
      <c r="E616" s="30"/>
    </row>
    <row r="617" ht="12.75" customHeight="1">
      <c r="A617" s="30"/>
      <c r="B617" s="30"/>
      <c r="C617" s="30"/>
      <c r="D617" s="30"/>
      <c r="E617" s="30"/>
    </row>
    <row r="618" ht="12.75" customHeight="1">
      <c r="A618" s="30"/>
      <c r="B618" s="30"/>
      <c r="C618" s="30"/>
      <c r="D618" s="30"/>
      <c r="E618" s="30"/>
    </row>
    <row r="619" ht="12.75" customHeight="1">
      <c r="A619" s="30"/>
      <c r="B619" s="30"/>
      <c r="C619" s="30"/>
      <c r="D619" s="30"/>
      <c r="E619" s="30"/>
    </row>
    <row r="620" ht="12.75" customHeight="1">
      <c r="A620" s="30"/>
      <c r="B620" s="30"/>
      <c r="C620" s="30"/>
      <c r="D620" s="30"/>
      <c r="E620" s="30"/>
    </row>
    <row r="621" ht="12.75" customHeight="1">
      <c r="A621" s="30"/>
      <c r="B621" s="30"/>
      <c r="C621" s="30"/>
      <c r="D621" s="30"/>
      <c r="E621" s="30"/>
    </row>
    <row r="622" ht="12.75" customHeight="1">
      <c r="A622" s="30"/>
      <c r="B622" s="30"/>
      <c r="C622" s="30"/>
      <c r="D622" s="30"/>
      <c r="E622" s="30"/>
    </row>
    <row r="623" ht="12.75" customHeight="1">
      <c r="A623" s="30"/>
      <c r="B623" s="30"/>
      <c r="C623" s="30"/>
      <c r="D623" s="30"/>
      <c r="E623" s="30"/>
    </row>
    <row r="624" ht="12.75" customHeight="1">
      <c r="A624" s="30"/>
      <c r="B624" s="30"/>
      <c r="C624" s="30"/>
      <c r="D624" s="30"/>
      <c r="E624" s="30"/>
    </row>
    <row r="625" ht="12.75" customHeight="1">
      <c r="A625" s="30"/>
      <c r="B625" s="30"/>
      <c r="C625" s="30"/>
      <c r="D625" s="30"/>
      <c r="E625" s="30"/>
    </row>
    <row r="626" ht="12.75" customHeight="1">
      <c r="A626" s="30"/>
      <c r="B626" s="30"/>
      <c r="C626" s="30"/>
      <c r="D626" s="30"/>
      <c r="E626" s="30"/>
    </row>
    <row r="627" ht="12.75" customHeight="1">
      <c r="A627" s="30"/>
      <c r="B627" s="30"/>
      <c r="C627" s="30"/>
      <c r="D627" s="30"/>
      <c r="E627" s="30"/>
    </row>
    <row r="628" ht="12.75" customHeight="1">
      <c r="A628" s="30"/>
      <c r="B628" s="30"/>
      <c r="C628" s="30"/>
      <c r="D628" s="30"/>
      <c r="E628" s="30"/>
    </row>
    <row r="629" ht="12.75" customHeight="1">
      <c r="A629" s="30"/>
      <c r="B629" s="30"/>
      <c r="C629" s="30"/>
      <c r="D629" s="30"/>
      <c r="E629" s="30"/>
    </row>
    <row r="630" ht="12.75" customHeight="1">
      <c r="A630" s="30"/>
      <c r="B630" s="30"/>
      <c r="C630" s="30"/>
      <c r="D630" s="30"/>
      <c r="E630" s="30"/>
    </row>
    <row r="631" ht="12.75" customHeight="1">
      <c r="A631" s="30"/>
      <c r="B631" s="30"/>
      <c r="C631" s="30"/>
      <c r="D631" s="30"/>
      <c r="E631" s="30"/>
    </row>
    <row r="632" ht="12.75" customHeight="1">
      <c r="A632" s="30"/>
      <c r="B632" s="30"/>
      <c r="C632" s="30"/>
      <c r="D632" s="30"/>
      <c r="E632" s="30"/>
    </row>
    <row r="633" ht="12.75" customHeight="1">
      <c r="A633" s="30"/>
      <c r="B633" s="30"/>
      <c r="C633" s="30"/>
      <c r="D633" s="30"/>
      <c r="E633" s="30"/>
    </row>
    <row r="634" ht="12.75" customHeight="1">
      <c r="A634" s="30"/>
      <c r="B634" s="30"/>
      <c r="C634" s="30"/>
      <c r="D634" s="30"/>
      <c r="E634" s="30"/>
    </row>
    <row r="635" ht="12.75" customHeight="1">
      <c r="A635" s="30"/>
      <c r="B635" s="30"/>
      <c r="C635" s="30"/>
      <c r="D635" s="30"/>
      <c r="E635" s="30"/>
    </row>
    <row r="636" ht="12.75" customHeight="1">
      <c r="A636" s="30"/>
      <c r="B636" s="30"/>
      <c r="C636" s="30"/>
      <c r="D636" s="30"/>
      <c r="E636" s="30"/>
    </row>
    <row r="637" ht="12.75" customHeight="1">
      <c r="A637" s="30"/>
      <c r="B637" s="30"/>
      <c r="C637" s="30"/>
      <c r="D637" s="30"/>
      <c r="E637" s="30"/>
    </row>
    <row r="638" ht="12.75" customHeight="1">
      <c r="A638" s="30"/>
      <c r="B638" s="30"/>
      <c r="C638" s="30"/>
      <c r="D638" s="30"/>
      <c r="E638" s="30"/>
    </row>
    <row r="639" ht="12.75" customHeight="1">
      <c r="A639" s="30"/>
      <c r="B639" s="30"/>
      <c r="C639" s="30"/>
      <c r="D639" s="30"/>
      <c r="E639" s="30"/>
    </row>
    <row r="640" ht="12.75" customHeight="1">
      <c r="A640" s="30"/>
      <c r="B640" s="30"/>
      <c r="C640" s="30"/>
      <c r="D640" s="30"/>
      <c r="E640" s="30"/>
    </row>
    <row r="641" ht="12.75" customHeight="1">
      <c r="A641" s="30"/>
      <c r="B641" s="30"/>
      <c r="C641" s="30"/>
      <c r="D641" s="30"/>
      <c r="E641" s="30"/>
    </row>
    <row r="642" ht="12.75" customHeight="1">
      <c r="A642" s="30"/>
      <c r="B642" s="30"/>
      <c r="C642" s="30"/>
      <c r="D642" s="30"/>
      <c r="E642" s="30"/>
    </row>
    <row r="643" ht="12.75" customHeight="1">
      <c r="A643" s="30"/>
      <c r="B643" s="30"/>
      <c r="C643" s="30"/>
      <c r="D643" s="30"/>
      <c r="E643" s="30"/>
    </row>
    <row r="644" ht="12.75" customHeight="1">
      <c r="A644" s="30"/>
      <c r="B644" s="30"/>
      <c r="C644" s="30"/>
      <c r="D644" s="30"/>
      <c r="E644" s="30"/>
    </row>
    <row r="645" ht="12.75" customHeight="1">
      <c r="A645" s="30"/>
      <c r="B645" s="30"/>
      <c r="C645" s="30"/>
      <c r="D645" s="30"/>
      <c r="E645" s="30"/>
    </row>
    <row r="646" ht="12.75" customHeight="1">
      <c r="A646" s="30"/>
      <c r="B646" s="30"/>
      <c r="C646" s="30"/>
      <c r="D646" s="30"/>
      <c r="E646" s="30"/>
    </row>
    <row r="647" ht="12.75" customHeight="1">
      <c r="A647" s="30"/>
      <c r="B647" s="30"/>
      <c r="C647" s="30"/>
      <c r="D647" s="30"/>
      <c r="E647" s="30"/>
    </row>
    <row r="648" ht="12.75" customHeight="1">
      <c r="A648" s="30"/>
      <c r="B648" s="30"/>
      <c r="C648" s="30"/>
      <c r="D648" s="30"/>
      <c r="E648" s="30"/>
    </row>
    <row r="649" ht="12.75" customHeight="1">
      <c r="A649" s="30"/>
      <c r="B649" s="30"/>
      <c r="C649" s="30"/>
      <c r="D649" s="30"/>
      <c r="E649" s="30"/>
    </row>
    <row r="650" ht="12.75" customHeight="1">
      <c r="A650" s="30"/>
      <c r="B650" s="30"/>
      <c r="C650" s="30"/>
      <c r="D650" s="30"/>
      <c r="E650" s="30"/>
    </row>
    <row r="651" ht="12.75" customHeight="1">
      <c r="A651" s="30"/>
      <c r="B651" s="30"/>
      <c r="C651" s="30"/>
      <c r="D651" s="30"/>
      <c r="E651" s="30"/>
    </row>
    <row r="652" ht="12.75" customHeight="1">
      <c r="A652" s="30"/>
      <c r="B652" s="30"/>
      <c r="C652" s="30"/>
      <c r="D652" s="30"/>
      <c r="E652" s="30"/>
    </row>
    <row r="653" ht="12.75" customHeight="1">
      <c r="A653" s="30"/>
      <c r="B653" s="30"/>
      <c r="C653" s="30"/>
      <c r="D653" s="30"/>
      <c r="E653" s="30"/>
    </row>
    <row r="654" ht="12.75" customHeight="1">
      <c r="A654" s="30"/>
      <c r="B654" s="30"/>
      <c r="C654" s="30"/>
      <c r="D654" s="30"/>
      <c r="E654" s="30"/>
    </row>
    <row r="655" ht="12.75" customHeight="1">
      <c r="A655" s="30"/>
      <c r="B655" s="30"/>
      <c r="C655" s="30"/>
      <c r="D655" s="30"/>
      <c r="E655" s="30"/>
    </row>
    <row r="656" ht="12.75" customHeight="1">
      <c r="A656" s="30"/>
      <c r="B656" s="30"/>
      <c r="C656" s="30"/>
      <c r="D656" s="30"/>
      <c r="E656" s="30"/>
    </row>
    <row r="657" ht="12.75" customHeight="1">
      <c r="A657" s="30"/>
      <c r="B657" s="30"/>
      <c r="C657" s="30"/>
      <c r="D657" s="30"/>
      <c r="E657" s="30"/>
    </row>
    <row r="658" ht="12.75" customHeight="1">
      <c r="A658" s="30"/>
      <c r="B658" s="30"/>
      <c r="C658" s="30"/>
      <c r="D658" s="30"/>
      <c r="E658" s="30"/>
    </row>
    <row r="659" ht="12.75" customHeight="1">
      <c r="A659" s="30"/>
      <c r="B659" s="30"/>
      <c r="C659" s="30"/>
      <c r="D659" s="30"/>
      <c r="E659" s="30"/>
    </row>
    <row r="660" ht="12.75" customHeight="1">
      <c r="A660" s="30"/>
      <c r="B660" s="30"/>
      <c r="C660" s="30"/>
      <c r="D660" s="30"/>
      <c r="E660" s="30"/>
    </row>
    <row r="661" ht="12.75" customHeight="1">
      <c r="A661" s="30"/>
      <c r="B661" s="30"/>
      <c r="C661" s="30"/>
      <c r="D661" s="30"/>
      <c r="E661" s="30"/>
    </row>
    <row r="662" ht="12.75" customHeight="1">
      <c r="A662" s="30"/>
      <c r="B662" s="30"/>
      <c r="C662" s="30"/>
      <c r="D662" s="30"/>
      <c r="E662" s="30"/>
    </row>
    <row r="663" ht="12.75" customHeight="1">
      <c r="A663" s="30"/>
      <c r="B663" s="30"/>
      <c r="C663" s="30"/>
      <c r="D663" s="30"/>
      <c r="E663" s="30"/>
    </row>
    <row r="664" ht="12.75" customHeight="1">
      <c r="A664" s="30"/>
      <c r="B664" s="30"/>
      <c r="C664" s="30"/>
      <c r="D664" s="30"/>
      <c r="E664" s="30"/>
    </row>
    <row r="665" ht="12.75" customHeight="1">
      <c r="A665" s="30"/>
      <c r="B665" s="30"/>
      <c r="C665" s="30"/>
      <c r="D665" s="30"/>
      <c r="E665" s="30"/>
    </row>
    <row r="666" ht="12.75" customHeight="1">
      <c r="A666" s="30"/>
      <c r="B666" s="30"/>
      <c r="C666" s="30"/>
      <c r="D666" s="30"/>
      <c r="E666" s="30"/>
    </row>
    <row r="667" ht="12.75" customHeight="1">
      <c r="A667" s="30"/>
      <c r="B667" s="30"/>
      <c r="C667" s="30"/>
      <c r="D667" s="30"/>
      <c r="E667" s="30"/>
    </row>
    <row r="668" ht="12.75" customHeight="1">
      <c r="A668" s="30"/>
      <c r="B668" s="30"/>
      <c r="C668" s="30"/>
      <c r="D668" s="30"/>
      <c r="E668" s="30"/>
    </row>
    <row r="669" ht="12.75" customHeight="1">
      <c r="A669" s="30"/>
      <c r="B669" s="30"/>
      <c r="C669" s="30"/>
      <c r="D669" s="30"/>
      <c r="E669" s="30"/>
    </row>
    <row r="670" ht="12.75" customHeight="1">
      <c r="A670" s="30"/>
      <c r="B670" s="30"/>
      <c r="C670" s="30"/>
      <c r="D670" s="30"/>
      <c r="E670" s="30"/>
    </row>
    <row r="671" ht="12.75" customHeight="1">
      <c r="A671" s="30"/>
      <c r="B671" s="30"/>
      <c r="C671" s="30"/>
      <c r="D671" s="30"/>
      <c r="E671" s="30"/>
    </row>
    <row r="672" ht="12.75" customHeight="1">
      <c r="A672" s="30"/>
      <c r="B672" s="30"/>
      <c r="C672" s="30"/>
      <c r="D672" s="30"/>
      <c r="E672" s="30"/>
    </row>
    <row r="673" ht="12.75" customHeight="1">
      <c r="A673" s="30"/>
      <c r="B673" s="30"/>
      <c r="C673" s="30"/>
      <c r="D673" s="30"/>
      <c r="E673" s="30"/>
    </row>
    <row r="674" ht="12.75" customHeight="1">
      <c r="A674" s="30"/>
      <c r="B674" s="30"/>
      <c r="C674" s="30"/>
      <c r="D674" s="30"/>
      <c r="E674" s="30"/>
    </row>
    <row r="675" ht="12.75" customHeight="1">
      <c r="A675" s="30"/>
      <c r="B675" s="30"/>
      <c r="C675" s="30"/>
      <c r="D675" s="30"/>
      <c r="E675" s="30"/>
    </row>
    <row r="676" ht="12.75" customHeight="1">
      <c r="A676" s="30"/>
      <c r="B676" s="30"/>
      <c r="C676" s="30"/>
      <c r="D676" s="30"/>
      <c r="E676" s="30"/>
    </row>
    <row r="677" ht="12.75" customHeight="1">
      <c r="A677" s="30"/>
      <c r="B677" s="30"/>
      <c r="C677" s="30"/>
      <c r="D677" s="30"/>
      <c r="E677" s="30"/>
    </row>
    <row r="678" ht="12.75" customHeight="1">
      <c r="A678" s="30"/>
      <c r="B678" s="30"/>
      <c r="C678" s="30"/>
      <c r="D678" s="30"/>
      <c r="E678" s="30"/>
    </row>
    <row r="679" ht="12.75" customHeight="1">
      <c r="A679" s="30"/>
      <c r="B679" s="30"/>
      <c r="C679" s="30"/>
      <c r="D679" s="30"/>
      <c r="E679" s="30"/>
    </row>
    <row r="680" ht="12.75" customHeight="1">
      <c r="A680" s="30"/>
      <c r="B680" s="30"/>
      <c r="C680" s="30"/>
      <c r="D680" s="30"/>
      <c r="E680" s="30"/>
    </row>
    <row r="681" ht="12.75" customHeight="1">
      <c r="A681" s="30"/>
      <c r="B681" s="30"/>
      <c r="C681" s="30"/>
      <c r="D681" s="30"/>
      <c r="E681" s="30"/>
    </row>
    <row r="682" ht="12.75" customHeight="1">
      <c r="A682" s="30"/>
      <c r="B682" s="30"/>
      <c r="C682" s="30"/>
      <c r="D682" s="30"/>
      <c r="E682" s="30"/>
    </row>
    <row r="683" ht="12.75" customHeight="1">
      <c r="A683" s="30"/>
      <c r="B683" s="30"/>
      <c r="C683" s="30"/>
      <c r="D683" s="30"/>
      <c r="E683" s="30"/>
    </row>
    <row r="684" ht="12.75" customHeight="1">
      <c r="A684" s="30"/>
      <c r="B684" s="30"/>
      <c r="C684" s="30"/>
      <c r="D684" s="30"/>
      <c r="E684" s="30"/>
    </row>
    <row r="685" ht="12.75" customHeight="1">
      <c r="A685" s="30"/>
      <c r="B685" s="30"/>
      <c r="C685" s="30"/>
      <c r="D685" s="30"/>
      <c r="E685" s="30"/>
    </row>
    <row r="686" ht="12.75" customHeight="1">
      <c r="A686" s="30"/>
      <c r="B686" s="30"/>
      <c r="C686" s="30"/>
      <c r="D686" s="30"/>
      <c r="E686" s="30"/>
    </row>
    <row r="687" ht="12.75" customHeight="1">
      <c r="A687" s="30"/>
      <c r="B687" s="30"/>
      <c r="C687" s="30"/>
      <c r="D687" s="30"/>
      <c r="E687" s="30"/>
    </row>
    <row r="688" ht="12.75" customHeight="1">
      <c r="A688" s="30"/>
      <c r="B688" s="30"/>
      <c r="C688" s="30"/>
      <c r="D688" s="30"/>
      <c r="E688" s="30"/>
    </row>
    <row r="689" ht="12.75" customHeight="1">
      <c r="A689" s="30"/>
      <c r="B689" s="30"/>
      <c r="C689" s="30"/>
      <c r="D689" s="30"/>
      <c r="E689" s="30"/>
    </row>
    <row r="690" ht="12.75" customHeight="1">
      <c r="A690" s="30"/>
      <c r="B690" s="30"/>
      <c r="C690" s="30"/>
      <c r="D690" s="30"/>
      <c r="E690" s="30"/>
    </row>
    <row r="691" ht="12.75" customHeight="1">
      <c r="A691" s="30"/>
      <c r="B691" s="30"/>
      <c r="C691" s="30"/>
      <c r="D691" s="30"/>
      <c r="E691" s="30"/>
    </row>
    <row r="692" ht="12.75" customHeight="1">
      <c r="A692" s="30"/>
      <c r="B692" s="30"/>
      <c r="C692" s="30"/>
      <c r="D692" s="30"/>
      <c r="E692" s="30"/>
    </row>
    <row r="693" ht="12.75" customHeight="1">
      <c r="A693" s="30"/>
      <c r="B693" s="30"/>
      <c r="C693" s="30"/>
      <c r="D693" s="30"/>
      <c r="E693" s="30"/>
    </row>
    <row r="694" ht="12.75" customHeight="1">
      <c r="A694" s="30"/>
      <c r="B694" s="30"/>
      <c r="C694" s="30"/>
      <c r="D694" s="30"/>
      <c r="E694" s="30"/>
    </row>
    <row r="695" ht="12.75" customHeight="1">
      <c r="A695" s="30"/>
      <c r="B695" s="30"/>
      <c r="C695" s="30"/>
      <c r="D695" s="30"/>
      <c r="E695" s="30"/>
    </row>
    <row r="696" ht="12.75" customHeight="1">
      <c r="A696" s="30"/>
      <c r="B696" s="30"/>
      <c r="C696" s="30"/>
      <c r="D696" s="30"/>
      <c r="E696" s="30"/>
    </row>
    <row r="697" ht="12.75" customHeight="1">
      <c r="A697" s="30"/>
      <c r="B697" s="30"/>
      <c r="C697" s="30"/>
      <c r="D697" s="30"/>
      <c r="E697" s="30"/>
    </row>
    <row r="698" ht="12.75" customHeight="1">
      <c r="A698" s="30"/>
      <c r="B698" s="30"/>
      <c r="C698" s="30"/>
      <c r="D698" s="30"/>
      <c r="E698" s="30"/>
    </row>
    <row r="699" ht="12.75" customHeight="1">
      <c r="A699" s="30"/>
      <c r="B699" s="30"/>
      <c r="C699" s="30"/>
      <c r="D699" s="30"/>
      <c r="E699" s="30"/>
    </row>
    <row r="700" ht="12.75" customHeight="1">
      <c r="A700" s="30"/>
      <c r="B700" s="30"/>
      <c r="C700" s="30"/>
      <c r="D700" s="30"/>
      <c r="E700" s="30"/>
    </row>
    <row r="701" ht="12.75" customHeight="1">
      <c r="A701" s="30"/>
      <c r="B701" s="30"/>
      <c r="C701" s="30"/>
      <c r="D701" s="30"/>
      <c r="E701" s="30"/>
    </row>
    <row r="702" ht="12.75" customHeight="1">
      <c r="A702" s="30"/>
      <c r="B702" s="30"/>
      <c r="C702" s="30"/>
      <c r="D702" s="30"/>
      <c r="E702" s="30"/>
    </row>
    <row r="703" ht="12.75" customHeight="1">
      <c r="A703" s="30"/>
      <c r="B703" s="30"/>
      <c r="C703" s="30"/>
      <c r="D703" s="30"/>
      <c r="E703" s="30"/>
    </row>
    <row r="704" ht="12.75" customHeight="1">
      <c r="A704" s="30"/>
      <c r="B704" s="30"/>
      <c r="C704" s="30"/>
      <c r="D704" s="30"/>
      <c r="E704" s="30"/>
    </row>
    <row r="705" ht="12.75" customHeight="1">
      <c r="A705" s="30"/>
      <c r="B705" s="30"/>
      <c r="C705" s="30"/>
      <c r="D705" s="30"/>
      <c r="E705" s="30"/>
    </row>
    <row r="706" ht="12.75" customHeight="1">
      <c r="A706" s="30"/>
      <c r="B706" s="30"/>
      <c r="C706" s="30"/>
      <c r="D706" s="30"/>
      <c r="E706" s="30"/>
    </row>
    <row r="707" ht="12.75" customHeight="1">
      <c r="A707" s="30"/>
      <c r="B707" s="30"/>
      <c r="C707" s="30"/>
      <c r="D707" s="30"/>
      <c r="E707" s="30"/>
    </row>
    <row r="708" ht="12.75" customHeight="1">
      <c r="A708" s="30"/>
      <c r="B708" s="30"/>
      <c r="C708" s="30"/>
      <c r="D708" s="30"/>
      <c r="E708" s="30"/>
    </row>
    <row r="709" ht="12.75" customHeight="1">
      <c r="A709" s="30"/>
      <c r="B709" s="30"/>
      <c r="C709" s="30"/>
      <c r="D709" s="30"/>
      <c r="E709" s="30"/>
    </row>
    <row r="710" ht="12.75" customHeight="1">
      <c r="A710" s="30"/>
      <c r="B710" s="30"/>
      <c r="C710" s="30"/>
      <c r="D710" s="30"/>
      <c r="E710" s="30"/>
    </row>
    <row r="711" ht="12.75" customHeight="1">
      <c r="A711" s="30"/>
      <c r="B711" s="30"/>
      <c r="C711" s="30"/>
      <c r="D711" s="30"/>
      <c r="E711" s="30"/>
    </row>
    <row r="712" ht="12.75" customHeight="1">
      <c r="A712" s="30"/>
      <c r="B712" s="30"/>
      <c r="C712" s="30"/>
      <c r="D712" s="30"/>
      <c r="E712" s="30"/>
    </row>
    <row r="713" ht="12.75" customHeight="1">
      <c r="A713" s="30"/>
      <c r="B713" s="30"/>
      <c r="C713" s="30"/>
      <c r="D713" s="30"/>
      <c r="E713" s="30"/>
    </row>
    <row r="714" ht="12.75" customHeight="1">
      <c r="A714" s="30"/>
      <c r="B714" s="30"/>
      <c r="C714" s="30"/>
      <c r="D714" s="30"/>
      <c r="E714" s="30"/>
    </row>
    <row r="715" ht="12.75" customHeight="1">
      <c r="A715" s="30"/>
      <c r="B715" s="30"/>
      <c r="C715" s="30"/>
      <c r="D715" s="30"/>
      <c r="E715" s="30"/>
    </row>
    <row r="716" ht="12.75" customHeight="1">
      <c r="A716" s="30"/>
      <c r="B716" s="30"/>
      <c r="C716" s="30"/>
      <c r="D716" s="30"/>
      <c r="E716" s="30"/>
    </row>
    <row r="717" ht="12.75" customHeight="1">
      <c r="A717" s="30"/>
      <c r="B717" s="30"/>
      <c r="C717" s="30"/>
      <c r="D717" s="30"/>
      <c r="E717" s="30"/>
    </row>
    <row r="718" ht="12.75" customHeight="1">
      <c r="A718" s="30"/>
      <c r="B718" s="30"/>
      <c r="C718" s="30"/>
      <c r="D718" s="30"/>
      <c r="E718" s="30"/>
    </row>
    <row r="719" ht="12.75" customHeight="1">
      <c r="A719" s="30"/>
      <c r="B719" s="30"/>
      <c r="C719" s="30"/>
      <c r="D719" s="30"/>
      <c r="E719" s="30"/>
    </row>
    <row r="720" ht="12.75" customHeight="1">
      <c r="A720" s="30"/>
      <c r="B720" s="30"/>
      <c r="C720" s="30"/>
      <c r="D720" s="30"/>
      <c r="E720" s="30"/>
    </row>
    <row r="721" ht="12.75" customHeight="1">
      <c r="A721" s="30"/>
      <c r="B721" s="30"/>
      <c r="C721" s="30"/>
      <c r="D721" s="30"/>
      <c r="E721" s="30"/>
    </row>
    <row r="722" ht="12.75" customHeight="1">
      <c r="A722" s="30"/>
      <c r="B722" s="30"/>
      <c r="C722" s="30"/>
      <c r="D722" s="30"/>
      <c r="E722" s="30"/>
    </row>
    <row r="723" ht="12.75" customHeight="1">
      <c r="A723" s="30"/>
      <c r="B723" s="30"/>
      <c r="C723" s="30"/>
      <c r="D723" s="30"/>
      <c r="E723" s="30"/>
    </row>
    <row r="724" ht="12.75" customHeight="1">
      <c r="A724" s="30"/>
      <c r="B724" s="30"/>
      <c r="C724" s="30"/>
      <c r="D724" s="30"/>
      <c r="E724" s="30"/>
    </row>
    <row r="725" ht="12.75" customHeight="1">
      <c r="A725" s="30"/>
      <c r="B725" s="30"/>
      <c r="C725" s="30"/>
      <c r="D725" s="30"/>
      <c r="E725" s="30"/>
    </row>
    <row r="726" ht="12.75" customHeight="1">
      <c r="A726" s="30"/>
      <c r="B726" s="30"/>
      <c r="C726" s="30"/>
      <c r="D726" s="30"/>
      <c r="E726" s="30"/>
    </row>
    <row r="727" ht="12.75" customHeight="1">
      <c r="A727" s="30"/>
      <c r="B727" s="30"/>
      <c r="C727" s="30"/>
      <c r="D727" s="30"/>
      <c r="E727" s="30"/>
    </row>
    <row r="728" ht="12.75" customHeight="1">
      <c r="A728" s="30"/>
      <c r="B728" s="30"/>
      <c r="C728" s="30"/>
      <c r="D728" s="30"/>
      <c r="E728" s="30"/>
    </row>
    <row r="729" ht="12.75" customHeight="1">
      <c r="A729" s="30"/>
      <c r="B729" s="30"/>
      <c r="C729" s="30"/>
      <c r="D729" s="30"/>
      <c r="E729" s="30"/>
    </row>
    <row r="730" ht="12.75" customHeight="1">
      <c r="A730" s="30"/>
      <c r="B730" s="30"/>
      <c r="C730" s="30"/>
      <c r="D730" s="30"/>
      <c r="E730" s="30"/>
    </row>
    <row r="731" ht="12.75" customHeight="1">
      <c r="A731" s="30"/>
      <c r="B731" s="30"/>
      <c r="C731" s="30"/>
      <c r="D731" s="30"/>
      <c r="E731" s="30"/>
    </row>
    <row r="732" ht="12.75" customHeight="1">
      <c r="A732" s="30"/>
      <c r="B732" s="30"/>
      <c r="C732" s="30"/>
      <c r="D732" s="30"/>
      <c r="E732" s="30"/>
    </row>
    <row r="733" ht="12.75" customHeight="1">
      <c r="A733" s="30"/>
      <c r="B733" s="30"/>
      <c r="C733" s="30"/>
      <c r="D733" s="30"/>
      <c r="E733" s="30"/>
    </row>
    <row r="734" ht="12.75" customHeight="1">
      <c r="A734" s="30"/>
      <c r="B734" s="30"/>
      <c r="C734" s="30"/>
      <c r="D734" s="30"/>
      <c r="E734" s="30"/>
    </row>
    <row r="735" ht="12.75" customHeight="1">
      <c r="A735" s="30"/>
      <c r="B735" s="30"/>
      <c r="C735" s="30"/>
      <c r="D735" s="30"/>
      <c r="E735" s="30"/>
    </row>
    <row r="736" ht="12.75" customHeight="1">
      <c r="A736" s="30"/>
      <c r="B736" s="30"/>
      <c r="C736" s="30"/>
      <c r="D736" s="30"/>
      <c r="E736" s="30"/>
    </row>
    <row r="737" ht="12.75" customHeight="1">
      <c r="A737" s="30"/>
      <c r="B737" s="30"/>
      <c r="C737" s="30"/>
      <c r="D737" s="30"/>
      <c r="E737" s="30"/>
    </row>
    <row r="738" ht="12.75" customHeight="1">
      <c r="A738" s="30"/>
      <c r="B738" s="30"/>
      <c r="C738" s="30"/>
      <c r="D738" s="30"/>
      <c r="E738" s="30"/>
    </row>
    <row r="739" ht="12.75" customHeight="1">
      <c r="A739" s="30"/>
      <c r="B739" s="30"/>
      <c r="C739" s="30"/>
      <c r="D739" s="30"/>
      <c r="E739" s="30"/>
    </row>
    <row r="740" ht="12.75" customHeight="1">
      <c r="A740" s="30"/>
      <c r="B740" s="30"/>
      <c r="C740" s="30"/>
      <c r="D740" s="30"/>
      <c r="E740" s="30"/>
    </row>
    <row r="741" ht="12.75" customHeight="1">
      <c r="A741" s="30"/>
      <c r="B741" s="30"/>
      <c r="C741" s="30"/>
      <c r="D741" s="30"/>
      <c r="E741" s="30"/>
    </row>
    <row r="742" ht="12.75" customHeight="1">
      <c r="A742" s="30"/>
      <c r="B742" s="30"/>
      <c r="C742" s="30"/>
      <c r="D742" s="30"/>
      <c r="E742" s="30"/>
    </row>
    <row r="743" ht="12.75" customHeight="1">
      <c r="A743" s="30"/>
      <c r="B743" s="30"/>
      <c r="C743" s="30"/>
      <c r="D743" s="30"/>
      <c r="E743" s="30"/>
    </row>
    <row r="744" ht="12.75" customHeight="1">
      <c r="A744" s="30"/>
      <c r="B744" s="30"/>
      <c r="C744" s="30"/>
      <c r="D744" s="30"/>
      <c r="E744" s="30"/>
    </row>
    <row r="745" ht="12.75" customHeight="1">
      <c r="A745" s="30"/>
      <c r="B745" s="30"/>
      <c r="C745" s="30"/>
      <c r="D745" s="30"/>
      <c r="E745" s="30"/>
    </row>
    <row r="746" ht="12.75" customHeight="1">
      <c r="A746" s="30"/>
      <c r="B746" s="30"/>
      <c r="C746" s="30"/>
      <c r="D746" s="30"/>
      <c r="E746" s="30"/>
    </row>
    <row r="747" ht="12.75" customHeight="1">
      <c r="A747" s="30"/>
      <c r="B747" s="30"/>
      <c r="C747" s="30"/>
      <c r="D747" s="30"/>
      <c r="E747" s="30"/>
    </row>
    <row r="748" ht="12.75" customHeight="1">
      <c r="A748" s="30"/>
      <c r="B748" s="30"/>
      <c r="C748" s="30"/>
      <c r="D748" s="30"/>
      <c r="E748" s="30"/>
    </row>
    <row r="749" ht="12.75" customHeight="1">
      <c r="A749" s="30"/>
      <c r="B749" s="30"/>
      <c r="C749" s="30"/>
      <c r="D749" s="30"/>
      <c r="E749" s="30"/>
    </row>
    <row r="750" ht="12.75" customHeight="1">
      <c r="A750" s="30"/>
      <c r="B750" s="30"/>
      <c r="C750" s="30"/>
      <c r="D750" s="30"/>
      <c r="E750" s="30"/>
    </row>
    <row r="751" ht="12.75" customHeight="1">
      <c r="A751" s="30"/>
      <c r="B751" s="30"/>
      <c r="C751" s="30"/>
      <c r="D751" s="30"/>
      <c r="E751" s="30"/>
    </row>
    <row r="752" ht="12.75" customHeight="1">
      <c r="A752" s="30"/>
      <c r="B752" s="30"/>
      <c r="C752" s="30"/>
      <c r="D752" s="30"/>
      <c r="E752" s="30"/>
    </row>
    <row r="753" ht="12.75" customHeight="1">
      <c r="A753" s="30"/>
      <c r="B753" s="30"/>
      <c r="C753" s="30"/>
      <c r="D753" s="30"/>
      <c r="E753" s="30"/>
    </row>
    <row r="754" ht="12.75" customHeight="1">
      <c r="A754" s="30"/>
      <c r="B754" s="30"/>
      <c r="C754" s="30"/>
      <c r="D754" s="30"/>
      <c r="E754" s="30"/>
    </row>
    <row r="755" ht="12.75" customHeight="1">
      <c r="A755" s="30"/>
      <c r="B755" s="30"/>
      <c r="C755" s="30"/>
      <c r="D755" s="30"/>
      <c r="E755" s="30"/>
    </row>
    <row r="756" ht="12.75" customHeight="1">
      <c r="A756" s="30"/>
      <c r="B756" s="30"/>
      <c r="C756" s="30"/>
      <c r="D756" s="30"/>
      <c r="E756" s="30"/>
    </row>
    <row r="757" ht="12.75" customHeight="1">
      <c r="A757" s="30"/>
      <c r="B757" s="30"/>
      <c r="C757" s="30"/>
      <c r="D757" s="30"/>
      <c r="E757" s="30"/>
    </row>
    <row r="758" ht="12.75" customHeight="1">
      <c r="A758" s="30"/>
      <c r="B758" s="30"/>
      <c r="C758" s="30"/>
      <c r="D758" s="30"/>
      <c r="E758" s="30"/>
    </row>
    <row r="759" ht="12.75" customHeight="1">
      <c r="A759" s="30"/>
      <c r="B759" s="30"/>
      <c r="C759" s="30"/>
      <c r="D759" s="30"/>
      <c r="E759" s="30"/>
    </row>
    <row r="760" ht="12.75" customHeight="1">
      <c r="A760" s="30"/>
      <c r="B760" s="30"/>
      <c r="C760" s="30"/>
      <c r="D760" s="30"/>
      <c r="E760" s="30"/>
    </row>
    <row r="761" ht="12.75" customHeight="1">
      <c r="A761" s="30"/>
      <c r="B761" s="30"/>
      <c r="C761" s="30"/>
      <c r="D761" s="30"/>
      <c r="E761" s="30"/>
    </row>
    <row r="762" ht="12.75" customHeight="1">
      <c r="A762" s="30"/>
      <c r="B762" s="30"/>
      <c r="C762" s="30"/>
      <c r="D762" s="30"/>
      <c r="E762" s="30"/>
    </row>
    <row r="763" ht="12.75" customHeight="1">
      <c r="A763" s="30"/>
      <c r="B763" s="30"/>
      <c r="C763" s="30"/>
      <c r="D763" s="30"/>
      <c r="E763" s="30"/>
    </row>
    <row r="764" ht="12.75" customHeight="1">
      <c r="A764" s="30"/>
      <c r="B764" s="30"/>
      <c r="C764" s="30"/>
      <c r="D764" s="30"/>
      <c r="E764" s="30"/>
    </row>
    <row r="765" ht="12.75" customHeight="1">
      <c r="A765" s="30"/>
      <c r="B765" s="30"/>
      <c r="C765" s="30"/>
      <c r="D765" s="30"/>
      <c r="E765" s="30"/>
    </row>
    <row r="766" ht="12.75" customHeight="1">
      <c r="A766" s="30"/>
      <c r="B766" s="30"/>
      <c r="C766" s="30"/>
      <c r="D766" s="30"/>
      <c r="E766" s="30"/>
    </row>
    <row r="767" ht="12.75" customHeight="1">
      <c r="A767" s="30"/>
      <c r="B767" s="30"/>
      <c r="C767" s="30"/>
      <c r="D767" s="30"/>
      <c r="E767" s="30"/>
    </row>
    <row r="768" ht="12.75" customHeight="1">
      <c r="A768" s="30"/>
      <c r="B768" s="30"/>
      <c r="C768" s="30"/>
      <c r="D768" s="30"/>
      <c r="E768" s="30"/>
    </row>
    <row r="769" ht="12.75" customHeight="1">
      <c r="A769" s="30"/>
      <c r="B769" s="30"/>
      <c r="C769" s="30"/>
      <c r="D769" s="30"/>
      <c r="E769" s="30"/>
    </row>
    <row r="770" ht="12.75" customHeight="1">
      <c r="A770" s="30"/>
      <c r="B770" s="30"/>
      <c r="C770" s="30"/>
      <c r="D770" s="30"/>
      <c r="E770" s="30"/>
    </row>
    <row r="771" ht="12.75" customHeight="1">
      <c r="A771" s="30"/>
      <c r="B771" s="30"/>
      <c r="C771" s="30"/>
      <c r="D771" s="30"/>
      <c r="E771" s="30"/>
    </row>
    <row r="772" ht="12.75" customHeight="1">
      <c r="A772" s="30"/>
      <c r="B772" s="30"/>
      <c r="C772" s="30"/>
      <c r="D772" s="30"/>
      <c r="E772" s="30"/>
    </row>
    <row r="773" ht="12.75" customHeight="1">
      <c r="A773" s="30"/>
      <c r="B773" s="30"/>
      <c r="C773" s="30"/>
      <c r="D773" s="30"/>
      <c r="E773" s="30"/>
    </row>
    <row r="774" ht="12.75" customHeight="1">
      <c r="A774" s="30"/>
      <c r="B774" s="30"/>
      <c r="C774" s="30"/>
      <c r="D774" s="30"/>
      <c r="E774" s="30"/>
    </row>
    <row r="775" ht="12.75" customHeight="1">
      <c r="A775" s="30"/>
      <c r="B775" s="30"/>
      <c r="C775" s="30"/>
      <c r="D775" s="30"/>
      <c r="E775" s="30"/>
    </row>
    <row r="776" ht="12.75" customHeight="1">
      <c r="A776" s="30"/>
      <c r="B776" s="30"/>
      <c r="C776" s="30"/>
      <c r="D776" s="30"/>
      <c r="E776" s="30"/>
    </row>
    <row r="777" ht="12.75" customHeight="1">
      <c r="A777" s="30"/>
      <c r="B777" s="30"/>
      <c r="C777" s="30"/>
      <c r="D777" s="30"/>
      <c r="E777" s="30"/>
    </row>
    <row r="778" ht="12.75" customHeight="1">
      <c r="A778" s="30"/>
      <c r="B778" s="30"/>
      <c r="C778" s="30"/>
      <c r="D778" s="30"/>
      <c r="E778" s="30"/>
    </row>
    <row r="779" ht="12.75" customHeight="1">
      <c r="A779" s="30"/>
      <c r="B779" s="30"/>
      <c r="C779" s="30"/>
      <c r="D779" s="30"/>
      <c r="E779" s="30"/>
    </row>
    <row r="780" ht="12.75" customHeight="1">
      <c r="A780" s="30"/>
      <c r="B780" s="30"/>
      <c r="C780" s="30"/>
      <c r="D780" s="30"/>
      <c r="E780" s="30"/>
    </row>
    <row r="781" ht="12.75" customHeight="1">
      <c r="A781" s="30"/>
      <c r="B781" s="30"/>
      <c r="C781" s="30"/>
      <c r="D781" s="30"/>
      <c r="E781" s="30"/>
    </row>
    <row r="782" ht="12.75" customHeight="1">
      <c r="A782" s="30"/>
      <c r="B782" s="30"/>
      <c r="C782" s="30"/>
      <c r="D782" s="30"/>
      <c r="E782" s="30"/>
    </row>
    <row r="783" ht="12.75" customHeight="1">
      <c r="A783" s="30"/>
      <c r="B783" s="30"/>
      <c r="C783" s="30"/>
      <c r="D783" s="30"/>
      <c r="E783" s="30"/>
    </row>
    <row r="784" ht="12.75" customHeight="1">
      <c r="A784" s="30"/>
      <c r="B784" s="30"/>
      <c r="C784" s="30"/>
      <c r="D784" s="30"/>
      <c r="E784" s="30"/>
    </row>
    <row r="785" ht="12.75" customHeight="1">
      <c r="A785" s="30"/>
      <c r="B785" s="30"/>
      <c r="C785" s="30"/>
      <c r="D785" s="30"/>
      <c r="E785" s="30"/>
    </row>
    <row r="786" ht="12.75" customHeight="1">
      <c r="A786" s="30"/>
      <c r="B786" s="30"/>
      <c r="C786" s="30"/>
      <c r="D786" s="30"/>
      <c r="E786" s="30"/>
    </row>
    <row r="787" ht="12.75" customHeight="1">
      <c r="A787" s="30"/>
      <c r="B787" s="30"/>
      <c r="C787" s="30"/>
      <c r="D787" s="30"/>
      <c r="E787" s="30"/>
    </row>
    <row r="788" ht="12.75" customHeight="1">
      <c r="A788" s="30"/>
      <c r="B788" s="30"/>
      <c r="C788" s="30"/>
      <c r="D788" s="30"/>
      <c r="E788" s="30"/>
    </row>
    <row r="789" ht="12.75" customHeight="1">
      <c r="A789" s="30"/>
      <c r="B789" s="30"/>
      <c r="C789" s="30"/>
      <c r="D789" s="30"/>
      <c r="E789" s="30"/>
    </row>
    <row r="790" ht="12.75" customHeight="1">
      <c r="A790" s="30"/>
      <c r="B790" s="30"/>
      <c r="C790" s="30"/>
      <c r="D790" s="30"/>
      <c r="E790" s="30"/>
    </row>
    <row r="791" ht="12.75" customHeight="1">
      <c r="A791" s="30"/>
      <c r="B791" s="30"/>
      <c r="C791" s="30"/>
      <c r="D791" s="30"/>
      <c r="E791" s="30"/>
    </row>
    <row r="792" ht="12.75" customHeight="1">
      <c r="A792" s="30"/>
      <c r="B792" s="30"/>
      <c r="C792" s="30"/>
      <c r="D792" s="30"/>
      <c r="E792" s="30"/>
    </row>
    <row r="793" ht="12.75" customHeight="1">
      <c r="A793" s="30"/>
      <c r="B793" s="30"/>
      <c r="C793" s="30"/>
      <c r="D793" s="30"/>
      <c r="E793" s="30"/>
    </row>
    <row r="794" ht="12.75" customHeight="1">
      <c r="A794" s="30"/>
      <c r="B794" s="30"/>
      <c r="C794" s="30"/>
      <c r="D794" s="30"/>
      <c r="E794" s="30"/>
    </row>
    <row r="795" ht="12.75" customHeight="1">
      <c r="A795" s="30"/>
      <c r="B795" s="30"/>
      <c r="C795" s="30"/>
      <c r="D795" s="30"/>
      <c r="E795" s="30"/>
    </row>
    <row r="796" ht="12.75" customHeight="1">
      <c r="A796" s="30"/>
      <c r="B796" s="30"/>
      <c r="C796" s="30"/>
      <c r="D796" s="30"/>
      <c r="E796" s="30"/>
    </row>
    <row r="797" ht="12.75" customHeight="1">
      <c r="A797" s="30"/>
      <c r="B797" s="30"/>
      <c r="C797" s="30"/>
      <c r="D797" s="30"/>
      <c r="E797" s="30"/>
    </row>
    <row r="798" ht="12.75" customHeight="1">
      <c r="A798" s="30"/>
      <c r="B798" s="30"/>
      <c r="C798" s="30"/>
      <c r="D798" s="30"/>
      <c r="E798" s="30"/>
    </row>
    <row r="799" ht="12.75" customHeight="1">
      <c r="A799" s="30"/>
      <c r="B799" s="30"/>
      <c r="C799" s="30"/>
      <c r="D799" s="30"/>
      <c r="E799" s="30"/>
    </row>
    <row r="800" ht="12.75" customHeight="1">
      <c r="A800" s="30"/>
      <c r="B800" s="30"/>
      <c r="C800" s="30"/>
      <c r="D800" s="30"/>
      <c r="E800" s="30"/>
    </row>
    <row r="801" ht="12.75" customHeight="1">
      <c r="A801" s="30"/>
      <c r="B801" s="30"/>
      <c r="C801" s="30"/>
      <c r="D801" s="30"/>
      <c r="E801" s="30"/>
    </row>
    <row r="802" ht="12.75" customHeight="1">
      <c r="A802" s="30"/>
      <c r="B802" s="30"/>
      <c r="C802" s="30"/>
      <c r="D802" s="30"/>
      <c r="E802" s="30"/>
    </row>
    <row r="803" ht="12.75" customHeight="1">
      <c r="A803" s="30"/>
      <c r="B803" s="30"/>
      <c r="C803" s="30"/>
      <c r="D803" s="30"/>
      <c r="E803" s="30"/>
    </row>
    <row r="804" ht="12.75" customHeight="1">
      <c r="A804" s="30"/>
      <c r="B804" s="30"/>
      <c r="C804" s="30"/>
      <c r="D804" s="30"/>
      <c r="E804" s="30"/>
    </row>
    <row r="805" ht="12.75" customHeight="1">
      <c r="A805" s="30"/>
      <c r="B805" s="30"/>
      <c r="C805" s="30"/>
      <c r="D805" s="30"/>
      <c r="E805" s="30"/>
    </row>
    <row r="806" ht="12.75" customHeight="1">
      <c r="A806" s="30"/>
      <c r="B806" s="30"/>
      <c r="C806" s="30"/>
      <c r="D806" s="30"/>
      <c r="E806" s="30"/>
    </row>
    <row r="807" ht="12.75" customHeight="1">
      <c r="A807" s="30"/>
      <c r="B807" s="30"/>
      <c r="C807" s="30"/>
      <c r="D807" s="30"/>
      <c r="E807" s="30"/>
    </row>
    <row r="808" ht="12.75" customHeight="1">
      <c r="A808" s="30"/>
      <c r="B808" s="30"/>
      <c r="C808" s="30"/>
      <c r="D808" s="30"/>
      <c r="E808" s="30"/>
    </row>
    <row r="809" ht="12.75" customHeight="1">
      <c r="A809" s="30"/>
      <c r="B809" s="30"/>
      <c r="C809" s="30"/>
      <c r="D809" s="30"/>
      <c r="E809" s="30"/>
    </row>
    <row r="810" ht="12.75" customHeight="1">
      <c r="A810" s="30"/>
      <c r="B810" s="30"/>
      <c r="C810" s="30"/>
      <c r="D810" s="30"/>
      <c r="E810" s="30"/>
    </row>
    <row r="811" ht="12.75" customHeight="1">
      <c r="A811" s="30"/>
      <c r="B811" s="30"/>
      <c r="C811" s="30"/>
      <c r="D811" s="30"/>
      <c r="E811" s="30"/>
    </row>
    <row r="812" ht="12.75" customHeight="1">
      <c r="A812" s="30"/>
      <c r="B812" s="30"/>
      <c r="C812" s="30"/>
      <c r="D812" s="30"/>
      <c r="E812" s="30"/>
    </row>
    <row r="813" ht="12.75" customHeight="1">
      <c r="A813" s="30"/>
      <c r="B813" s="30"/>
      <c r="C813" s="30"/>
      <c r="D813" s="30"/>
      <c r="E813" s="30"/>
    </row>
    <row r="814" ht="12.75" customHeight="1">
      <c r="A814" s="30"/>
      <c r="B814" s="30"/>
      <c r="C814" s="30"/>
      <c r="D814" s="30"/>
      <c r="E814" s="30"/>
    </row>
    <row r="815" ht="12.75" customHeight="1">
      <c r="A815" s="30"/>
      <c r="B815" s="30"/>
      <c r="C815" s="30"/>
      <c r="D815" s="30"/>
      <c r="E815" s="30"/>
    </row>
    <row r="816" ht="12.75" customHeight="1">
      <c r="A816" s="30"/>
      <c r="B816" s="30"/>
      <c r="C816" s="30"/>
      <c r="D816" s="30"/>
      <c r="E816" s="30"/>
    </row>
    <row r="817" ht="12.75" customHeight="1">
      <c r="A817" s="30"/>
      <c r="B817" s="30"/>
      <c r="C817" s="30"/>
      <c r="D817" s="30"/>
      <c r="E817" s="30"/>
    </row>
    <row r="818" ht="12.75" customHeight="1">
      <c r="A818" s="30"/>
      <c r="B818" s="30"/>
      <c r="C818" s="30"/>
      <c r="D818" s="30"/>
      <c r="E818" s="30"/>
    </row>
    <row r="819" ht="12.75" customHeight="1">
      <c r="A819" s="30"/>
      <c r="B819" s="30"/>
      <c r="C819" s="30"/>
      <c r="D819" s="30"/>
      <c r="E819" s="30"/>
    </row>
    <row r="820" ht="12.75" customHeight="1">
      <c r="A820" s="30"/>
      <c r="B820" s="30"/>
      <c r="C820" s="30"/>
      <c r="D820" s="30"/>
      <c r="E820" s="30"/>
    </row>
    <row r="821" ht="12.75" customHeight="1">
      <c r="A821" s="30"/>
      <c r="B821" s="30"/>
      <c r="C821" s="30"/>
      <c r="D821" s="30"/>
      <c r="E821" s="30"/>
    </row>
    <row r="822" ht="12.75" customHeight="1">
      <c r="A822" s="30"/>
      <c r="B822" s="30"/>
      <c r="C822" s="30"/>
      <c r="D822" s="30"/>
      <c r="E822" s="30"/>
    </row>
    <row r="823" ht="12.75" customHeight="1">
      <c r="A823" s="30"/>
      <c r="B823" s="30"/>
      <c r="C823" s="30"/>
      <c r="D823" s="30"/>
      <c r="E823" s="30"/>
    </row>
    <row r="824" ht="12.75" customHeight="1">
      <c r="A824" s="30"/>
      <c r="B824" s="30"/>
      <c r="C824" s="30"/>
      <c r="D824" s="30"/>
      <c r="E824" s="30"/>
    </row>
    <row r="825" ht="12.75" customHeight="1">
      <c r="A825" s="30"/>
      <c r="B825" s="30"/>
      <c r="C825" s="30"/>
      <c r="D825" s="30"/>
      <c r="E825" s="30"/>
    </row>
    <row r="826" ht="12.75" customHeight="1">
      <c r="A826" s="30"/>
      <c r="B826" s="30"/>
      <c r="C826" s="30"/>
      <c r="D826" s="30"/>
      <c r="E826" s="30"/>
    </row>
    <row r="827" ht="12.75" customHeight="1">
      <c r="A827" s="30"/>
      <c r="B827" s="30"/>
      <c r="C827" s="30"/>
      <c r="D827" s="30"/>
      <c r="E827" s="30"/>
    </row>
    <row r="828" ht="12.75" customHeight="1">
      <c r="A828" s="30"/>
      <c r="B828" s="30"/>
      <c r="C828" s="30"/>
      <c r="D828" s="30"/>
      <c r="E828" s="30"/>
    </row>
    <row r="829" ht="12.75" customHeight="1">
      <c r="A829" s="30"/>
      <c r="B829" s="30"/>
      <c r="C829" s="30"/>
      <c r="D829" s="30"/>
      <c r="E829" s="30"/>
    </row>
    <row r="830" ht="12.75" customHeight="1">
      <c r="A830" s="30"/>
      <c r="B830" s="30"/>
      <c r="C830" s="30"/>
      <c r="D830" s="30"/>
      <c r="E830" s="30"/>
    </row>
    <row r="831" ht="12.75" customHeight="1">
      <c r="A831" s="30"/>
      <c r="B831" s="30"/>
      <c r="C831" s="30"/>
      <c r="D831" s="30"/>
      <c r="E831" s="30"/>
    </row>
    <row r="832" ht="12.75" customHeight="1">
      <c r="A832" s="30"/>
      <c r="B832" s="30"/>
      <c r="C832" s="30"/>
      <c r="D832" s="30"/>
      <c r="E832" s="30"/>
    </row>
    <row r="833" ht="12.75" customHeight="1">
      <c r="A833" s="30"/>
      <c r="B833" s="30"/>
      <c r="C833" s="30"/>
      <c r="D833" s="30"/>
      <c r="E833" s="30"/>
    </row>
    <row r="834" ht="12.75" customHeight="1">
      <c r="A834" s="30"/>
      <c r="B834" s="30"/>
      <c r="C834" s="30"/>
      <c r="D834" s="30"/>
      <c r="E834" s="30"/>
    </row>
    <row r="835" ht="12.75" customHeight="1">
      <c r="A835" s="30"/>
      <c r="B835" s="30"/>
      <c r="C835" s="30"/>
      <c r="D835" s="30"/>
      <c r="E835" s="30"/>
    </row>
    <row r="836" ht="12.75" customHeight="1">
      <c r="A836" s="30"/>
      <c r="B836" s="30"/>
      <c r="C836" s="30"/>
      <c r="D836" s="30"/>
      <c r="E836" s="30"/>
    </row>
    <row r="837" ht="12.75" customHeight="1">
      <c r="A837" s="30"/>
      <c r="B837" s="30"/>
      <c r="C837" s="30"/>
      <c r="D837" s="30"/>
      <c r="E837" s="30"/>
    </row>
    <row r="838" ht="12.75" customHeight="1">
      <c r="A838" s="30"/>
      <c r="B838" s="30"/>
      <c r="C838" s="30"/>
      <c r="D838" s="30"/>
      <c r="E838" s="30"/>
    </row>
    <row r="839" ht="12.75" customHeight="1">
      <c r="A839" s="30"/>
      <c r="B839" s="30"/>
      <c r="C839" s="30"/>
      <c r="D839" s="30"/>
      <c r="E839" s="30"/>
    </row>
    <row r="840" ht="12.75" customHeight="1">
      <c r="A840" s="30"/>
      <c r="B840" s="30"/>
      <c r="C840" s="30"/>
      <c r="D840" s="30"/>
      <c r="E840" s="30"/>
    </row>
    <row r="841" ht="12.75" customHeight="1">
      <c r="A841" s="30"/>
      <c r="B841" s="30"/>
      <c r="C841" s="30"/>
      <c r="D841" s="30"/>
      <c r="E841" s="30"/>
    </row>
    <row r="842" ht="12.75" customHeight="1">
      <c r="A842" s="30"/>
      <c r="B842" s="30"/>
      <c r="C842" s="30"/>
      <c r="D842" s="30"/>
      <c r="E842" s="30"/>
    </row>
    <row r="843" ht="12.75" customHeight="1">
      <c r="A843" s="30"/>
      <c r="B843" s="30"/>
      <c r="C843" s="30"/>
      <c r="D843" s="30"/>
      <c r="E843" s="30"/>
    </row>
    <row r="844" ht="12.75" customHeight="1">
      <c r="A844" s="30"/>
      <c r="B844" s="30"/>
      <c r="C844" s="30"/>
      <c r="D844" s="30"/>
      <c r="E844" s="30"/>
    </row>
    <row r="845" ht="12.75" customHeight="1">
      <c r="A845" s="30"/>
      <c r="B845" s="30"/>
      <c r="C845" s="30"/>
      <c r="D845" s="30"/>
      <c r="E845" s="30"/>
    </row>
    <row r="846" ht="12.75" customHeight="1">
      <c r="A846" s="30"/>
      <c r="B846" s="30"/>
      <c r="C846" s="30"/>
      <c r="D846" s="30"/>
      <c r="E846" s="30"/>
    </row>
    <row r="847" ht="12.75" customHeight="1">
      <c r="A847" s="30"/>
      <c r="B847" s="30"/>
      <c r="C847" s="30"/>
      <c r="D847" s="30"/>
      <c r="E847" s="30"/>
    </row>
    <row r="848" ht="12.75" customHeight="1">
      <c r="A848" s="30"/>
      <c r="B848" s="30"/>
      <c r="C848" s="30"/>
      <c r="D848" s="30"/>
      <c r="E848" s="30"/>
    </row>
    <row r="849" ht="12.75" customHeight="1">
      <c r="A849" s="30"/>
      <c r="B849" s="30"/>
      <c r="C849" s="30"/>
      <c r="D849" s="30"/>
      <c r="E849" s="30"/>
    </row>
    <row r="850" ht="12.75" customHeight="1">
      <c r="A850" s="30"/>
      <c r="B850" s="30"/>
      <c r="C850" s="30"/>
      <c r="D850" s="30"/>
      <c r="E850" s="30"/>
    </row>
    <row r="851" ht="12.75" customHeight="1">
      <c r="A851" s="30"/>
      <c r="B851" s="30"/>
      <c r="C851" s="30"/>
      <c r="D851" s="30"/>
      <c r="E851" s="30"/>
    </row>
    <row r="852" ht="12.75" customHeight="1">
      <c r="A852" s="30"/>
      <c r="B852" s="30"/>
      <c r="C852" s="30"/>
      <c r="D852" s="30"/>
      <c r="E852" s="30"/>
    </row>
    <row r="853" ht="12.75" customHeight="1">
      <c r="A853" s="30"/>
      <c r="B853" s="30"/>
      <c r="C853" s="30"/>
      <c r="D853" s="30"/>
      <c r="E853" s="30"/>
    </row>
    <row r="854" ht="12.75" customHeight="1">
      <c r="A854" s="30"/>
      <c r="B854" s="30"/>
      <c r="C854" s="30"/>
      <c r="D854" s="30"/>
      <c r="E854" s="30"/>
    </row>
    <row r="855" ht="12.75" customHeight="1">
      <c r="A855" s="30"/>
      <c r="B855" s="30"/>
      <c r="C855" s="30"/>
      <c r="D855" s="30"/>
      <c r="E855" s="30"/>
    </row>
    <row r="856" ht="12.75" customHeight="1">
      <c r="A856" s="30"/>
      <c r="B856" s="30"/>
      <c r="C856" s="30"/>
      <c r="D856" s="30"/>
      <c r="E856" s="30"/>
    </row>
    <row r="857" ht="12.75" customHeight="1">
      <c r="A857" s="30"/>
      <c r="B857" s="30"/>
      <c r="C857" s="30"/>
      <c r="D857" s="30"/>
      <c r="E857" s="30"/>
    </row>
    <row r="858" ht="12.75" customHeight="1">
      <c r="A858" s="30"/>
      <c r="B858" s="30"/>
      <c r="C858" s="30"/>
      <c r="D858" s="30"/>
      <c r="E858" s="30"/>
    </row>
    <row r="859" ht="12.75" customHeight="1">
      <c r="A859" s="30"/>
      <c r="B859" s="30"/>
      <c r="C859" s="30"/>
      <c r="D859" s="30"/>
      <c r="E859" s="30"/>
    </row>
    <row r="860" ht="12.75" customHeight="1">
      <c r="A860" s="30"/>
      <c r="B860" s="30"/>
      <c r="C860" s="30"/>
      <c r="D860" s="30"/>
      <c r="E860" s="30"/>
    </row>
    <row r="861" ht="12.75" customHeight="1">
      <c r="A861" s="30"/>
      <c r="B861" s="30"/>
      <c r="C861" s="30"/>
      <c r="D861" s="30"/>
      <c r="E861" s="30"/>
    </row>
    <row r="862" ht="12.75" customHeight="1">
      <c r="A862" s="30"/>
      <c r="B862" s="30"/>
      <c r="C862" s="30"/>
      <c r="D862" s="30"/>
      <c r="E862" s="30"/>
    </row>
    <row r="863" ht="12.75" customHeight="1">
      <c r="A863" s="30"/>
      <c r="B863" s="30"/>
      <c r="C863" s="30"/>
      <c r="D863" s="30"/>
      <c r="E863" s="30"/>
    </row>
    <row r="864" ht="12.75" customHeight="1">
      <c r="A864" s="30"/>
      <c r="B864" s="30"/>
      <c r="C864" s="30"/>
      <c r="D864" s="30"/>
      <c r="E864" s="30"/>
    </row>
    <row r="865" ht="12.75" customHeight="1">
      <c r="A865" s="30"/>
      <c r="B865" s="30"/>
      <c r="C865" s="30"/>
      <c r="D865" s="30"/>
      <c r="E865" s="30"/>
    </row>
    <row r="866" ht="12.75" customHeight="1">
      <c r="A866" s="30"/>
      <c r="B866" s="30"/>
      <c r="C866" s="30"/>
      <c r="D866" s="30"/>
      <c r="E866" s="30"/>
    </row>
    <row r="867" ht="12.75" customHeight="1">
      <c r="A867" s="30"/>
      <c r="B867" s="30"/>
      <c r="C867" s="30"/>
      <c r="D867" s="30"/>
      <c r="E867" s="30"/>
    </row>
    <row r="868" ht="12.75" customHeight="1">
      <c r="A868" s="30"/>
      <c r="B868" s="30"/>
      <c r="C868" s="30"/>
      <c r="D868" s="30"/>
      <c r="E868" s="30"/>
    </row>
    <row r="869" ht="12.75" customHeight="1">
      <c r="A869" s="30"/>
      <c r="B869" s="30"/>
      <c r="C869" s="30"/>
      <c r="D869" s="30"/>
      <c r="E869" s="30"/>
    </row>
    <row r="870" ht="12.75" customHeight="1">
      <c r="A870" s="30"/>
      <c r="B870" s="30"/>
      <c r="C870" s="30"/>
      <c r="D870" s="30"/>
      <c r="E870" s="30"/>
    </row>
    <row r="871" ht="12.75" customHeight="1">
      <c r="A871" s="30"/>
      <c r="B871" s="30"/>
      <c r="C871" s="30"/>
      <c r="D871" s="30"/>
      <c r="E871" s="30"/>
    </row>
    <row r="872" ht="12.75" customHeight="1">
      <c r="A872" s="30"/>
      <c r="B872" s="30"/>
      <c r="C872" s="30"/>
      <c r="D872" s="30"/>
      <c r="E872" s="30"/>
    </row>
    <row r="873" ht="12.75" customHeight="1">
      <c r="A873" s="30"/>
      <c r="B873" s="30"/>
      <c r="C873" s="30"/>
      <c r="D873" s="30"/>
      <c r="E873" s="30"/>
    </row>
    <row r="874" ht="12.75" customHeight="1">
      <c r="A874" s="30"/>
      <c r="B874" s="30"/>
      <c r="C874" s="30"/>
      <c r="D874" s="30"/>
      <c r="E874" s="30"/>
    </row>
    <row r="875" ht="12.75" customHeight="1">
      <c r="A875" s="30"/>
      <c r="B875" s="30"/>
      <c r="C875" s="30"/>
      <c r="D875" s="30"/>
      <c r="E875" s="30"/>
    </row>
    <row r="876" ht="12.75" customHeight="1">
      <c r="A876" s="30"/>
      <c r="B876" s="30"/>
      <c r="C876" s="30"/>
      <c r="D876" s="30"/>
      <c r="E876" s="30"/>
    </row>
    <row r="877" ht="12.75" customHeight="1">
      <c r="A877" s="30"/>
      <c r="B877" s="30"/>
      <c r="C877" s="30"/>
      <c r="D877" s="30"/>
      <c r="E877" s="30"/>
    </row>
    <row r="878" ht="12.75" customHeight="1">
      <c r="A878" s="30"/>
      <c r="B878" s="30"/>
      <c r="C878" s="30"/>
      <c r="D878" s="30"/>
      <c r="E878" s="30"/>
    </row>
    <row r="879" ht="12.75" customHeight="1">
      <c r="A879" s="30"/>
      <c r="B879" s="30"/>
      <c r="C879" s="30"/>
      <c r="D879" s="30"/>
      <c r="E879" s="30"/>
    </row>
    <row r="880" ht="12.75" customHeight="1">
      <c r="A880" s="30"/>
      <c r="B880" s="30"/>
      <c r="C880" s="30"/>
      <c r="D880" s="30"/>
      <c r="E880" s="30"/>
    </row>
    <row r="881" ht="12.75" customHeight="1">
      <c r="A881" s="30"/>
      <c r="B881" s="30"/>
      <c r="C881" s="30"/>
      <c r="D881" s="30"/>
      <c r="E881" s="30"/>
    </row>
    <row r="882" ht="12.75" customHeight="1">
      <c r="A882" s="30"/>
      <c r="B882" s="30"/>
      <c r="C882" s="30"/>
      <c r="D882" s="30"/>
      <c r="E882" s="30"/>
    </row>
    <row r="883" ht="12.75" customHeight="1">
      <c r="A883" s="30"/>
      <c r="B883" s="30"/>
      <c r="C883" s="30"/>
      <c r="D883" s="30"/>
      <c r="E883" s="30"/>
    </row>
    <row r="884" ht="12.75" customHeight="1">
      <c r="A884" s="30"/>
      <c r="B884" s="30"/>
      <c r="C884" s="30"/>
      <c r="D884" s="30"/>
      <c r="E884" s="30"/>
    </row>
    <row r="885" ht="12.75" customHeight="1">
      <c r="A885" s="30"/>
      <c r="B885" s="30"/>
      <c r="C885" s="30"/>
      <c r="D885" s="30"/>
      <c r="E885" s="30"/>
    </row>
    <row r="886" ht="12.75" customHeight="1">
      <c r="A886" s="30"/>
      <c r="B886" s="30"/>
      <c r="C886" s="30"/>
      <c r="D886" s="30"/>
      <c r="E886" s="30"/>
    </row>
    <row r="887" ht="12.75" customHeight="1">
      <c r="A887" s="30"/>
      <c r="B887" s="30"/>
      <c r="C887" s="30"/>
      <c r="D887" s="30"/>
      <c r="E887" s="30"/>
    </row>
    <row r="888" ht="12.75" customHeight="1">
      <c r="A888" s="30"/>
      <c r="B888" s="30"/>
      <c r="C888" s="30"/>
      <c r="D888" s="30"/>
      <c r="E888" s="30"/>
    </row>
    <row r="889" ht="12.75" customHeight="1">
      <c r="A889" s="30"/>
      <c r="B889" s="30"/>
      <c r="C889" s="30"/>
      <c r="D889" s="30"/>
      <c r="E889" s="30"/>
    </row>
    <row r="890" ht="12.75" customHeight="1">
      <c r="A890" s="30"/>
      <c r="B890" s="30"/>
      <c r="C890" s="30"/>
      <c r="D890" s="30"/>
      <c r="E890" s="30"/>
    </row>
    <row r="891" ht="12.75" customHeight="1">
      <c r="A891" s="30"/>
      <c r="B891" s="30"/>
      <c r="C891" s="30"/>
      <c r="D891" s="30"/>
      <c r="E891" s="30"/>
    </row>
    <row r="892" ht="12.75" customHeight="1">
      <c r="A892" s="30"/>
      <c r="B892" s="30"/>
      <c r="C892" s="30"/>
      <c r="D892" s="30"/>
      <c r="E892" s="30"/>
    </row>
    <row r="893" ht="12.75" customHeight="1">
      <c r="A893" s="30"/>
      <c r="B893" s="30"/>
      <c r="C893" s="30"/>
      <c r="D893" s="30"/>
      <c r="E893" s="30"/>
    </row>
    <row r="894" ht="12.75" customHeight="1">
      <c r="A894" s="30"/>
      <c r="B894" s="30"/>
      <c r="C894" s="30"/>
      <c r="D894" s="30"/>
      <c r="E894" s="30"/>
    </row>
    <row r="895" ht="12.75" customHeight="1">
      <c r="A895" s="30"/>
      <c r="B895" s="30"/>
      <c r="C895" s="30"/>
      <c r="D895" s="30"/>
      <c r="E895" s="30"/>
    </row>
    <row r="896" ht="12.75" customHeight="1">
      <c r="A896" s="30"/>
      <c r="B896" s="30"/>
      <c r="C896" s="30"/>
      <c r="D896" s="30"/>
      <c r="E896" s="30"/>
    </row>
    <row r="897" ht="12.75" customHeight="1">
      <c r="A897" s="30"/>
      <c r="B897" s="30"/>
      <c r="C897" s="30"/>
      <c r="D897" s="30"/>
      <c r="E897" s="30"/>
    </row>
    <row r="898" ht="12.75" customHeight="1">
      <c r="A898" s="30"/>
      <c r="B898" s="30"/>
      <c r="C898" s="30"/>
      <c r="D898" s="30"/>
      <c r="E898" s="30"/>
    </row>
    <row r="899" ht="12.75" customHeight="1">
      <c r="A899" s="30"/>
      <c r="B899" s="30"/>
      <c r="C899" s="30"/>
      <c r="D899" s="30"/>
      <c r="E899" s="30"/>
    </row>
    <row r="900" ht="12.75" customHeight="1">
      <c r="A900" s="30"/>
      <c r="B900" s="30"/>
      <c r="C900" s="30"/>
      <c r="D900" s="30"/>
      <c r="E900" s="30"/>
    </row>
    <row r="901" ht="12.75" customHeight="1">
      <c r="A901" s="30"/>
      <c r="B901" s="30"/>
      <c r="C901" s="30"/>
      <c r="D901" s="30"/>
      <c r="E901" s="30"/>
    </row>
    <row r="902" ht="12.75" customHeight="1">
      <c r="A902" s="30"/>
      <c r="B902" s="30"/>
      <c r="C902" s="30"/>
      <c r="D902" s="30"/>
      <c r="E902" s="30"/>
    </row>
    <row r="903" ht="12.75" customHeight="1">
      <c r="A903" s="30"/>
      <c r="B903" s="30"/>
      <c r="C903" s="30"/>
      <c r="D903" s="30"/>
      <c r="E903" s="30"/>
    </row>
    <row r="904" ht="12.75" customHeight="1">
      <c r="A904" s="30"/>
      <c r="B904" s="30"/>
      <c r="C904" s="30"/>
      <c r="D904" s="30"/>
      <c r="E904" s="30"/>
    </row>
    <row r="905" ht="12.75" customHeight="1">
      <c r="A905" s="30"/>
      <c r="B905" s="30"/>
      <c r="C905" s="30"/>
      <c r="D905" s="30"/>
      <c r="E905" s="30"/>
    </row>
    <row r="906" ht="12.75" customHeight="1">
      <c r="A906" s="30"/>
      <c r="B906" s="30"/>
      <c r="C906" s="30"/>
      <c r="D906" s="30"/>
      <c r="E906" s="30"/>
    </row>
    <row r="907" ht="12.75" customHeight="1">
      <c r="A907" s="30"/>
      <c r="B907" s="30"/>
      <c r="C907" s="30"/>
      <c r="D907" s="30"/>
      <c r="E907" s="30"/>
    </row>
    <row r="908" ht="12.75" customHeight="1">
      <c r="A908" s="30"/>
      <c r="B908" s="30"/>
      <c r="C908" s="30"/>
      <c r="D908" s="30"/>
      <c r="E908" s="30"/>
    </row>
    <row r="909" ht="12.75" customHeight="1">
      <c r="A909" s="30"/>
      <c r="B909" s="30"/>
      <c r="C909" s="30"/>
      <c r="D909" s="30"/>
      <c r="E909" s="30"/>
    </row>
    <row r="910" ht="12.75" customHeight="1">
      <c r="A910" s="30"/>
      <c r="B910" s="30"/>
      <c r="C910" s="30"/>
      <c r="D910" s="30"/>
      <c r="E910" s="30"/>
    </row>
    <row r="911" ht="12.75" customHeight="1">
      <c r="A911" s="30"/>
      <c r="B911" s="30"/>
      <c r="C911" s="30"/>
      <c r="D911" s="30"/>
      <c r="E911" s="30"/>
    </row>
    <row r="912" ht="12.75" customHeight="1">
      <c r="A912" s="30"/>
      <c r="B912" s="30"/>
      <c r="C912" s="30"/>
      <c r="D912" s="30"/>
      <c r="E912" s="30"/>
    </row>
    <row r="913" ht="12.75" customHeight="1">
      <c r="A913" s="30"/>
      <c r="B913" s="30"/>
      <c r="C913" s="30"/>
      <c r="D913" s="30"/>
      <c r="E913" s="30"/>
    </row>
    <row r="914" ht="12.75" customHeight="1">
      <c r="A914" s="30"/>
      <c r="B914" s="30"/>
      <c r="C914" s="30"/>
      <c r="D914" s="30"/>
      <c r="E914" s="30"/>
    </row>
    <row r="915" ht="12.75" customHeight="1">
      <c r="A915" s="30"/>
      <c r="B915" s="30"/>
      <c r="C915" s="30"/>
      <c r="D915" s="30"/>
      <c r="E915" s="30"/>
    </row>
    <row r="916" ht="12.75" customHeight="1">
      <c r="A916" s="30"/>
      <c r="B916" s="30"/>
      <c r="C916" s="30"/>
      <c r="D916" s="30"/>
      <c r="E916" s="30"/>
    </row>
    <row r="917" ht="12.75" customHeight="1">
      <c r="A917" s="30"/>
      <c r="B917" s="30"/>
      <c r="C917" s="30"/>
      <c r="D917" s="30"/>
      <c r="E917" s="30"/>
    </row>
    <row r="918" ht="12.75" customHeight="1">
      <c r="A918" s="30"/>
      <c r="B918" s="30"/>
      <c r="C918" s="30"/>
      <c r="D918" s="30"/>
      <c r="E918" s="30"/>
    </row>
    <row r="919" ht="12.75" customHeight="1">
      <c r="A919" s="30"/>
      <c r="B919" s="30"/>
      <c r="C919" s="30"/>
      <c r="D919" s="30"/>
      <c r="E919" s="30"/>
    </row>
    <row r="920" ht="12.75" customHeight="1">
      <c r="A920" s="30"/>
      <c r="B920" s="30"/>
      <c r="C920" s="30"/>
      <c r="D920" s="30"/>
      <c r="E920" s="30"/>
    </row>
    <row r="921" ht="12.75" customHeight="1">
      <c r="A921" s="30"/>
      <c r="B921" s="30"/>
      <c r="C921" s="30"/>
      <c r="D921" s="30"/>
      <c r="E921" s="30"/>
    </row>
    <row r="922" ht="12.75" customHeight="1">
      <c r="A922" s="30"/>
      <c r="B922" s="30"/>
      <c r="C922" s="30"/>
      <c r="D922" s="30"/>
      <c r="E922" s="30"/>
    </row>
    <row r="923" ht="12.75" customHeight="1">
      <c r="A923" s="30"/>
      <c r="B923" s="30"/>
      <c r="C923" s="30"/>
      <c r="D923" s="30"/>
      <c r="E923" s="30"/>
    </row>
    <row r="924" ht="12.75" customHeight="1">
      <c r="A924" s="30"/>
      <c r="B924" s="30"/>
      <c r="C924" s="30"/>
      <c r="D924" s="30"/>
      <c r="E924" s="30"/>
    </row>
    <row r="925" ht="12.75" customHeight="1">
      <c r="A925" s="30"/>
      <c r="B925" s="30"/>
      <c r="C925" s="30"/>
      <c r="D925" s="30"/>
      <c r="E925" s="30"/>
    </row>
    <row r="926" ht="12.75" customHeight="1">
      <c r="A926" s="30"/>
      <c r="B926" s="30"/>
      <c r="C926" s="30"/>
      <c r="D926" s="30"/>
      <c r="E926" s="30"/>
    </row>
    <row r="927" ht="12.75" customHeight="1">
      <c r="A927" s="30"/>
      <c r="B927" s="30"/>
      <c r="C927" s="30"/>
      <c r="D927" s="30"/>
      <c r="E927" s="30"/>
    </row>
    <row r="928" ht="12.75" customHeight="1">
      <c r="A928" s="30"/>
      <c r="B928" s="30"/>
      <c r="C928" s="30"/>
      <c r="D928" s="30"/>
      <c r="E928" s="30"/>
    </row>
    <row r="929" ht="12.75" customHeight="1">
      <c r="A929" s="30"/>
      <c r="B929" s="30"/>
      <c r="C929" s="30"/>
      <c r="D929" s="30"/>
      <c r="E929" s="30"/>
    </row>
    <row r="930" ht="12.75" customHeight="1">
      <c r="A930" s="30"/>
      <c r="B930" s="30"/>
      <c r="C930" s="30"/>
      <c r="D930" s="30"/>
      <c r="E930" s="30"/>
    </row>
    <row r="931" ht="12.75" customHeight="1">
      <c r="A931" s="30"/>
      <c r="B931" s="30"/>
      <c r="C931" s="30"/>
      <c r="D931" s="30"/>
      <c r="E931" s="30"/>
    </row>
    <row r="932" ht="12.75" customHeight="1">
      <c r="A932" s="30"/>
      <c r="B932" s="30"/>
      <c r="C932" s="30"/>
      <c r="D932" s="30"/>
      <c r="E932" s="30"/>
    </row>
    <row r="933" ht="12.75" customHeight="1">
      <c r="A933" s="30"/>
      <c r="B933" s="30"/>
      <c r="C933" s="30"/>
      <c r="D933" s="30"/>
      <c r="E933" s="30"/>
    </row>
    <row r="934" ht="12.75" customHeight="1">
      <c r="A934" s="30"/>
      <c r="B934" s="30"/>
      <c r="C934" s="30"/>
      <c r="D934" s="30"/>
      <c r="E934" s="30"/>
    </row>
    <row r="935" ht="12.75" customHeight="1">
      <c r="A935" s="30"/>
      <c r="B935" s="30"/>
      <c r="C935" s="30"/>
      <c r="D935" s="30"/>
      <c r="E935" s="30"/>
    </row>
    <row r="936" ht="12.75" customHeight="1">
      <c r="A936" s="30"/>
      <c r="B936" s="30"/>
      <c r="C936" s="30"/>
      <c r="D936" s="30"/>
      <c r="E936" s="30"/>
    </row>
    <row r="937" ht="12.75" customHeight="1">
      <c r="A937" s="30"/>
      <c r="B937" s="30"/>
      <c r="C937" s="30"/>
      <c r="D937" s="30"/>
      <c r="E937" s="30"/>
    </row>
    <row r="938" ht="12.75" customHeight="1">
      <c r="A938" s="30"/>
      <c r="B938" s="30"/>
      <c r="C938" s="30"/>
      <c r="D938" s="30"/>
      <c r="E938" s="30"/>
    </row>
    <row r="939" ht="12.75" customHeight="1">
      <c r="A939" s="30"/>
      <c r="B939" s="30"/>
      <c r="C939" s="30"/>
      <c r="D939" s="30"/>
      <c r="E939" s="30"/>
    </row>
    <row r="940" ht="12.75" customHeight="1">
      <c r="A940" s="30"/>
      <c r="B940" s="30"/>
      <c r="C940" s="30"/>
      <c r="D940" s="30"/>
      <c r="E940" s="30"/>
    </row>
    <row r="941" ht="12.75" customHeight="1">
      <c r="A941" s="30"/>
      <c r="B941" s="30"/>
      <c r="C941" s="30"/>
      <c r="D941" s="30"/>
      <c r="E941" s="30"/>
    </row>
    <row r="942" ht="12.75" customHeight="1">
      <c r="A942" s="30"/>
      <c r="B942" s="30"/>
      <c r="C942" s="30"/>
      <c r="D942" s="30"/>
      <c r="E942" s="30"/>
    </row>
    <row r="943" ht="12.75" customHeight="1">
      <c r="A943" s="30"/>
      <c r="B943" s="30"/>
      <c r="C943" s="30"/>
      <c r="D943" s="30"/>
      <c r="E943" s="30"/>
    </row>
    <row r="944" ht="12.75" customHeight="1">
      <c r="A944" s="30"/>
      <c r="B944" s="30"/>
      <c r="C944" s="30"/>
      <c r="D944" s="30"/>
      <c r="E944" s="30"/>
    </row>
    <row r="945" ht="12.75" customHeight="1">
      <c r="A945" s="30"/>
      <c r="B945" s="30"/>
      <c r="C945" s="30"/>
      <c r="D945" s="30"/>
      <c r="E945" s="30"/>
    </row>
    <row r="946" ht="12.75" customHeight="1">
      <c r="A946" s="30"/>
      <c r="B946" s="30"/>
      <c r="C946" s="30"/>
      <c r="D946" s="30"/>
      <c r="E946" s="30"/>
    </row>
    <row r="947" ht="12.75" customHeight="1">
      <c r="A947" s="30"/>
      <c r="B947" s="30"/>
      <c r="C947" s="30"/>
      <c r="D947" s="30"/>
      <c r="E947" s="30"/>
    </row>
    <row r="948" ht="12.75" customHeight="1">
      <c r="A948" s="30"/>
      <c r="B948" s="30"/>
      <c r="C948" s="30"/>
      <c r="D948" s="30"/>
      <c r="E948" s="30"/>
    </row>
    <row r="949" ht="12.75" customHeight="1">
      <c r="A949" s="30"/>
      <c r="B949" s="30"/>
      <c r="C949" s="30"/>
      <c r="D949" s="30"/>
      <c r="E949" s="30"/>
    </row>
    <row r="950" ht="12.75" customHeight="1">
      <c r="A950" s="30"/>
      <c r="B950" s="30"/>
      <c r="C950" s="30"/>
      <c r="D950" s="30"/>
      <c r="E950" s="30"/>
    </row>
    <row r="951" ht="12.75" customHeight="1">
      <c r="A951" s="30"/>
      <c r="B951" s="30"/>
      <c r="C951" s="30"/>
      <c r="D951" s="30"/>
      <c r="E951" s="30"/>
    </row>
    <row r="952" ht="12.75" customHeight="1">
      <c r="A952" s="30"/>
      <c r="B952" s="30"/>
      <c r="C952" s="30"/>
      <c r="D952" s="30"/>
      <c r="E952" s="30"/>
    </row>
    <row r="953" ht="12.75" customHeight="1">
      <c r="A953" s="30"/>
      <c r="B953" s="30"/>
      <c r="C953" s="30"/>
      <c r="D953" s="30"/>
      <c r="E953" s="30"/>
    </row>
    <row r="954" ht="12.75" customHeight="1">
      <c r="A954" s="30"/>
      <c r="B954" s="30"/>
      <c r="C954" s="30"/>
      <c r="D954" s="30"/>
      <c r="E954" s="30"/>
    </row>
    <row r="955" ht="12.75" customHeight="1">
      <c r="A955" s="30"/>
      <c r="B955" s="30"/>
      <c r="C955" s="30"/>
      <c r="D955" s="30"/>
      <c r="E955" s="30"/>
    </row>
    <row r="956" ht="12.75" customHeight="1">
      <c r="A956" s="30"/>
      <c r="B956" s="30"/>
      <c r="C956" s="30"/>
      <c r="D956" s="30"/>
      <c r="E956" s="30"/>
    </row>
    <row r="957" ht="12.75" customHeight="1">
      <c r="A957" s="30"/>
      <c r="B957" s="30"/>
      <c r="C957" s="30"/>
      <c r="D957" s="30"/>
      <c r="E957" s="30"/>
    </row>
    <row r="958" ht="12.75" customHeight="1">
      <c r="A958" s="30"/>
      <c r="B958" s="30"/>
      <c r="C958" s="30"/>
      <c r="D958" s="30"/>
      <c r="E958" s="30"/>
    </row>
    <row r="959" ht="12.75" customHeight="1">
      <c r="A959" s="30"/>
      <c r="B959" s="30"/>
      <c r="C959" s="30"/>
      <c r="D959" s="30"/>
      <c r="E959" s="30"/>
    </row>
    <row r="960" ht="12.75" customHeight="1">
      <c r="A960" s="30"/>
      <c r="B960" s="30"/>
      <c r="C960" s="30"/>
      <c r="D960" s="30"/>
      <c r="E960" s="30"/>
    </row>
    <row r="961" ht="12.75" customHeight="1">
      <c r="A961" s="30"/>
      <c r="B961" s="30"/>
      <c r="C961" s="30"/>
      <c r="D961" s="30"/>
      <c r="E961" s="30"/>
    </row>
    <row r="962" ht="12.75" customHeight="1">
      <c r="A962" s="30"/>
      <c r="B962" s="30"/>
      <c r="C962" s="30"/>
      <c r="D962" s="30"/>
      <c r="E962" s="30"/>
    </row>
    <row r="963" ht="12.75" customHeight="1">
      <c r="A963" s="30"/>
      <c r="B963" s="30"/>
      <c r="C963" s="30"/>
      <c r="D963" s="30"/>
      <c r="E963" s="30"/>
    </row>
    <row r="964" ht="12.75" customHeight="1">
      <c r="A964" s="30"/>
      <c r="B964" s="30"/>
      <c r="C964" s="30"/>
      <c r="D964" s="30"/>
      <c r="E964" s="30"/>
    </row>
    <row r="965" ht="12.75" customHeight="1">
      <c r="A965" s="30"/>
      <c r="B965" s="30"/>
      <c r="C965" s="30"/>
      <c r="D965" s="30"/>
      <c r="E965" s="30"/>
    </row>
    <row r="966" ht="12.75" customHeight="1">
      <c r="A966" s="30"/>
      <c r="B966" s="30"/>
      <c r="C966" s="30"/>
      <c r="D966" s="30"/>
      <c r="E966" s="30"/>
    </row>
    <row r="967" ht="12.75" customHeight="1">
      <c r="A967" s="30"/>
      <c r="B967" s="30"/>
      <c r="C967" s="30"/>
      <c r="D967" s="30"/>
      <c r="E967" s="30"/>
    </row>
    <row r="968" ht="12.75" customHeight="1">
      <c r="A968" s="30"/>
      <c r="B968" s="30"/>
      <c r="C968" s="30"/>
      <c r="D968" s="30"/>
      <c r="E968" s="30"/>
    </row>
    <row r="969" ht="12.75" customHeight="1">
      <c r="A969" s="30"/>
      <c r="B969" s="30"/>
      <c r="C969" s="30"/>
      <c r="D969" s="30"/>
      <c r="E969" s="30"/>
    </row>
    <row r="970" ht="12.75" customHeight="1">
      <c r="A970" s="30"/>
      <c r="B970" s="30"/>
      <c r="C970" s="30"/>
      <c r="D970" s="30"/>
      <c r="E970" s="30"/>
    </row>
    <row r="971" ht="12.75" customHeight="1">
      <c r="A971" s="30"/>
      <c r="B971" s="30"/>
      <c r="C971" s="30"/>
      <c r="D971" s="30"/>
      <c r="E971" s="30"/>
    </row>
    <row r="972" ht="12.75" customHeight="1">
      <c r="A972" s="30"/>
      <c r="B972" s="30"/>
      <c r="C972" s="30"/>
      <c r="D972" s="30"/>
      <c r="E972" s="30"/>
    </row>
    <row r="973" ht="12.75" customHeight="1">
      <c r="A973" s="30"/>
      <c r="B973" s="30"/>
      <c r="C973" s="30"/>
      <c r="D973" s="30"/>
      <c r="E973" s="30"/>
    </row>
    <row r="974" ht="12.75" customHeight="1">
      <c r="A974" s="30"/>
      <c r="B974" s="30"/>
      <c r="C974" s="30"/>
      <c r="D974" s="30"/>
      <c r="E974" s="30"/>
    </row>
    <row r="975" ht="12.75" customHeight="1">
      <c r="A975" s="30"/>
      <c r="B975" s="30"/>
      <c r="C975" s="30"/>
      <c r="D975" s="30"/>
      <c r="E975" s="30"/>
    </row>
    <row r="976" ht="12.75" customHeight="1">
      <c r="A976" s="30"/>
      <c r="B976" s="30"/>
      <c r="C976" s="30"/>
      <c r="D976" s="30"/>
      <c r="E976" s="30"/>
    </row>
    <row r="977" ht="12.75" customHeight="1">
      <c r="A977" s="30"/>
      <c r="B977" s="30"/>
      <c r="C977" s="30"/>
      <c r="D977" s="30"/>
      <c r="E977" s="30"/>
    </row>
    <row r="978" ht="12.75" customHeight="1">
      <c r="A978" s="30"/>
      <c r="B978" s="30"/>
      <c r="C978" s="30"/>
      <c r="D978" s="30"/>
      <c r="E978" s="30"/>
    </row>
    <row r="979" ht="12.75" customHeight="1">
      <c r="A979" s="30"/>
      <c r="B979" s="30"/>
      <c r="C979" s="30"/>
      <c r="D979" s="30"/>
      <c r="E979" s="30"/>
    </row>
    <row r="980" ht="12.75" customHeight="1">
      <c r="A980" s="30"/>
      <c r="B980" s="30"/>
      <c r="C980" s="30"/>
      <c r="D980" s="30"/>
      <c r="E980" s="30"/>
    </row>
    <row r="981" ht="12.75" customHeight="1">
      <c r="A981" s="30"/>
      <c r="B981" s="30"/>
      <c r="C981" s="30"/>
      <c r="D981" s="30"/>
      <c r="E981" s="30"/>
    </row>
    <row r="982" ht="12.75" customHeight="1">
      <c r="A982" s="30"/>
      <c r="B982" s="30"/>
      <c r="C982" s="30"/>
      <c r="D982" s="30"/>
      <c r="E982" s="30"/>
    </row>
    <row r="983" ht="12.75" customHeight="1">
      <c r="A983" s="30"/>
      <c r="B983" s="30"/>
      <c r="C983" s="30"/>
      <c r="D983" s="30"/>
      <c r="E983" s="30"/>
    </row>
    <row r="984" ht="12.75" customHeight="1">
      <c r="A984" s="30"/>
      <c r="B984" s="30"/>
      <c r="C984" s="30"/>
      <c r="D984" s="30"/>
      <c r="E984" s="30"/>
    </row>
    <row r="985" ht="12.75" customHeight="1">
      <c r="A985" s="30"/>
      <c r="B985" s="30"/>
      <c r="C985" s="30"/>
      <c r="D985" s="30"/>
      <c r="E985" s="30"/>
    </row>
    <row r="986" ht="12.75" customHeight="1">
      <c r="A986" s="30"/>
      <c r="B986" s="30"/>
      <c r="C986" s="30"/>
      <c r="D986" s="30"/>
      <c r="E986" s="30"/>
    </row>
    <row r="987" ht="12.75" customHeight="1">
      <c r="A987" s="30"/>
      <c r="B987" s="30"/>
      <c r="C987" s="30"/>
      <c r="D987" s="30"/>
      <c r="E987" s="30"/>
    </row>
    <row r="988" ht="12.75" customHeight="1">
      <c r="A988" s="30"/>
      <c r="B988" s="30"/>
      <c r="C988" s="30"/>
      <c r="D988" s="30"/>
      <c r="E988" s="30"/>
    </row>
    <row r="989" ht="12.75" customHeight="1">
      <c r="A989" s="30"/>
      <c r="B989" s="30"/>
      <c r="C989" s="30"/>
      <c r="D989" s="30"/>
      <c r="E989" s="30"/>
    </row>
    <row r="990" ht="12.75" customHeight="1">
      <c r="A990" s="30"/>
      <c r="B990" s="30"/>
      <c r="C990" s="30"/>
      <c r="D990" s="30"/>
      <c r="E990" s="30"/>
    </row>
    <row r="991" ht="12.75" customHeight="1">
      <c r="A991" s="30"/>
      <c r="B991" s="30"/>
      <c r="C991" s="30"/>
      <c r="D991" s="30"/>
      <c r="E991" s="30"/>
    </row>
    <row r="992" ht="12.75" customHeight="1">
      <c r="A992" s="30"/>
      <c r="B992" s="30"/>
      <c r="C992" s="30"/>
      <c r="D992" s="30"/>
      <c r="E992" s="30"/>
    </row>
    <row r="993" ht="12.75" customHeight="1">
      <c r="A993" s="30"/>
      <c r="B993" s="30"/>
      <c r="C993" s="30"/>
      <c r="D993" s="30"/>
      <c r="E993" s="30"/>
    </row>
    <row r="994" ht="12.75" customHeight="1">
      <c r="A994" s="30"/>
      <c r="B994" s="30"/>
      <c r="C994" s="30"/>
      <c r="D994" s="30"/>
      <c r="E994" s="30"/>
    </row>
    <row r="995" ht="12.75" customHeight="1">
      <c r="A995" s="30"/>
      <c r="B995" s="30"/>
      <c r="C995" s="30"/>
      <c r="D995" s="30"/>
      <c r="E995" s="30"/>
    </row>
    <row r="996" ht="12.75" customHeight="1">
      <c r="A996" s="30"/>
      <c r="B996" s="30"/>
      <c r="C996" s="30"/>
      <c r="D996" s="30"/>
      <c r="E996" s="30"/>
    </row>
    <row r="997" ht="12.75" customHeight="1">
      <c r="A997" s="30"/>
      <c r="B997" s="30"/>
      <c r="C997" s="30"/>
      <c r="D997" s="30"/>
      <c r="E997" s="30"/>
    </row>
    <row r="998" ht="12.75" customHeight="1">
      <c r="A998" s="30"/>
      <c r="B998" s="30"/>
      <c r="C998" s="30"/>
      <c r="D998" s="30"/>
      <c r="E998" s="30"/>
    </row>
    <row r="999" ht="12.75" customHeight="1">
      <c r="A999" s="30"/>
      <c r="B999" s="30"/>
      <c r="C999" s="30"/>
      <c r="D999" s="30"/>
      <c r="E999" s="30"/>
    </row>
    <row r="1000" ht="12.75" customHeight="1">
      <c r="A1000" s="30"/>
      <c r="B1000" s="30"/>
      <c r="C1000" s="30"/>
      <c r="D1000" s="30"/>
      <c r="E1000" s="30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4.88"/>
    <col customWidth="1" min="2" max="2" width="18.0"/>
    <col customWidth="1" min="4" max="4" width="31.5"/>
  </cols>
  <sheetData>
    <row r="2">
      <c r="A2" s="48" t="s">
        <v>1065</v>
      </c>
    </row>
    <row r="3">
      <c r="A3" s="48" t="s">
        <v>1066</v>
      </c>
      <c r="D3" s="48" t="s">
        <v>1066</v>
      </c>
    </row>
    <row r="4">
      <c r="A4" s="48" t="s">
        <v>1067</v>
      </c>
      <c r="D4" s="48" t="s">
        <v>1067</v>
      </c>
    </row>
    <row r="5">
      <c r="A5" s="48" t="s">
        <v>1068</v>
      </c>
      <c r="D5" s="48" t="s">
        <v>1069</v>
      </c>
    </row>
    <row r="7">
      <c r="A7" s="48" t="s">
        <v>1070</v>
      </c>
      <c r="B7" s="48" t="s">
        <v>1071</v>
      </c>
      <c r="D7" s="48" t="s">
        <v>1072</v>
      </c>
      <c r="E7" s="48" t="s">
        <v>1073</v>
      </c>
    </row>
    <row r="8">
      <c r="A8" s="48" t="s">
        <v>1074</v>
      </c>
      <c r="B8" s="48" t="s">
        <v>1075</v>
      </c>
      <c r="D8" s="48" t="s">
        <v>1076</v>
      </c>
      <c r="E8" s="48" t="s">
        <v>1077</v>
      </c>
    </row>
    <row r="9">
      <c r="A9" s="48" t="s">
        <v>1078</v>
      </c>
      <c r="B9" s="48" t="s">
        <v>1079</v>
      </c>
      <c r="D9" s="48" t="s">
        <v>1080</v>
      </c>
      <c r="E9" s="48" t="s">
        <v>1081</v>
      </c>
    </row>
    <row r="10">
      <c r="A10" s="48" t="s">
        <v>1082</v>
      </c>
      <c r="B10" s="48" t="s">
        <v>1079</v>
      </c>
      <c r="D10" s="48" t="s">
        <v>1083</v>
      </c>
      <c r="E10" s="48" t="s">
        <v>1084</v>
      </c>
    </row>
    <row r="11">
      <c r="A11" s="48" t="s">
        <v>1085</v>
      </c>
      <c r="B11" s="48" t="s">
        <v>1086</v>
      </c>
      <c r="D11" s="48" t="s">
        <v>1082</v>
      </c>
      <c r="E11" s="48" t="s">
        <v>1087</v>
      </c>
    </row>
    <row r="12">
      <c r="A12" s="48" t="s">
        <v>1088</v>
      </c>
      <c r="B12" s="48" t="s">
        <v>1089</v>
      </c>
      <c r="D12" s="48" t="s">
        <v>1090</v>
      </c>
      <c r="E12" s="48" t="s">
        <v>1091</v>
      </c>
    </row>
    <row r="13">
      <c r="A13" s="48" t="s">
        <v>1092</v>
      </c>
      <c r="B13" s="48" t="s">
        <v>1093</v>
      </c>
      <c r="D13" s="48" t="s">
        <v>1094</v>
      </c>
      <c r="E13" s="48" t="s">
        <v>1095</v>
      </c>
    </row>
    <row r="14">
      <c r="A14" s="48" t="s">
        <v>1096</v>
      </c>
      <c r="B14" s="48" t="s">
        <v>1097</v>
      </c>
      <c r="D14" s="48" t="s">
        <v>1098</v>
      </c>
      <c r="E14" s="48" t="s">
        <v>1099</v>
      </c>
    </row>
    <row r="15">
      <c r="A15" s="48" t="s">
        <v>1100</v>
      </c>
      <c r="B15" s="48" t="s">
        <v>1101</v>
      </c>
    </row>
    <row r="16">
      <c r="A16" s="48"/>
      <c r="B16" s="48"/>
      <c r="D16" s="48" t="s">
        <v>1102</v>
      </c>
      <c r="E16" s="48" t="s">
        <v>1103</v>
      </c>
    </row>
    <row r="17">
      <c r="A17" s="48" t="s">
        <v>1104</v>
      </c>
      <c r="B17" s="48" t="s">
        <v>1105</v>
      </c>
      <c r="D17" s="48" t="s">
        <v>1106</v>
      </c>
      <c r="E17" s="48" t="s">
        <v>1107</v>
      </c>
    </row>
    <row r="18">
      <c r="A18" s="48" t="s">
        <v>1108</v>
      </c>
      <c r="B18" s="48" t="s">
        <v>1109</v>
      </c>
      <c r="D18" s="48" t="s">
        <v>1110</v>
      </c>
      <c r="E18" s="48" t="s">
        <v>1111</v>
      </c>
    </row>
    <row r="19">
      <c r="A19" s="48" t="s">
        <v>1112</v>
      </c>
      <c r="B19" s="48" t="s">
        <v>1109</v>
      </c>
      <c r="D19" s="48" t="s">
        <v>1113</v>
      </c>
      <c r="E19" s="48" t="s">
        <v>1114</v>
      </c>
    </row>
    <row r="20">
      <c r="A20" s="48" t="s">
        <v>1115</v>
      </c>
      <c r="B20" s="48" t="s">
        <v>1116</v>
      </c>
      <c r="D20" s="48" t="s">
        <v>1117</v>
      </c>
      <c r="E20" s="48" t="s">
        <v>1118</v>
      </c>
    </row>
    <row r="21">
      <c r="A21" s="48" t="s">
        <v>1088</v>
      </c>
      <c r="B21" s="48" t="s">
        <v>1119</v>
      </c>
    </row>
    <row r="22">
      <c r="D22" s="48" t="s">
        <v>1120</v>
      </c>
      <c r="E22" s="48" t="s">
        <v>1121</v>
      </c>
    </row>
    <row r="23">
      <c r="A23" s="48" t="s">
        <v>1090</v>
      </c>
      <c r="B23" s="48" t="s">
        <v>1116</v>
      </c>
    </row>
    <row r="24">
      <c r="A24" s="48" t="s">
        <v>1094</v>
      </c>
      <c r="B24" s="48" t="s">
        <v>1122</v>
      </c>
    </row>
    <row r="25">
      <c r="A25" s="48" t="s">
        <v>1098</v>
      </c>
      <c r="B25" s="48" t="s">
        <v>1123</v>
      </c>
    </row>
    <row r="26">
      <c r="A26" s="48"/>
      <c r="B26" s="48"/>
    </row>
    <row r="27">
      <c r="A27" s="48" t="s">
        <v>1124</v>
      </c>
      <c r="B27" s="48" t="s">
        <v>1122</v>
      </c>
    </row>
    <row r="28">
      <c r="A28" s="48" t="s">
        <v>1125</v>
      </c>
      <c r="B28" s="48" t="s">
        <v>1126</v>
      </c>
    </row>
    <row r="29">
      <c r="A29" s="48" t="s">
        <v>1127</v>
      </c>
      <c r="B29" s="48" t="s">
        <v>1128</v>
      </c>
    </row>
    <row r="31">
      <c r="A31" s="48" t="s">
        <v>1129</v>
      </c>
      <c r="B31" s="48" t="s">
        <v>1130</v>
      </c>
    </row>
    <row r="32">
      <c r="A32" s="48" t="s">
        <v>1131</v>
      </c>
      <c r="B32" s="48" t="s">
        <v>1132</v>
      </c>
    </row>
    <row r="33">
      <c r="A33" s="48" t="s">
        <v>1133</v>
      </c>
      <c r="B33" s="48" t="s">
        <v>1134</v>
      </c>
    </row>
    <row r="34">
      <c r="A34" s="48" t="s">
        <v>1135</v>
      </c>
      <c r="B34" s="48" t="s">
        <v>1136</v>
      </c>
      <c r="D34" s="48" t="s">
        <v>1137</v>
      </c>
      <c r="E34" s="48" t="s">
        <v>1138</v>
      </c>
    </row>
    <row r="35">
      <c r="A35" s="48" t="s">
        <v>1139</v>
      </c>
      <c r="B35" s="48" t="s">
        <v>1140</v>
      </c>
      <c r="D35" s="48" t="s">
        <v>1141</v>
      </c>
      <c r="E35" s="48" t="s">
        <v>1142</v>
      </c>
    </row>
    <row r="37">
      <c r="A37" s="48" t="s">
        <v>1143</v>
      </c>
      <c r="B37" s="48" t="s">
        <v>1144</v>
      </c>
    </row>
    <row r="38">
      <c r="A38" s="48" t="s">
        <v>1145</v>
      </c>
      <c r="B38" s="48" t="s">
        <v>1146</v>
      </c>
    </row>
    <row r="39">
      <c r="A39" s="48" t="s">
        <v>1147</v>
      </c>
      <c r="B39" s="48" t="s">
        <v>1148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25"/>
  </cols>
  <sheetData>
    <row r="1">
      <c r="A1" s="154" t="s">
        <v>70</v>
      </c>
      <c r="B1" s="48">
        <v>1.0</v>
      </c>
    </row>
    <row r="2">
      <c r="A2" s="155" t="s">
        <v>71</v>
      </c>
      <c r="B2" s="48">
        <v>2.0</v>
      </c>
    </row>
    <row r="3">
      <c r="A3" s="155" t="s">
        <v>72</v>
      </c>
      <c r="B3" s="48">
        <v>3.0</v>
      </c>
    </row>
    <row r="4">
      <c r="A4" s="154" t="s">
        <v>3</v>
      </c>
      <c r="B4" s="48">
        <v>4.0</v>
      </c>
    </row>
    <row r="5">
      <c r="A5" s="155" t="s">
        <v>6</v>
      </c>
      <c r="B5" s="48">
        <v>5.0</v>
      </c>
    </row>
    <row r="6">
      <c r="A6" s="154" t="s">
        <v>7</v>
      </c>
      <c r="B6" s="48">
        <v>6.0</v>
      </c>
    </row>
    <row r="7">
      <c r="A7" s="154" t="s">
        <v>10</v>
      </c>
      <c r="B7" s="48">
        <v>7.0</v>
      </c>
    </row>
    <row r="8">
      <c r="A8" s="154" t="s">
        <v>11</v>
      </c>
      <c r="B8" s="48">
        <v>8.0</v>
      </c>
    </row>
    <row r="9">
      <c r="A9" s="154" t="s">
        <v>16</v>
      </c>
      <c r="B9" s="48">
        <v>9.0</v>
      </c>
    </row>
    <row r="10">
      <c r="A10" s="154" t="s">
        <v>73</v>
      </c>
      <c r="B10" s="48">
        <v>10.0</v>
      </c>
    </row>
    <row r="11">
      <c r="A11" s="154" t="s">
        <v>61</v>
      </c>
      <c r="B11" s="48">
        <v>11.0</v>
      </c>
    </row>
    <row r="12">
      <c r="A12" s="154" t="s">
        <v>19</v>
      </c>
      <c r="B12" s="48">
        <v>12.0</v>
      </c>
    </row>
    <row r="13">
      <c r="A13" s="154" t="s">
        <v>74</v>
      </c>
      <c r="B13" s="48">
        <v>13.0</v>
      </c>
    </row>
    <row r="14">
      <c r="A14" s="154" t="s">
        <v>22</v>
      </c>
      <c r="B14" s="48">
        <v>14.0</v>
      </c>
    </row>
    <row r="15">
      <c r="A15" s="154" t="s">
        <v>24</v>
      </c>
      <c r="B15" s="48">
        <v>15.0</v>
      </c>
    </row>
    <row r="16">
      <c r="A16" s="154" t="s">
        <v>25</v>
      </c>
      <c r="B16" s="48">
        <v>16.0</v>
      </c>
    </row>
    <row r="17">
      <c r="A17" s="154" t="s">
        <v>75</v>
      </c>
      <c r="B17" s="48">
        <v>17.0</v>
      </c>
    </row>
    <row r="18">
      <c r="A18" s="155" t="s">
        <v>30</v>
      </c>
      <c r="B18" s="48">
        <v>18.0</v>
      </c>
    </row>
    <row r="19">
      <c r="A19" s="154" t="s">
        <v>76</v>
      </c>
      <c r="B19" s="48">
        <v>19.0</v>
      </c>
    </row>
    <row r="20">
      <c r="A20" s="154" t="s">
        <v>32</v>
      </c>
      <c r="B20" s="48">
        <v>20.0</v>
      </c>
    </row>
    <row r="21">
      <c r="A21" s="154" t="s">
        <v>77</v>
      </c>
      <c r="B21" s="48">
        <v>21.0</v>
      </c>
    </row>
    <row r="22">
      <c r="A22" s="155" t="s">
        <v>34</v>
      </c>
      <c r="B22" s="48">
        <v>22.0</v>
      </c>
    </row>
    <row r="23">
      <c r="A23" s="154" t="s">
        <v>78</v>
      </c>
      <c r="B23" s="48">
        <v>23.0</v>
      </c>
    </row>
    <row r="24">
      <c r="A24" s="154" t="s">
        <v>79</v>
      </c>
      <c r="B24" s="48">
        <v>24.0</v>
      </c>
    </row>
    <row r="25">
      <c r="A25" s="154" t="s">
        <v>80</v>
      </c>
      <c r="B25" s="48">
        <v>25.0</v>
      </c>
    </row>
    <row r="26">
      <c r="A26" s="156" t="s">
        <v>39</v>
      </c>
      <c r="B26" s="48">
        <v>26.0</v>
      </c>
    </row>
    <row r="27">
      <c r="A27" s="155" t="s">
        <v>81</v>
      </c>
      <c r="B27" s="48">
        <v>27.0</v>
      </c>
    </row>
    <row r="28">
      <c r="A28" s="157" t="s">
        <v>82</v>
      </c>
      <c r="B28" s="48">
        <v>28.0</v>
      </c>
    </row>
    <row r="29">
      <c r="A29" s="155" t="s">
        <v>43</v>
      </c>
      <c r="B29" s="48">
        <v>29.0</v>
      </c>
    </row>
    <row r="30">
      <c r="A30" s="155" t="s">
        <v>83</v>
      </c>
      <c r="B30" s="48">
        <v>30.0</v>
      </c>
    </row>
    <row r="31">
      <c r="A31" s="155" t="s">
        <v>84</v>
      </c>
      <c r="B31" s="48">
        <v>31.0</v>
      </c>
    </row>
    <row r="32">
      <c r="A32" s="155" t="s">
        <v>80</v>
      </c>
      <c r="B32" s="48">
        <v>32.0</v>
      </c>
    </row>
    <row r="33">
      <c r="A33" s="155" t="s">
        <v>85</v>
      </c>
      <c r="B33" s="48">
        <v>33.0</v>
      </c>
    </row>
    <row r="37">
      <c r="A37" s="229" t="s">
        <v>1149</v>
      </c>
    </row>
  </sheetData>
  <hyperlinks>
    <hyperlink r:id="rId1" ref="A37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2021-01-24T10:09:55Z</dcterms:created>
  <dc:creator>Yaman Patle</dc:creator>
</cp:coreProperties>
</file>